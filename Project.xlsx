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DA Course BESANT TECH\Resume-Project\Excel\"/>
    </mc:Choice>
  </mc:AlternateContent>
  <xr:revisionPtr revIDLastSave="0" documentId="13_ncr:1_{EADE07D9-5633-47BF-AC93-4C7A87B37F2C}" xr6:coauthVersionLast="47" xr6:coauthVersionMax="47" xr10:uidLastSave="{00000000-0000-0000-0000-000000000000}"/>
  <bookViews>
    <workbookView xWindow="-108" yWindow="-108" windowWidth="23256" windowHeight="12456" activeTab="2" xr2:uid="{346724B3-1C49-40AE-AA36-C77CF5D6DD09}"/>
  </bookViews>
  <sheets>
    <sheet name="Data" sheetId="1" r:id="rId1"/>
    <sheet name="Pivot" sheetId="7" r:id="rId2"/>
    <sheet name="Dashboard" sheetId="9" r:id="rId3"/>
  </sheets>
  <definedNames>
    <definedName name="_xlchart.v5.0" hidden="1">Pivot!$K$96:$L$96</definedName>
    <definedName name="_xlchart.v5.1" hidden="1">Pivot!$K$97:$L$154</definedName>
    <definedName name="_xlchart.v5.2" hidden="1">Pivot!$M$96</definedName>
    <definedName name="_xlchart.v5.3" hidden="1">Pivot!$M$97:$M$154</definedName>
    <definedName name="_xlchart.v5.4" hidden="1">Pivot!$G$96:$H$96</definedName>
    <definedName name="_xlchart.v5.5" hidden="1">Pivot!$G$97:$H$154</definedName>
    <definedName name="_xlchart.v5.6" hidden="1">Pivot!$I$96</definedName>
    <definedName name="_xlchart.v5.7" hidden="1">Pivot!$I$97:$I$154</definedName>
    <definedName name="Slicer_Gender_Value">#N/A</definedName>
    <definedName name="Slicer_Order_Mode">#N/A</definedName>
  </definedNames>
  <calcPr calcId="191029"/>
  <pivotCaches>
    <pivotCache cacheId="8"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5" i="7" l="1"/>
  <c r="E215" i="7"/>
  <c r="D215" i="7"/>
  <c r="B215" i="7"/>
  <c r="A215" i="7"/>
  <c r="J47" i="7"/>
  <c r="I46" i="7"/>
  <c r="J46" i="7"/>
  <c r="K46" i="7"/>
  <c r="L46" i="7"/>
  <c r="M46" i="7"/>
  <c r="I47" i="7"/>
  <c r="K47" i="7"/>
  <c r="L47" i="7"/>
  <c r="M47" i="7"/>
  <c r="I48" i="7"/>
  <c r="J48" i="7"/>
  <c r="K48" i="7"/>
  <c r="L48" i="7"/>
  <c r="M48" i="7"/>
  <c r="I49" i="7"/>
  <c r="J49" i="7"/>
  <c r="K49" i="7"/>
  <c r="L49" i="7"/>
  <c r="M49" i="7"/>
  <c r="J45" i="7"/>
  <c r="K45" i="7"/>
  <c r="L45" i="7"/>
  <c r="M45" i="7"/>
  <c r="K44" i="7"/>
  <c r="L44" i="7"/>
  <c r="M44" i="7"/>
  <c r="J44" i="7"/>
  <c r="I45" i="7"/>
  <c r="C8" i="7"/>
  <c r="E8" i="7"/>
  <c r="D8" i="7"/>
  <c r="B8" i="7"/>
  <c r="A8" i="7"/>
  <c r="O2" i="1" a="1"/>
  <c r="O2"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O2401" i="1" a="1"/>
  <c r="O2401" i="1" s="1"/>
  <c r="O2400" i="1" a="1"/>
  <c r="O2400" i="1" s="1"/>
  <c r="O2399" i="1" a="1"/>
  <c r="O2399" i="1" s="1"/>
  <c r="O2398" i="1"/>
  <c r="O2398" i="1" a="1"/>
  <c r="O2397" i="1"/>
  <c r="O2397" i="1" a="1"/>
  <c r="O2396" i="1" a="1"/>
  <c r="O2396" i="1" s="1"/>
  <c r="O2395" i="1" a="1"/>
  <c r="O2395" i="1" s="1"/>
  <c r="O2394" i="1" a="1"/>
  <c r="O2394" i="1" s="1"/>
  <c r="O2393" i="1" a="1"/>
  <c r="O2393" i="1" s="1"/>
  <c r="O2392" i="1"/>
  <c r="O2392" i="1" a="1"/>
  <c r="O2391" i="1" a="1"/>
  <c r="O2391" i="1" s="1"/>
  <c r="O2390" i="1"/>
  <c r="O2390" i="1" a="1"/>
  <c r="O2389" i="1" a="1"/>
  <c r="O2389" i="1" s="1"/>
  <c r="O2388" i="1"/>
  <c r="O2388" i="1" a="1"/>
  <c r="O2387" i="1" a="1"/>
  <c r="O2387" i="1" s="1"/>
  <c r="O2386" i="1" a="1"/>
  <c r="O2386" i="1" s="1"/>
  <c r="O2385" i="1"/>
  <c r="O2385" i="1" a="1"/>
  <c r="O2384" i="1"/>
  <c r="O2384" i="1" a="1"/>
  <c r="O2383" i="1" a="1"/>
  <c r="O2383" i="1" s="1"/>
  <c r="O2382" i="1" a="1"/>
  <c r="O2382" i="1" s="1"/>
  <c r="O2381" i="1" a="1"/>
  <c r="O2381" i="1" s="1"/>
  <c r="O2380" i="1" a="1"/>
  <c r="O2380" i="1" s="1"/>
  <c r="O2379" i="1" a="1"/>
  <c r="O2379" i="1" s="1"/>
  <c r="O2378" i="1" a="1"/>
  <c r="O2378" i="1" s="1"/>
  <c r="O2377" i="1"/>
  <c r="O2377" i="1" a="1"/>
  <c r="O2376" i="1" a="1"/>
  <c r="O2376" i="1" s="1"/>
  <c r="O2375" i="1"/>
  <c r="O2375" i="1" a="1"/>
  <c r="O2374" i="1" a="1"/>
  <c r="O2374" i="1" s="1"/>
  <c r="O2373" i="1" a="1"/>
  <c r="O2373" i="1" s="1"/>
  <c r="O2372" i="1"/>
  <c r="O2372" i="1" a="1"/>
  <c r="O2371" i="1" a="1"/>
  <c r="O2371" i="1" s="1"/>
  <c r="O2370" i="1" a="1"/>
  <c r="O2370" i="1" s="1"/>
  <c r="O2369" i="1" a="1"/>
  <c r="O2369" i="1" s="1"/>
  <c r="O2368" i="1"/>
  <c r="O2368" i="1" a="1"/>
  <c r="O2367" i="1"/>
  <c r="O2367" i="1" a="1"/>
  <c r="O2366" i="1" a="1"/>
  <c r="O2366" i="1" s="1"/>
  <c r="O2365" i="1" a="1"/>
  <c r="O2365" i="1" s="1"/>
  <c r="O2364" i="1"/>
  <c r="O2364" i="1" a="1"/>
  <c r="O2363" i="1" a="1"/>
  <c r="O2363" i="1" s="1"/>
  <c r="O2362" i="1" a="1"/>
  <c r="O2362" i="1" s="1"/>
  <c r="O2361" i="1" a="1"/>
  <c r="O2361" i="1" s="1"/>
  <c r="O2360" i="1" a="1"/>
  <c r="O2360" i="1" s="1"/>
  <c r="O2359" i="1" a="1"/>
  <c r="O2359" i="1" s="1"/>
  <c r="O2358" i="1"/>
  <c r="O2358" i="1" a="1"/>
  <c r="O2357" i="1" a="1"/>
  <c r="O2357" i="1" s="1"/>
  <c r="O2356" i="1"/>
  <c r="O2356" i="1" a="1"/>
  <c r="O2355" i="1"/>
  <c r="O2355" i="1" a="1"/>
  <c r="O2354" i="1" a="1"/>
  <c r="O2354" i="1" s="1"/>
  <c r="O2353" i="1" a="1"/>
  <c r="O2353" i="1" s="1"/>
  <c r="O2352" i="1" a="1"/>
  <c r="O2352" i="1" s="1"/>
  <c r="O2351" i="1" a="1"/>
  <c r="O2351" i="1" s="1"/>
  <c r="O2350" i="1"/>
  <c r="O2350" i="1" a="1"/>
  <c r="O2349" i="1"/>
  <c r="O2349" i="1" a="1"/>
  <c r="O2348" i="1" a="1"/>
  <c r="O2348" i="1" s="1"/>
  <c r="O2347" i="1" a="1"/>
  <c r="O2347" i="1" s="1"/>
  <c r="O2346" i="1"/>
  <c r="O2346" i="1" a="1"/>
  <c r="O2345" i="1" a="1"/>
  <c r="O2345" i="1" s="1"/>
  <c r="O2344" i="1" a="1"/>
  <c r="O2344" i="1" s="1"/>
  <c r="O2343" i="1"/>
  <c r="O2343" i="1" a="1"/>
  <c r="O2342" i="1" a="1"/>
  <c r="O2342" i="1" s="1"/>
  <c r="O2341" i="1" a="1"/>
  <c r="O2341" i="1" s="1"/>
  <c r="O2340" i="1" a="1"/>
  <c r="O2340" i="1" s="1"/>
  <c r="O2339" i="1"/>
  <c r="O2339" i="1" a="1"/>
  <c r="O2338" i="1" a="1"/>
  <c r="O2338" i="1" s="1"/>
  <c r="O2337" i="1" a="1"/>
  <c r="O2337" i="1" s="1"/>
  <c r="O2336" i="1" a="1"/>
  <c r="O2336" i="1" s="1"/>
  <c r="O2335" i="1"/>
  <c r="O2335" i="1" a="1"/>
  <c r="O2334" i="1" a="1"/>
  <c r="O2334" i="1" s="1"/>
  <c r="O2333" i="1" a="1"/>
  <c r="O2333" i="1" s="1"/>
  <c r="O2332" i="1"/>
  <c r="O2332" i="1" a="1"/>
  <c r="O2331" i="1" a="1"/>
  <c r="O2331" i="1" s="1"/>
  <c r="O2330" i="1" a="1"/>
  <c r="O2330" i="1" s="1"/>
  <c r="O2329" i="1"/>
  <c r="O2329" i="1" a="1"/>
  <c r="O2328" i="1" a="1"/>
  <c r="O2328" i="1" s="1"/>
  <c r="O2327" i="1"/>
  <c r="O2327" i="1" a="1"/>
  <c r="O2326" i="1"/>
  <c r="O2326" i="1" a="1"/>
  <c r="O2325" i="1" a="1"/>
  <c r="O2325" i="1" s="1"/>
  <c r="O2324" i="1" a="1"/>
  <c r="O2324" i="1" s="1"/>
  <c r="O2323" i="1"/>
  <c r="O2323" i="1" a="1"/>
  <c r="O2322" i="1" a="1"/>
  <c r="O2322" i="1" s="1"/>
  <c r="O2321" i="1"/>
  <c r="O2321" i="1" a="1"/>
  <c r="O2320" i="1" a="1"/>
  <c r="O2320" i="1" s="1"/>
  <c r="O2319" i="1"/>
  <c r="O2319" i="1" a="1"/>
  <c r="O2318" i="1" a="1"/>
  <c r="O2318" i="1" s="1"/>
  <c r="O2317" i="1" a="1"/>
  <c r="O2317" i="1" s="1"/>
  <c r="O2316" i="1"/>
  <c r="O2316" i="1" a="1"/>
  <c r="O2315" i="1" a="1"/>
  <c r="O2315" i="1" s="1"/>
  <c r="O2314" i="1"/>
  <c r="O2314" i="1" a="1"/>
  <c r="O2313" i="1" a="1"/>
  <c r="O2313" i="1" s="1"/>
  <c r="O2312" i="1" a="1"/>
  <c r="O2312" i="1" s="1"/>
  <c r="O2311" i="1" a="1"/>
  <c r="O2311" i="1" s="1"/>
  <c r="O2310" i="1" a="1"/>
  <c r="O2310" i="1" s="1"/>
  <c r="O2309" i="1" a="1"/>
  <c r="O2309" i="1" s="1"/>
  <c r="O2308" i="1"/>
  <c r="O2308" i="1" a="1"/>
  <c r="O2307" i="1" a="1"/>
  <c r="O2307" i="1" s="1"/>
  <c r="O2306" i="1"/>
  <c r="O2306" i="1" a="1"/>
  <c r="O2305" i="1" a="1"/>
  <c r="O2305" i="1" s="1"/>
  <c r="O2304" i="1" a="1"/>
  <c r="O2304" i="1" s="1"/>
  <c r="O2303" i="1" a="1"/>
  <c r="O2303" i="1" s="1"/>
  <c r="O2302" i="1" a="1"/>
  <c r="O2302" i="1" s="1"/>
  <c r="O2301" i="1" a="1"/>
  <c r="O2301" i="1" s="1"/>
  <c r="O2300" i="1"/>
  <c r="O2300" i="1" a="1"/>
  <c r="O2299" i="1" a="1"/>
  <c r="O2299" i="1" s="1"/>
  <c r="O2298" i="1"/>
  <c r="O2298" i="1" a="1"/>
  <c r="O2297" i="1"/>
  <c r="O2297" i="1" a="1"/>
  <c r="O2296" i="1" a="1"/>
  <c r="O2296" i="1" s="1"/>
  <c r="O2295" i="1"/>
  <c r="O2295" i="1" a="1"/>
  <c r="O2294" i="1"/>
  <c r="O2294" i="1" a="1"/>
  <c r="O2293" i="1" a="1"/>
  <c r="O2293" i="1" s="1"/>
  <c r="O2292" i="1"/>
  <c r="O2292" i="1" a="1"/>
  <c r="O2291" i="1"/>
  <c r="O2291" i="1" a="1"/>
  <c r="O2290" i="1"/>
  <c r="O2290" i="1" a="1"/>
  <c r="O2289" i="1" a="1"/>
  <c r="O2289" i="1" s="1"/>
  <c r="O2288" i="1"/>
  <c r="O2288" i="1" a="1"/>
  <c r="O2287" i="1"/>
  <c r="O2287" i="1" a="1"/>
  <c r="O2286" i="1"/>
  <c r="O2286" i="1" a="1"/>
  <c r="O2285" i="1"/>
  <c r="O2285" i="1" a="1"/>
  <c r="O2284" i="1" a="1"/>
  <c r="O2284" i="1" s="1"/>
  <c r="O2283" i="1" a="1"/>
  <c r="O2283" i="1" s="1"/>
  <c r="O2282" i="1" a="1"/>
  <c r="O2282" i="1" s="1"/>
  <c r="O2281" i="1" a="1"/>
  <c r="O2281" i="1" s="1"/>
  <c r="O2280" i="1" a="1"/>
  <c r="O2280" i="1" s="1"/>
  <c r="O2279" i="1"/>
  <c r="O2279" i="1" a="1"/>
  <c r="O2278" i="1" a="1"/>
  <c r="O2278" i="1" s="1"/>
  <c r="O2277" i="1"/>
  <c r="O2277" i="1" a="1"/>
  <c r="O2276" i="1" a="1"/>
  <c r="O2276" i="1" s="1"/>
  <c r="O2275" i="1" a="1"/>
  <c r="O2275" i="1" s="1"/>
  <c r="O2274" i="1" a="1"/>
  <c r="O2274" i="1" s="1"/>
  <c r="O2273" i="1" a="1"/>
  <c r="O2273" i="1" s="1"/>
  <c r="O2272" i="1" a="1"/>
  <c r="O2272" i="1" s="1"/>
  <c r="O2271" i="1"/>
  <c r="O2271" i="1" a="1"/>
  <c r="O2270" i="1" a="1"/>
  <c r="O2270" i="1" s="1"/>
  <c r="O2269" i="1"/>
  <c r="O2269" i="1" a="1"/>
  <c r="O2268" i="1" a="1"/>
  <c r="O2268" i="1" s="1"/>
  <c r="O2267" i="1" a="1"/>
  <c r="O2267" i="1" s="1"/>
  <c r="O2266" i="1"/>
  <c r="O2266" i="1" a="1"/>
  <c r="O2265" i="1"/>
  <c r="O2265" i="1" a="1"/>
  <c r="O2264" i="1" a="1"/>
  <c r="O2264" i="1" s="1"/>
  <c r="O2263" i="1"/>
  <c r="O2263" i="1" a="1"/>
  <c r="O2262" i="1" a="1"/>
  <c r="O2262" i="1" s="1"/>
  <c r="O2261" i="1" a="1"/>
  <c r="O2261" i="1" s="1"/>
  <c r="O2260" i="1" a="1"/>
  <c r="O2260" i="1" s="1"/>
  <c r="O2259" i="1" a="1"/>
  <c r="O2259" i="1" s="1"/>
  <c r="O2258" i="1"/>
  <c r="O2258" i="1" a="1"/>
  <c r="O2257" i="1" a="1"/>
  <c r="O2257" i="1" s="1"/>
  <c r="O2256" i="1"/>
  <c r="O2256" i="1" a="1"/>
  <c r="O2255" i="1" a="1"/>
  <c r="O2255" i="1" s="1"/>
  <c r="O2254" i="1" a="1"/>
  <c r="O2254" i="1" s="1"/>
  <c r="O2253" i="1" a="1"/>
  <c r="O2253" i="1" s="1"/>
  <c r="O2252" i="1"/>
  <c r="O2252" i="1" a="1"/>
  <c r="O2251" i="1" a="1"/>
  <c r="O2251" i="1" s="1"/>
  <c r="O2250" i="1"/>
  <c r="O2250" i="1" a="1"/>
  <c r="O2249" i="1" a="1"/>
  <c r="O2249" i="1" s="1"/>
  <c r="O2248" i="1"/>
  <c r="O2248" i="1" a="1"/>
  <c r="O2247" i="1" a="1"/>
  <c r="O2247" i="1" s="1"/>
  <c r="O2246" i="1"/>
  <c r="O2246" i="1" a="1"/>
  <c r="O2245" i="1" a="1"/>
  <c r="O2245" i="1" s="1"/>
  <c r="O2244" i="1" a="1"/>
  <c r="O2244" i="1" s="1"/>
  <c r="O2243" i="1" a="1"/>
  <c r="O2243" i="1" s="1"/>
  <c r="O2242" i="1" a="1"/>
  <c r="O2242" i="1" s="1"/>
  <c r="O2241" i="1" a="1"/>
  <c r="O2241" i="1" s="1"/>
  <c r="O2240" i="1" a="1"/>
  <c r="O2240" i="1" s="1"/>
  <c r="O2239" i="1"/>
  <c r="O2239" i="1" a="1"/>
  <c r="O2238" i="1" a="1"/>
  <c r="O2238" i="1" s="1"/>
  <c r="O2237" i="1"/>
  <c r="O2237" i="1" a="1"/>
  <c r="O2236" i="1" a="1"/>
  <c r="O2236" i="1" s="1"/>
  <c r="O2235" i="1"/>
  <c r="O2235" i="1" a="1"/>
  <c r="O2234" i="1"/>
  <c r="O2234" i="1" a="1"/>
  <c r="O2233" i="1" a="1"/>
  <c r="O2233" i="1" s="1"/>
  <c r="O2232" i="1"/>
  <c r="O2232" i="1" a="1"/>
  <c r="O2231" i="1" a="1"/>
  <c r="O2231" i="1" s="1"/>
  <c r="O2230" i="1" a="1"/>
  <c r="O2230" i="1" s="1"/>
  <c r="O2229" i="1" a="1"/>
  <c r="O2229" i="1" s="1"/>
  <c r="O2228" i="1" a="1"/>
  <c r="O2228" i="1" s="1"/>
  <c r="O2227" i="1"/>
  <c r="O2227" i="1" a="1"/>
  <c r="O2226" i="1" a="1"/>
  <c r="O2226" i="1" s="1"/>
  <c r="O2225" i="1" a="1"/>
  <c r="O2225" i="1" s="1"/>
  <c r="O2224" i="1" a="1"/>
  <c r="O2224" i="1" s="1"/>
  <c r="O2223" i="1" a="1"/>
  <c r="O2223" i="1" s="1"/>
  <c r="O2222" i="1" a="1"/>
  <c r="O2222" i="1" s="1"/>
  <c r="O2221" i="1" a="1"/>
  <c r="O2221" i="1" s="1"/>
  <c r="O2220" i="1"/>
  <c r="O2220" i="1" a="1"/>
  <c r="O2219" i="1" a="1"/>
  <c r="O2219" i="1" s="1"/>
  <c r="O2218" i="1"/>
  <c r="O2218" i="1" a="1"/>
  <c r="O2217" i="1"/>
  <c r="O2217" i="1" a="1"/>
  <c r="O2216" i="1" a="1"/>
  <c r="O2216" i="1" s="1"/>
  <c r="O2215" i="1" a="1"/>
  <c r="O2215" i="1" s="1"/>
  <c r="O2214" i="1" a="1"/>
  <c r="O2214" i="1" s="1"/>
  <c r="O2213" i="1"/>
  <c r="O2213" i="1" a="1"/>
  <c r="O2212" i="1" a="1"/>
  <c r="O2212" i="1" s="1"/>
  <c r="O2211" i="1" a="1"/>
  <c r="O2211" i="1" s="1"/>
  <c r="O2210" i="1" a="1"/>
  <c r="O2210" i="1" s="1"/>
  <c r="O2209" i="1"/>
  <c r="O2209" i="1" a="1"/>
  <c r="O2208" i="1"/>
  <c r="O2208" i="1" a="1"/>
  <c r="O2207" i="1" a="1"/>
  <c r="O2207" i="1" s="1"/>
  <c r="O2206" i="1" a="1"/>
  <c r="O2206" i="1" s="1"/>
  <c r="O2205" i="1" a="1"/>
  <c r="O2205" i="1" s="1"/>
  <c r="O2204" i="1" a="1"/>
  <c r="O2204" i="1" s="1"/>
  <c r="O2203" i="1" a="1"/>
  <c r="O2203" i="1" s="1"/>
  <c r="O2202" i="1" a="1"/>
  <c r="O2202" i="1" s="1"/>
  <c r="O2201" i="1" a="1"/>
  <c r="O2201" i="1" s="1"/>
  <c r="O2200" i="1"/>
  <c r="O2200" i="1" a="1"/>
  <c r="O2199" i="1"/>
  <c r="O2199" i="1" a="1"/>
  <c r="O2198" i="1" a="1"/>
  <c r="O2198" i="1" s="1"/>
  <c r="O2197" i="1"/>
  <c r="O2197" i="1" a="1"/>
  <c r="O2196" i="1" a="1"/>
  <c r="O2196" i="1" s="1"/>
  <c r="O2195" i="1" a="1"/>
  <c r="O2195" i="1" s="1"/>
  <c r="O2194" i="1"/>
  <c r="O2194" i="1" a="1"/>
  <c r="O2193" i="1" a="1"/>
  <c r="O2193" i="1" s="1"/>
  <c r="O2192" i="1"/>
  <c r="O2192" i="1" a="1"/>
  <c r="O2191" i="1" a="1"/>
  <c r="O2191" i="1" s="1"/>
  <c r="O2190" i="1" a="1"/>
  <c r="O2190" i="1" s="1"/>
  <c r="O2189" i="1"/>
  <c r="O2189" i="1" a="1"/>
  <c r="O2188" i="1"/>
  <c r="O2188" i="1" a="1"/>
  <c r="O2187" i="1" a="1"/>
  <c r="O2187" i="1" s="1"/>
  <c r="O2186" i="1" a="1"/>
  <c r="O2186" i="1" s="1"/>
  <c r="O2185" i="1" a="1"/>
  <c r="O2185" i="1" s="1"/>
  <c r="O2184" i="1" a="1"/>
  <c r="O2184" i="1" s="1"/>
  <c r="O2183" i="1"/>
  <c r="O2183" i="1" a="1"/>
  <c r="O2182" i="1" a="1"/>
  <c r="O2182" i="1" s="1"/>
  <c r="O2181" i="1" a="1"/>
  <c r="O2181" i="1" s="1"/>
  <c r="O2180" i="1" a="1"/>
  <c r="O2180" i="1" s="1"/>
  <c r="O2179" i="1"/>
  <c r="O2179" i="1" a="1"/>
  <c r="O2178" i="1" a="1"/>
  <c r="O2178" i="1" s="1"/>
  <c r="O2177" i="1" a="1"/>
  <c r="O2177" i="1" s="1"/>
  <c r="O2176" i="1"/>
  <c r="O2176" i="1" a="1"/>
  <c r="O2175" i="1" a="1"/>
  <c r="O2175" i="1" s="1"/>
  <c r="O2174" i="1"/>
  <c r="O2174" i="1" a="1"/>
  <c r="O2173" i="1" a="1"/>
  <c r="O2173" i="1" s="1"/>
  <c r="O2172" i="1" a="1"/>
  <c r="O2172" i="1" s="1"/>
  <c r="O2171" i="1"/>
  <c r="O2171" i="1" a="1"/>
  <c r="O2170" i="1" a="1"/>
  <c r="O2170" i="1" s="1"/>
  <c r="O2169" i="1" a="1"/>
  <c r="O2169" i="1" s="1"/>
  <c r="O2168" i="1"/>
  <c r="O2168" i="1" a="1"/>
  <c r="O2167" i="1" a="1"/>
  <c r="O2167" i="1" s="1"/>
  <c r="O2166" i="1" a="1"/>
  <c r="O2166" i="1" s="1"/>
  <c r="O2165" i="1" a="1"/>
  <c r="O2165" i="1" s="1"/>
  <c r="O2164" i="1" a="1"/>
  <c r="O2164" i="1" s="1"/>
  <c r="O2163" i="1" a="1"/>
  <c r="O2163" i="1" s="1"/>
  <c r="O2162" i="1" a="1"/>
  <c r="O2162" i="1" s="1"/>
  <c r="O2161" i="1" a="1"/>
  <c r="O2161" i="1" s="1"/>
  <c r="O2160" i="1" a="1"/>
  <c r="O2160" i="1" s="1"/>
  <c r="O2159" i="1"/>
  <c r="O2159" i="1" a="1"/>
  <c r="O2158" i="1" a="1"/>
  <c r="O2158" i="1" s="1"/>
  <c r="O2157" i="1" a="1"/>
  <c r="O2157" i="1" s="1"/>
  <c r="O2156" i="1" a="1"/>
  <c r="O2156" i="1" s="1"/>
  <c r="O2155" i="1"/>
  <c r="O2155" i="1" a="1"/>
  <c r="O2154" i="1"/>
  <c r="O2154" i="1" a="1"/>
  <c r="O2153" i="1" a="1"/>
  <c r="O2153" i="1" s="1"/>
  <c r="O2152" i="1"/>
  <c r="O2152" i="1" a="1"/>
  <c r="O2151" i="1"/>
  <c r="O2151" i="1" a="1"/>
  <c r="O2150" i="1"/>
  <c r="O2150" i="1" a="1"/>
  <c r="O2149" i="1" a="1"/>
  <c r="O2149" i="1" s="1"/>
  <c r="O2148" i="1"/>
  <c r="O2148" i="1" a="1"/>
  <c r="O2147" i="1"/>
  <c r="O2147" i="1" a="1"/>
  <c r="O2146" i="1" a="1"/>
  <c r="O2146" i="1" s="1"/>
  <c r="O2145" i="1" a="1"/>
  <c r="O2145" i="1" s="1"/>
  <c r="O2144" i="1"/>
  <c r="O2144" i="1" a="1"/>
  <c r="O2143" i="1" a="1"/>
  <c r="O2143" i="1" s="1"/>
  <c r="O2142" i="1" a="1"/>
  <c r="O2142" i="1" s="1"/>
  <c r="O2141" i="1" a="1"/>
  <c r="O2141" i="1" s="1"/>
  <c r="O2140" i="1" a="1"/>
  <c r="O2140" i="1" s="1"/>
  <c r="O2139" i="1"/>
  <c r="O2139" i="1" a="1"/>
  <c r="O2138" i="1"/>
  <c r="O2138" i="1" a="1"/>
  <c r="O2137" i="1" a="1"/>
  <c r="O2137" i="1" s="1"/>
  <c r="O2136" i="1"/>
  <c r="O2136" i="1" a="1"/>
  <c r="O2135" i="1" a="1"/>
  <c r="O2135" i="1" s="1"/>
  <c r="O2134" i="1" a="1"/>
  <c r="O2134" i="1" s="1"/>
  <c r="O2133" i="1"/>
  <c r="O2133" i="1" a="1"/>
  <c r="O2132" i="1" a="1"/>
  <c r="O2132" i="1" s="1"/>
  <c r="O2131" i="1" a="1"/>
  <c r="O2131" i="1" s="1"/>
  <c r="O2130" i="1"/>
  <c r="O2130" i="1" a="1"/>
  <c r="O2129" i="1" a="1"/>
  <c r="O2129" i="1" s="1"/>
  <c r="O2128" i="1" a="1"/>
  <c r="O2128" i="1" s="1"/>
  <c r="O2127" i="1" a="1"/>
  <c r="O2127" i="1" s="1"/>
  <c r="O2126" i="1" a="1"/>
  <c r="O2126" i="1" s="1"/>
  <c r="O2125" i="1"/>
  <c r="O2125" i="1" a="1"/>
  <c r="O2124" i="1"/>
  <c r="O2124" i="1" a="1"/>
  <c r="O2123" i="1"/>
  <c r="O2123" i="1" a="1"/>
  <c r="O2122" i="1" a="1"/>
  <c r="O2122" i="1" s="1"/>
  <c r="O2121" i="1" a="1"/>
  <c r="O2121" i="1" s="1"/>
  <c r="O2120" i="1"/>
  <c r="O2120" i="1" a="1"/>
  <c r="O2119" i="1"/>
  <c r="O2119" i="1" a="1"/>
  <c r="O2118" i="1"/>
  <c r="O2118" i="1" a="1"/>
  <c r="O2117" i="1" a="1"/>
  <c r="O2117" i="1" s="1"/>
  <c r="O2116" i="1" a="1"/>
  <c r="O2116" i="1" s="1"/>
  <c r="O2115" i="1" a="1"/>
  <c r="O2115" i="1" s="1"/>
  <c r="O2114" i="1" a="1"/>
  <c r="O2114" i="1" s="1"/>
  <c r="O2113" i="1" a="1"/>
  <c r="O2113" i="1" s="1"/>
  <c r="O2112" i="1"/>
  <c r="O2112" i="1" a="1"/>
  <c r="O2111" i="1" a="1"/>
  <c r="O2111" i="1" s="1"/>
  <c r="O2110" i="1"/>
  <c r="O2110" i="1" a="1"/>
  <c r="O2109" i="1"/>
  <c r="O2109" i="1" a="1"/>
  <c r="O2108" i="1" a="1"/>
  <c r="O2108" i="1" s="1"/>
  <c r="O2107" i="1" a="1"/>
  <c r="O2107" i="1" s="1"/>
  <c r="O2106" i="1" a="1"/>
  <c r="O2106" i="1" s="1"/>
  <c r="O2105" i="1" a="1"/>
  <c r="O2105" i="1" s="1"/>
  <c r="O2104" i="1"/>
  <c r="O2104" i="1" a="1"/>
  <c r="O2103" i="1" a="1"/>
  <c r="O2103" i="1" s="1"/>
  <c r="O2102" i="1" a="1"/>
  <c r="O2102" i="1" s="1"/>
  <c r="O2101" i="1"/>
  <c r="O2101" i="1" a="1"/>
  <c r="O2100" i="1" a="1"/>
  <c r="O2100" i="1" s="1"/>
  <c r="O2099" i="1"/>
  <c r="O2099" i="1" a="1"/>
  <c r="O2098" i="1"/>
  <c r="O2098" i="1" a="1"/>
  <c r="O2097" i="1" a="1"/>
  <c r="O2097" i="1" s="1"/>
  <c r="O2096" i="1"/>
  <c r="O2096" i="1" a="1"/>
  <c r="O2095" i="1"/>
  <c r="O2095" i="1" a="1"/>
  <c r="O2094" i="1" a="1"/>
  <c r="O2094" i="1" s="1"/>
  <c r="O2093" i="1" a="1"/>
  <c r="O2093" i="1" s="1"/>
  <c r="O2092" i="1"/>
  <c r="O2092" i="1" a="1"/>
  <c r="O2091" i="1"/>
  <c r="O2091" i="1" a="1"/>
  <c r="O2090" i="1"/>
  <c r="O2090" i="1" a="1"/>
  <c r="O2089" i="1"/>
  <c r="O2089" i="1" a="1"/>
  <c r="O2088" i="1" a="1"/>
  <c r="O2088" i="1" s="1"/>
  <c r="O2087" i="1" a="1"/>
  <c r="O2087" i="1" s="1"/>
  <c r="O2086" i="1" a="1"/>
  <c r="O2086" i="1" s="1"/>
  <c r="O2085" i="1"/>
  <c r="O2085" i="1" a="1"/>
  <c r="O2084" i="1" a="1"/>
  <c r="O2084" i="1" s="1"/>
  <c r="O2083" i="1"/>
  <c r="O2083" i="1" a="1"/>
  <c r="O2082" i="1"/>
  <c r="O2082" i="1" a="1"/>
  <c r="O2081" i="1"/>
  <c r="O2081" i="1" a="1"/>
  <c r="O2080" i="1"/>
  <c r="O2080" i="1" a="1"/>
  <c r="O2079" i="1" a="1"/>
  <c r="O2079" i="1" s="1"/>
  <c r="O2078" i="1" a="1"/>
  <c r="O2078" i="1" s="1"/>
  <c r="O2077" i="1" a="1"/>
  <c r="O2077" i="1" s="1"/>
  <c r="O2076" i="1" a="1"/>
  <c r="O2076" i="1" s="1"/>
  <c r="O2075" i="1" a="1"/>
  <c r="O2075" i="1" s="1"/>
  <c r="O2074" i="1" a="1"/>
  <c r="O2074" i="1" s="1"/>
  <c r="O2073" i="1" a="1"/>
  <c r="O2073" i="1" s="1"/>
  <c r="O2072" i="1" a="1"/>
  <c r="O2072" i="1" s="1"/>
  <c r="O2071" i="1"/>
  <c r="O2071" i="1" a="1"/>
  <c r="O2070" i="1"/>
  <c r="O2070" i="1" a="1"/>
  <c r="O2069" i="1"/>
  <c r="O2069" i="1" a="1"/>
  <c r="O2068" i="1"/>
  <c r="O2068" i="1" a="1"/>
  <c r="O2067" i="1"/>
  <c r="O2067" i="1" a="1"/>
  <c r="O2066" i="1"/>
  <c r="O2066" i="1" a="1"/>
  <c r="O2065" i="1" a="1"/>
  <c r="O2065" i="1" s="1"/>
  <c r="O2064" i="1" a="1"/>
  <c r="O2064" i="1" s="1"/>
  <c r="O2063" i="1" a="1"/>
  <c r="O2063" i="1" s="1"/>
  <c r="O2062" i="1" a="1"/>
  <c r="O2062" i="1" s="1"/>
  <c r="O2061" i="1"/>
  <c r="O2061" i="1" a="1"/>
  <c r="O2060" i="1"/>
  <c r="O2060" i="1" a="1"/>
  <c r="O2059" i="1" a="1"/>
  <c r="O2059" i="1" s="1"/>
  <c r="O2058" i="1" a="1"/>
  <c r="O2058" i="1" s="1"/>
  <c r="O2057" i="1" a="1"/>
  <c r="O2057" i="1" s="1"/>
  <c r="O2056" i="1" a="1"/>
  <c r="O2056" i="1" s="1"/>
  <c r="O2055" i="1" a="1"/>
  <c r="O2055" i="1" s="1"/>
  <c r="O2054" i="1" a="1"/>
  <c r="O2054" i="1" s="1"/>
  <c r="O2053" i="1"/>
  <c r="O2053" i="1" a="1"/>
  <c r="O2052" i="1"/>
  <c r="O2052" i="1" a="1"/>
  <c r="O2051" i="1" a="1"/>
  <c r="O2051" i="1" s="1"/>
  <c r="O2050" i="1"/>
  <c r="O2050" i="1" a="1"/>
  <c r="O2049" i="1" a="1"/>
  <c r="O2049" i="1" s="1"/>
  <c r="O2048" i="1" a="1"/>
  <c r="O2048" i="1" s="1"/>
  <c r="O2047" i="1"/>
  <c r="O2047" i="1" a="1"/>
  <c r="O2046" i="1" a="1"/>
  <c r="O2046" i="1" s="1"/>
  <c r="O2045" i="1" a="1"/>
  <c r="O2045" i="1" s="1"/>
  <c r="O2044" i="1" a="1"/>
  <c r="O2044" i="1" s="1"/>
  <c r="O2043" i="1"/>
  <c r="O2043" i="1" a="1"/>
  <c r="O2042" i="1"/>
  <c r="O2042" i="1" a="1"/>
  <c r="O2041" i="1"/>
  <c r="O2041" i="1" a="1"/>
  <c r="O2040" i="1" a="1"/>
  <c r="O2040" i="1" s="1"/>
  <c r="O2039" i="1" a="1"/>
  <c r="O2039" i="1" s="1"/>
  <c r="O2038" i="1"/>
  <c r="O2038" i="1" a="1"/>
  <c r="O2037" i="1" a="1"/>
  <c r="O2037" i="1" s="1"/>
  <c r="O2036" i="1"/>
  <c r="O2036" i="1" a="1"/>
  <c r="O2035" i="1" a="1"/>
  <c r="O2035" i="1" s="1"/>
  <c r="O2034" i="1" a="1"/>
  <c r="O2034" i="1" s="1"/>
  <c r="O2033" i="1" a="1"/>
  <c r="O2033" i="1" s="1"/>
  <c r="O2032" i="1" a="1"/>
  <c r="O2032" i="1" s="1"/>
  <c r="O2031" i="1"/>
  <c r="O2031" i="1" a="1"/>
  <c r="O2030" i="1" a="1"/>
  <c r="O2030" i="1" s="1"/>
  <c r="O2029" i="1"/>
  <c r="O2029" i="1" a="1"/>
  <c r="O2028" i="1" a="1"/>
  <c r="O2028" i="1" s="1"/>
  <c r="O2027" i="1"/>
  <c r="O2027" i="1" a="1"/>
  <c r="O2026" i="1" a="1"/>
  <c r="O2026" i="1" s="1"/>
  <c r="O2025" i="1" a="1"/>
  <c r="O2025" i="1" s="1"/>
  <c r="O2024" i="1" a="1"/>
  <c r="O2024" i="1" s="1"/>
  <c r="O2023" i="1" a="1"/>
  <c r="O2023" i="1" s="1"/>
  <c r="O2022" i="1" a="1"/>
  <c r="O2022" i="1" s="1"/>
  <c r="O2021" i="1"/>
  <c r="O2021" i="1" a="1"/>
  <c r="O2020" i="1" a="1"/>
  <c r="O2020" i="1" s="1"/>
  <c r="O2019" i="1" a="1"/>
  <c r="O2019" i="1" s="1"/>
  <c r="O2018" i="1"/>
  <c r="O2018" i="1" a="1"/>
  <c r="O2017" i="1"/>
  <c r="O2017" i="1" a="1"/>
  <c r="O2016" i="1" a="1"/>
  <c r="O2016" i="1" s="1"/>
  <c r="O2015" i="1"/>
  <c r="O2015" i="1" a="1"/>
  <c r="O2014" i="1"/>
  <c r="O2014" i="1" a="1"/>
  <c r="O2013" i="1"/>
  <c r="O2013" i="1" a="1"/>
  <c r="O2012" i="1"/>
  <c r="O2012" i="1" a="1"/>
  <c r="O2011" i="1" a="1"/>
  <c r="O2011" i="1" s="1"/>
  <c r="O2010" i="1" a="1"/>
  <c r="O2010" i="1" s="1"/>
  <c r="O2009" i="1" a="1"/>
  <c r="O2009" i="1" s="1"/>
  <c r="O2008" i="1" a="1"/>
  <c r="O2008" i="1" s="1"/>
  <c r="O2007" i="1" a="1"/>
  <c r="O2007" i="1" s="1"/>
  <c r="O2006" i="1" a="1"/>
  <c r="O2006" i="1" s="1"/>
  <c r="O2005" i="1"/>
  <c r="O2005" i="1" a="1"/>
  <c r="O2004" i="1" a="1"/>
  <c r="O2004" i="1" s="1"/>
  <c r="O2003" i="1" a="1"/>
  <c r="O2003" i="1" s="1"/>
  <c r="O2002" i="1" a="1"/>
  <c r="O2002" i="1" s="1"/>
  <c r="O2001" i="1"/>
  <c r="O2001" i="1" a="1"/>
  <c r="O2000" i="1"/>
  <c r="O2000" i="1" a="1"/>
  <c r="O1999" i="1" a="1"/>
  <c r="O1999" i="1" s="1"/>
  <c r="O1998" i="1"/>
  <c r="O1998" i="1" a="1"/>
  <c r="O1997" i="1" a="1"/>
  <c r="O1997" i="1" s="1"/>
  <c r="O1996" i="1" a="1"/>
  <c r="O1996" i="1" s="1"/>
  <c r="O1995" i="1" a="1"/>
  <c r="O1995" i="1" s="1"/>
  <c r="O1994" i="1" a="1"/>
  <c r="O1994" i="1" s="1"/>
  <c r="O1993" i="1" a="1"/>
  <c r="O1993" i="1" s="1"/>
  <c r="O1992" i="1"/>
  <c r="O1992" i="1" a="1"/>
  <c r="O1991" i="1"/>
  <c r="O1991" i="1" a="1"/>
  <c r="O1990" i="1" a="1"/>
  <c r="O1990" i="1" s="1"/>
  <c r="O1989" i="1" a="1"/>
  <c r="O1989" i="1" s="1"/>
  <c r="O1988" i="1" a="1"/>
  <c r="O1988" i="1" s="1"/>
  <c r="O1987" i="1"/>
  <c r="O1987" i="1" a="1"/>
  <c r="O1986" i="1"/>
  <c r="O1986" i="1" a="1"/>
  <c r="O1985" i="1"/>
  <c r="O1985" i="1" a="1"/>
  <c r="O1984" i="1" a="1"/>
  <c r="O1984" i="1" s="1"/>
  <c r="O1983" i="1"/>
  <c r="O1983" i="1" a="1"/>
  <c r="O1982" i="1"/>
  <c r="O1982" i="1" a="1"/>
  <c r="O1981" i="1" a="1"/>
  <c r="O1981" i="1" s="1"/>
  <c r="O1980" i="1"/>
  <c r="O1980" i="1" a="1"/>
  <c r="O1979" i="1" a="1"/>
  <c r="O1979" i="1" s="1"/>
  <c r="O1978" i="1" a="1"/>
  <c r="O1978" i="1" s="1"/>
  <c r="O1977" i="1" a="1"/>
  <c r="O1977" i="1" s="1"/>
  <c r="O1976" i="1" a="1"/>
  <c r="O1976" i="1" s="1"/>
  <c r="O1975" i="1" a="1"/>
  <c r="O1975" i="1" s="1"/>
  <c r="O1974" i="1" a="1"/>
  <c r="O1974" i="1" s="1"/>
  <c r="O1973" i="1"/>
  <c r="O1973" i="1" a="1"/>
  <c r="O1972" i="1"/>
  <c r="O1972" i="1" a="1"/>
  <c r="O1971" i="1"/>
  <c r="O1971" i="1" a="1"/>
  <c r="O1970" i="1" a="1"/>
  <c r="O1970" i="1" s="1"/>
  <c r="O1969" i="1"/>
  <c r="O1969" i="1" a="1"/>
  <c r="O1968" i="1" a="1"/>
  <c r="O1968" i="1" s="1"/>
  <c r="O1967" i="1" a="1"/>
  <c r="O1967" i="1" s="1"/>
  <c r="O1966" i="1" a="1"/>
  <c r="O1966" i="1" s="1"/>
  <c r="O1965" i="1" a="1"/>
  <c r="O1965" i="1" s="1"/>
  <c r="O1964" i="1"/>
  <c r="O1964" i="1" a="1"/>
  <c r="O1963" i="1"/>
  <c r="O1963" i="1" a="1"/>
  <c r="O1962" i="1"/>
  <c r="O1962" i="1" a="1"/>
  <c r="O1961" i="1" a="1"/>
  <c r="O1961" i="1" s="1"/>
  <c r="O1960" i="1" a="1"/>
  <c r="O1960" i="1" s="1"/>
  <c r="O1959" i="1" a="1"/>
  <c r="O1959" i="1" s="1"/>
  <c r="O1958" i="1" a="1"/>
  <c r="O1958" i="1" s="1"/>
  <c r="O1957" i="1"/>
  <c r="O1957" i="1" a="1"/>
  <c r="O1956" i="1"/>
  <c r="O1956" i="1" a="1"/>
  <c r="O1955" i="1" a="1"/>
  <c r="O1955" i="1" s="1"/>
  <c r="O1954" i="1"/>
  <c r="O1954" i="1" a="1"/>
  <c r="O1953" i="1" a="1"/>
  <c r="O1953" i="1" s="1"/>
  <c r="O1952" i="1"/>
  <c r="O1952" i="1" a="1"/>
  <c r="O1951" i="1"/>
  <c r="O1951" i="1" a="1"/>
  <c r="O1950" i="1" a="1"/>
  <c r="O1950" i="1" s="1"/>
  <c r="O1949" i="1" a="1"/>
  <c r="O1949" i="1" s="1"/>
  <c r="O1948" i="1"/>
  <c r="O1948" i="1" a="1"/>
  <c r="O1947" i="1"/>
  <c r="O1947" i="1" a="1"/>
  <c r="O1946" i="1" a="1"/>
  <c r="O1946" i="1" s="1"/>
  <c r="O1945" i="1"/>
  <c r="O1945" i="1" a="1"/>
  <c r="O1944" i="1"/>
  <c r="O1944" i="1" a="1"/>
  <c r="O1943" i="1"/>
  <c r="O1943" i="1" a="1"/>
  <c r="O1942" i="1" a="1"/>
  <c r="O1942" i="1" s="1"/>
  <c r="O1941" i="1" a="1"/>
  <c r="O1941" i="1" s="1"/>
  <c r="O1940" i="1" a="1"/>
  <c r="O1940" i="1" s="1"/>
  <c r="O1939" i="1" a="1"/>
  <c r="O1939" i="1" s="1"/>
  <c r="O1938" i="1"/>
  <c r="O1938" i="1" a="1"/>
  <c r="O1937" i="1"/>
  <c r="O1937" i="1" a="1"/>
  <c r="O1936" i="1" a="1"/>
  <c r="O1936" i="1" s="1"/>
  <c r="O1935" i="1" a="1"/>
  <c r="O1935" i="1" s="1"/>
  <c r="O1934" i="1"/>
  <c r="O1934" i="1" a="1"/>
  <c r="O1933" i="1" a="1"/>
  <c r="O1933" i="1" s="1"/>
  <c r="O1932" i="1" a="1"/>
  <c r="O1932" i="1" s="1"/>
  <c r="O1931" i="1" a="1"/>
  <c r="O1931" i="1" s="1"/>
  <c r="O1930" i="1"/>
  <c r="O1930" i="1" a="1"/>
  <c r="O1929" i="1"/>
  <c r="O1929" i="1" a="1"/>
  <c r="O1928" i="1" a="1"/>
  <c r="O1928" i="1" s="1"/>
  <c r="O1927" i="1" a="1"/>
  <c r="O1927" i="1" s="1"/>
  <c r="O1926" i="1" a="1"/>
  <c r="O1926" i="1" s="1"/>
  <c r="O1925" i="1" a="1"/>
  <c r="O1925" i="1" s="1"/>
  <c r="O1924" i="1" a="1"/>
  <c r="O1924" i="1" s="1"/>
  <c r="O1923" i="1" a="1"/>
  <c r="O1923" i="1" s="1"/>
  <c r="O1922" i="1"/>
  <c r="O1922" i="1" a="1"/>
  <c r="O1921" i="1" a="1"/>
  <c r="O1921" i="1" s="1"/>
  <c r="O1920" i="1" a="1"/>
  <c r="O1920" i="1" s="1"/>
  <c r="O1919" i="1" a="1"/>
  <c r="O1919" i="1" s="1"/>
  <c r="O1918" i="1" a="1"/>
  <c r="O1918" i="1" s="1"/>
  <c r="O1917" i="1" a="1"/>
  <c r="O1917" i="1" s="1"/>
  <c r="O1916" i="1" a="1"/>
  <c r="O1916" i="1" s="1"/>
  <c r="O1915" i="1" a="1"/>
  <c r="O1915" i="1" s="1"/>
  <c r="O1914" i="1"/>
  <c r="O1914" i="1" a="1"/>
  <c r="O1913" i="1" a="1"/>
  <c r="O1913" i="1" s="1"/>
  <c r="O1912" i="1" a="1"/>
  <c r="O1912" i="1" s="1"/>
  <c r="O1911" i="1" a="1"/>
  <c r="O1911" i="1" s="1"/>
  <c r="O1910" i="1" a="1"/>
  <c r="O1910" i="1" s="1"/>
  <c r="O1909" i="1"/>
  <c r="O1909" i="1" a="1"/>
  <c r="O1908" i="1"/>
  <c r="O1908" i="1" a="1"/>
  <c r="O1907" i="1" a="1"/>
  <c r="O1907" i="1" s="1"/>
  <c r="O1906" i="1" a="1"/>
  <c r="O1906" i="1" s="1"/>
  <c r="O1905" i="1"/>
  <c r="O1905" i="1" a="1"/>
  <c r="O1904" i="1" a="1"/>
  <c r="O1904" i="1" s="1"/>
  <c r="O1903" i="1"/>
  <c r="O1903" i="1" a="1"/>
  <c r="O1902" i="1"/>
  <c r="O1902" i="1" a="1"/>
  <c r="O1901" i="1" a="1"/>
  <c r="O1901" i="1" s="1"/>
  <c r="O1900" i="1" a="1"/>
  <c r="O1900" i="1" s="1"/>
  <c r="O1899" i="1"/>
  <c r="O1899" i="1" a="1"/>
  <c r="O1898" i="1" a="1"/>
  <c r="O1898" i="1" s="1"/>
  <c r="O1897" i="1" a="1"/>
  <c r="O1897" i="1" s="1"/>
  <c r="O1896" i="1" a="1"/>
  <c r="O1896" i="1" s="1"/>
  <c r="O1895" i="1" a="1"/>
  <c r="O1895" i="1" s="1"/>
  <c r="O1894" i="1"/>
  <c r="O1894" i="1" a="1"/>
  <c r="O1893" i="1"/>
  <c r="O1893" i="1" a="1"/>
  <c r="O1892" i="1" a="1"/>
  <c r="O1892" i="1" s="1"/>
  <c r="O1891" i="1" a="1"/>
  <c r="O1891" i="1" s="1"/>
  <c r="O1890" i="1" a="1"/>
  <c r="O1890" i="1" s="1"/>
  <c r="O1889" i="1"/>
  <c r="O1889" i="1" a="1"/>
  <c r="O1888" i="1" a="1"/>
  <c r="O1888" i="1" s="1"/>
  <c r="O1887" i="1" a="1"/>
  <c r="O1887" i="1" s="1"/>
  <c r="O1886" i="1"/>
  <c r="O1886" i="1" a="1"/>
  <c r="O1885" i="1"/>
  <c r="O1885" i="1" a="1"/>
  <c r="O1884" i="1"/>
  <c r="O1884" i="1" a="1"/>
  <c r="O1883" i="1" a="1"/>
  <c r="O1883" i="1" s="1"/>
  <c r="O1882" i="1" a="1"/>
  <c r="O1882" i="1" s="1"/>
  <c r="O1881" i="1" a="1"/>
  <c r="O1881" i="1" s="1"/>
  <c r="O1880" i="1" a="1"/>
  <c r="O1880" i="1" s="1"/>
  <c r="O1879" i="1" a="1"/>
  <c r="O1879" i="1" s="1"/>
  <c r="O1878" i="1" a="1"/>
  <c r="O1878" i="1" s="1"/>
  <c r="O1877" i="1"/>
  <c r="O1877" i="1" a="1"/>
  <c r="O1876" i="1" a="1"/>
  <c r="O1876" i="1" s="1"/>
  <c r="O1875" i="1" a="1"/>
  <c r="O1875" i="1" s="1"/>
  <c r="O1874" i="1"/>
  <c r="O1874" i="1" a="1"/>
  <c r="O1873" i="1"/>
  <c r="O1873" i="1" a="1"/>
  <c r="O1872" i="1" a="1"/>
  <c r="O1872" i="1" s="1"/>
  <c r="O1871" i="1" a="1"/>
  <c r="O1871" i="1" s="1"/>
  <c r="O1870" i="1" a="1"/>
  <c r="O1870" i="1" s="1"/>
  <c r="O1869" i="1" a="1"/>
  <c r="O1869" i="1" s="1"/>
  <c r="O1868" i="1"/>
  <c r="O1868" i="1" a="1"/>
  <c r="O1867" i="1" a="1"/>
  <c r="O1867" i="1" s="1"/>
  <c r="O1866" i="1" a="1"/>
  <c r="O1866" i="1" s="1"/>
  <c r="O1865" i="1" a="1"/>
  <c r="O1865" i="1" s="1"/>
  <c r="O1864" i="1"/>
  <c r="O1864" i="1" a="1"/>
  <c r="O1863" i="1" a="1"/>
  <c r="O1863" i="1" s="1"/>
  <c r="O1862" i="1" a="1"/>
  <c r="O1862" i="1" s="1"/>
  <c r="O1861" i="1" a="1"/>
  <c r="O1861" i="1" s="1"/>
  <c r="O1860" i="1"/>
  <c r="O1860" i="1" a="1"/>
  <c r="O1859" i="1" a="1"/>
  <c r="O1859" i="1" s="1"/>
  <c r="O1858" i="1" a="1"/>
  <c r="O1858" i="1" s="1"/>
  <c r="O1857" i="1" a="1"/>
  <c r="O1857" i="1" s="1"/>
  <c r="O1856" i="1"/>
  <c r="O1856" i="1" a="1"/>
  <c r="O1855" i="1" a="1"/>
  <c r="O1855" i="1" s="1"/>
  <c r="O1854" i="1"/>
  <c r="O1854" i="1" a="1"/>
  <c r="O1853" i="1" a="1"/>
  <c r="O1853" i="1" s="1"/>
  <c r="O1852" i="1" a="1"/>
  <c r="O1852" i="1" s="1"/>
  <c r="O1851" i="1"/>
  <c r="O1851" i="1" a="1"/>
  <c r="O1850" i="1" a="1"/>
  <c r="O1850" i="1" s="1"/>
  <c r="O1849" i="1" a="1"/>
  <c r="O1849" i="1" s="1"/>
  <c r="O1848" i="1" a="1"/>
  <c r="O1848" i="1" s="1"/>
  <c r="O1847" i="1" a="1"/>
  <c r="O1847" i="1" s="1"/>
  <c r="O1846" i="1"/>
  <c r="O1846" i="1" a="1"/>
  <c r="O1845" i="1"/>
  <c r="O1845" i="1" a="1"/>
  <c r="O1844" i="1" a="1"/>
  <c r="O1844" i="1" s="1"/>
  <c r="O1843" i="1" a="1"/>
  <c r="O1843" i="1" s="1"/>
  <c r="O1842" i="1"/>
  <c r="O1842" i="1" a="1"/>
  <c r="O1841" i="1" a="1"/>
  <c r="O1841" i="1" s="1"/>
  <c r="O1840" i="1" a="1"/>
  <c r="O1840" i="1" s="1"/>
  <c r="O1839" i="1" a="1"/>
  <c r="O1839" i="1" s="1"/>
  <c r="O1838" i="1" a="1"/>
  <c r="O1838" i="1" s="1"/>
  <c r="O1837" i="1" a="1"/>
  <c r="O1837" i="1" s="1"/>
  <c r="O1836" i="1"/>
  <c r="O1836" i="1" a="1"/>
  <c r="O1835" i="1"/>
  <c r="O1835" i="1" a="1"/>
  <c r="O1834" i="1" a="1"/>
  <c r="O1834" i="1" s="1"/>
  <c r="O1833" i="1"/>
  <c r="O1833" i="1" a="1"/>
  <c r="O1832" i="1" a="1"/>
  <c r="O1832" i="1" s="1"/>
  <c r="O1831" i="1" a="1"/>
  <c r="O1831" i="1" s="1"/>
  <c r="O1830" i="1" a="1"/>
  <c r="O1830" i="1" s="1"/>
  <c r="O1829" i="1" a="1"/>
  <c r="O1829" i="1" s="1"/>
  <c r="O1828" i="1" a="1"/>
  <c r="O1828" i="1" s="1"/>
  <c r="O1827" i="1" a="1"/>
  <c r="O1827" i="1" s="1"/>
  <c r="O1826" i="1" a="1"/>
  <c r="O1826" i="1" s="1"/>
  <c r="O1825" i="1"/>
  <c r="O1825" i="1" a="1"/>
  <c r="O1824" i="1" a="1"/>
  <c r="O1824" i="1" s="1"/>
  <c r="O1823" i="1" a="1"/>
  <c r="O1823" i="1" s="1"/>
  <c r="O1822" i="1" a="1"/>
  <c r="O1822" i="1" s="1"/>
  <c r="O1821" i="1"/>
  <c r="O1821" i="1" a="1"/>
  <c r="O1820" i="1" a="1"/>
  <c r="O1820" i="1" s="1"/>
  <c r="O1819" i="1" a="1"/>
  <c r="O1819" i="1" s="1"/>
  <c r="O1818" i="1"/>
  <c r="O1818" i="1" a="1"/>
  <c r="O1817" i="1"/>
  <c r="O1817" i="1" a="1"/>
  <c r="O1816" i="1"/>
  <c r="O1816" i="1" a="1"/>
  <c r="O1815" i="1"/>
  <c r="O1815" i="1" a="1"/>
  <c r="O1814" i="1" a="1"/>
  <c r="O1814" i="1" s="1"/>
  <c r="O1813" i="1" a="1"/>
  <c r="O1813" i="1" s="1"/>
  <c r="O1812" i="1" a="1"/>
  <c r="O1812" i="1" s="1"/>
  <c r="O1811" i="1" a="1"/>
  <c r="O1811" i="1" s="1"/>
  <c r="O1810" i="1" a="1"/>
  <c r="O1810" i="1" s="1"/>
  <c r="O1809" i="1"/>
  <c r="O1809" i="1" a="1"/>
  <c r="O1808" i="1" a="1"/>
  <c r="O1808" i="1" s="1"/>
  <c r="O1807" i="1" a="1"/>
  <c r="O1807" i="1" s="1"/>
  <c r="O1806" i="1"/>
  <c r="O1806" i="1" a="1"/>
  <c r="O1805" i="1" a="1"/>
  <c r="O1805" i="1" s="1"/>
  <c r="O1804" i="1"/>
  <c r="O1804" i="1" a="1"/>
  <c r="O1803" i="1"/>
  <c r="O1803" i="1" a="1"/>
  <c r="O1802" i="1" a="1"/>
  <c r="O1802" i="1" s="1"/>
  <c r="O1801" i="1"/>
  <c r="O1801" i="1" a="1"/>
  <c r="O1800" i="1" a="1"/>
  <c r="O1800" i="1" s="1"/>
  <c r="O1799" i="1"/>
  <c r="O1799" i="1" a="1"/>
  <c r="O1798" i="1" a="1"/>
  <c r="O1798" i="1" s="1"/>
  <c r="O1797" i="1"/>
  <c r="O1797" i="1" a="1"/>
  <c r="O1796" i="1"/>
  <c r="O1796" i="1" a="1"/>
  <c r="O1795" i="1"/>
  <c r="O1795" i="1" a="1"/>
  <c r="O1794" i="1" a="1"/>
  <c r="O1794" i="1" s="1"/>
  <c r="O1793" i="1"/>
  <c r="O1793" i="1" a="1"/>
  <c r="O1792" i="1"/>
  <c r="O1792" i="1" a="1"/>
  <c r="O1791" i="1" a="1"/>
  <c r="O1791" i="1" s="1"/>
  <c r="O1790" i="1" a="1"/>
  <c r="O1790" i="1" s="1"/>
  <c r="O1789" i="1"/>
  <c r="O1789" i="1" a="1"/>
  <c r="O1788" i="1" a="1"/>
  <c r="O1788" i="1" s="1"/>
  <c r="O1787" i="1" a="1"/>
  <c r="O1787" i="1" s="1"/>
  <c r="O1786" i="1" a="1"/>
  <c r="O1786" i="1" s="1"/>
  <c r="O1785" i="1"/>
  <c r="O1785" i="1" a="1"/>
  <c r="O1784" i="1" a="1"/>
  <c r="O1784" i="1" s="1"/>
  <c r="O1783" i="1"/>
  <c r="O1783" i="1" a="1"/>
  <c r="O1782" i="1" a="1"/>
  <c r="O1782" i="1" s="1"/>
  <c r="O1781" i="1" a="1"/>
  <c r="O1781" i="1" s="1"/>
  <c r="O1780" i="1" a="1"/>
  <c r="O1780" i="1" s="1"/>
  <c r="O1779" i="1" a="1"/>
  <c r="O1779" i="1" s="1"/>
  <c r="O1778" i="1"/>
  <c r="O1778" i="1" a="1"/>
  <c r="O1777" i="1" a="1"/>
  <c r="O1777" i="1" s="1"/>
  <c r="O1776" i="1" a="1"/>
  <c r="O1776" i="1" s="1"/>
  <c r="O1775" i="1" a="1"/>
  <c r="O1775" i="1" s="1"/>
  <c r="O1774" i="1"/>
  <c r="O1774" i="1" a="1"/>
  <c r="O1773" i="1" a="1"/>
  <c r="O1773" i="1" s="1"/>
  <c r="O1772" i="1" a="1"/>
  <c r="O1772" i="1" s="1"/>
  <c r="O1771" i="1"/>
  <c r="O1771" i="1" a="1"/>
  <c r="O1770" i="1" a="1"/>
  <c r="O1770" i="1" s="1"/>
  <c r="O1769" i="1" a="1"/>
  <c r="O1769" i="1" s="1"/>
  <c r="O1768" i="1"/>
  <c r="O1768" i="1" a="1"/>
  <c r="O1767" i="1"/>
  <c r="O1767" i="1" a="1"/>
  <c r="O1766" i="1" a="1"/>
  <c r="O1766" i="1" s="1"/>
  <c r="O1765" i="1"/>
  <c r="O1765" i="1" a="1"/>
  <c r="O1764" i="1"/>
  <c r="O1764" i="1" a="1"/>
  <c r="O1763" i="1" a="1"/>
  <c r="O1763" i="1" s="1"/>
  <c r="O1762" i="1" a="1"/>
  <c r="O1762" i="1" s="1"/>
  <c r="O1761" i="1" a="1"/>
  <c r="O1761" i="1" s="1"/>
  <c r="O1760" i="1"/>
  <c r="O1760" i="1" a="1"/>
  <c r="O1759" i="1" a="1"/>
  <c r="O1759" i="1" s="1"/>
  <c r="O1758" i="1" a="1"/>
  <c r="O1758" i="1" s="1"/>
  <c r="O1757" i="1"/>
  <c r="O1757" i="1" a="1"/>
  <c r="O1756" i="1" a="1"/>
  <c r="O1756" i="1" s="1"/>
  <c r="O1755" i="1"/>
  <c r="O1755" i="1" a="1"/>
  <c r="O1754" i="1"/>
  <c r="O1754" i="1" a="1"/>
  <c r="O1753" i="1" a="1"/>
  <c r="O1753" i="1" s="1"/>
  <c r="O1752" i="1" a="1"/>
  <c r="O1752" i="1" s="1"/>
  <c r="O1751" i="1"/>
  <c r="O1751" i="1" a="1"/>
  <c r="O1750" i="1"/>
  <c r="O1750" i="1" a="1"/>
  <c r="O1749" i="1" a="1"/>
  <c r="O1749" i="1" s="1"/>
  <c r="O1748" i="1" a="1"/>
  <c r="O1748" i="1" s="1"/>
  <c r="O1747" i="1"/>
  <c r="O1747" i="1" a="1"/>
  <c r="O1746" i="1"/>
  <c r="O1746" i="1" a="1"/>
  <c r="O1745" i="1"/>
  <c r="O1745" i="1" a="1"/>
  <c r="O1744" i="1"/>
  <c r="O1744" i="1" a="1"/>
  <c r="O1743" i="1"/>
  <c r="O1743" i="1" a="1"/>
  <c r="O1742" i="1" a="1"/>
  <c r="O1742" i="1" s="1"/>
  <c r="O1741" i="1" a="1"/>
  <c r="O1741" i="1" s="1"/>
  <c r="O1740" i="1" a="1"/>
  <c r="O1740" i="1" s="1"/>
  <c r="O1739" i="1"/>
  <c r="O1739" i="1" a="1"/>
  <c r="O1738" i="1" a="1"/>
  <c r="O1738" i="1" s="1"/>
  <c r="O1737" i="1" a="1"/>
  <c r="O1737" i="1" s="1"/>
  <c r="O1736" i="1"/>
  <c r="O1736" i="1" a="1"/>
  <c r="O1735" i="1" a="1"/>
  <c r="O1735" i="1" s="1"/>
  <c r="O1734" i="1" a="1"/>
  <c r="O1734" i="1" s="1"/>
  <c r="O1733" i="1" a="1"/>
  <c r="O1733" i="1" s="1"/>
  <c r="O1732" i="1" a="1"/>
  <c r="O1732" i="1" s="1"/>
  <c r="O1731" i="1"/>
  <c r="O1731" i="1" a="1"/>
  <c r="O1730" i="1" a="1"/>
  <c r="O1730" i="1" s="1"/>
  <c r="O1729" i="1"/>
  <c r="O1729" i="1" a="1"/>
  <c r="O1728" i="1" a="1"/>
  <c r="O1728" i="1" s="1"/>
  <c r="O1727" i="1" a="1"/>
  <c r="O1727" i="1" s="1"/>
  <c r="O1726" i="1"/>
  <c r="O1726" i="1" a="1"/>
  <c r="O1725" i="1"/>
  <c r="O1725" i="1" a="1"/>
  <c r="O1724" i="1" a="1"/>
  <c r="O1724" i="1" s="1"/>
  <c r="O1723" i="1" a="1"/>
  <c r="O1723" i="1" s="1"/>
  <c r="O1722" i="1"/>
  <c r="O1722" i="1" a="1"/>
  <c r="O1721" i="1" a="1"/>
  <c r="O1721" i="1" s="1"/>
  <c r="O1720" i="1" a="1"/>
  <c r="O1720" i="1" s="1"/>
  <c r="O1719" i="1" a="1"/>
  <c r="O1719" i="1" s="1"/>
  <c r="O1718" i="1"/>
  <c r="O1718" i="1" a="1"/>
  <c r="O1717" i="1"/>
  <c r="O1717" i="1" a="1"/>
  <c r="O1716" i="1"/>
  <c r="O1716" i="1" a="1"/>
  <c r="O1715" i="1"/>
  <c r="O1715" i="1" a="1"/>
  <c r="O1714" i="1" a="1"/>
  <c r="O1714" i="1" s="1"/>
  <c r="O1713" i="1"/>
  <c r="O1713" i="1" a="1"/>
  <c r="O1712" i="1" a="1"/>
  <c r="O1712" i="1" s="1"/>
  <c r="O1711" i="1" a="1"/>
  <c r="O1711" i="1" s="1"/>
  <c r="O1710" i="1" a="1"/>
  <c r="O1710" i="1" s="1"/>
  <c r="O1709" i="1"/>
  <c r="O1709" i="1" a="1"/>
  <c r="O1708" i="1"/>
  <c r="O1708" i="1" a="1"/>
  <c r="O1707" i="1" a="1"/>
  <c r="O1707" i="1" s="1"/>
  <c r="O1706" i="1"/>
  <c r="O1706" i="1" a="1"/>
  <c r="O1705" i="1" a="1"/>
  <c r="O1705" i="1" s="1"/>
  <c r="O1704" i="1" a="1"/>
  <c r="O1704" i="1" s="1"/>
  <c r="O1703" i="1" a="1"/>
  <c r="O1703" i="1" s="1"/>
  <c r="O1702" i="1" a="1"/>
  <c r="O1702" i="1" s="1"/>
  <c r="O1701" i="1"/>
  <c r="O1701" i="1" a="1"/>
  <c r="O1700" i="1" a="1"/>
  <c r="O1700" i="1" s="1"/>
  <c r="O1699" i="1" a="1"/>
  <c r="O1699" i="1" s="1"/>
  <c r="O1698" i="1" a="1"/>
  <c r="O1698" i="1" s="1"/>
  <c r="O1697" i="1"/>
  <c r="O1697" i="1" a="1"/>
  <c r="O1696" i="1"/>
  <c r="O1696" i="1" a="1"/>
  <c r="O1695" i="1" a="1"/>
  <c r="O1695" i="1" s="1"/>
  <c r="O1694" i="1"/>
  <c r="O1694" i="1" a="1"/>
  <c r="O1693" i="1" a="1"/>
  <c r="O1693" i="1" s="1"/>
  <c r="O1692" i="1"/>
  <c r="O1692" i="1" a="1"/>
  <c r="O1691" i="1" a="1"/>
  <c r="O1691" i="1" s="1"/>
  <c r="O1690" i="1" a="1"/>
  <c r="O1690" i="1" s="1"/>
  <c r="O1689" i="1" a="1"/>
  <c r="O1689" i="1" s="1"/>
  <c r="O1688" i="1" a="1"/>
  <c r="O1688" i="1" s="1"/>
  <c r="O1687" i="1"/>
  <c r="O1687" i="1" a="1"/>
  <c r="O1686" i="1" a="1"/>
  <c r="O1686" i="1" s="1"/>
  <c r="O1685" i="1"/>
  <c r="O1685" i="1" a="1"/>
  <c r="O1684" i="1"/>
  <c r="O1684" i="1" a="1"/>
  <c r="O1683" i="1" a="1"/>
  <c r="O1683" i="1" s="1"/>
  <c r="O1682" i="1" a="1"/>
  <c r="O1682" i="1" s="1"/>
  <c r="O1681" i="1"/>
  <c r="O1681" i="1" a="1"/>
  <c r="O1680" i="1"/>
  <c r="O1680" i="1" a="1"/>
  <c r="O1679" i="1" a="1"/>
  <c r="O1679" i="1" s="1"/>
  <c r="O1678" i="1" a="1"/>
  <c r="O1678" i="1" s="1"/>
  <c r="O1677" i="1"/>
  <c r="O1677" i="1" a="1"/>
  <c r="O1676" i="1" a="1"/>
  <c r="O1676" i="1" s="1"/>
  <c r="O1675" i="1" a="1"/>
  <c r="O1675" i="1" s="1"/>
  <c r="O1674" i="1" a="1"/>
  <c r="O1674" i="1" s="1"/>
  <c r="O1673" i="1"/>
  <c r="O1673" i="1" a="1"/>
  <c r="O1672" i="1" a="1"/>
  <c r="O1672" i="1" s="1"/>
  <c r="O1671" i="1" a="1"/>
  <c r="O1671" i="1" s="1"/>
  <c r="O1670" i="1"/>
  <c r="O1670" i="1" a="1"/>
  <c r="O1669" i="1" a="1"/>
  <c r="O1669" i="1" s="1"/>
  <c r="O1668" i="1"/>
  <c r="O1668" i="1" a="1"/>
  <c r="O1667" i="1"/>
  <c r="O1667" i="1" a="1"/>
  <c r="O1666" i="1"/>
  <c r="O1666" i="1" a="1"/>
  <c r="O1665" i="1" a="1"/>
  <c r="O1665" i="1" s="1"/>
  <c r="O1664" i="1" a="1"/>
  <c r="O1664" i="1" s="1"/>
  <c r="O1663" i="1" a="1"/>
  <c r="O1663" i="1" s="1"/>
  <c r="O1662" i="1" a="1"/>
  <c r="O1662" i="1" s="1"/>
  <c r="O1661" i="1"/>
  <c r="O1661" i="1" a="1"/>
  <c r="O1660" i="1" a="1"/>
  <c r="O1660" i="1" s="1"/>
  <c r="O1659" i="1"/>
  <c r="O1659" i="1" a="1"/>
  <c r="O1658" i="1" a="1"/>
  <c r="O1658" i="1" s="1"/>
  <c r="O1657" i="1" a="1"/>
  <c r="O1657" i="1" s="1"/>
  <c r="O1656" i="1" a="1"/>
  <c r="O1656" i="1" s="1"/>
  <c r="O1655" i="1"/>
  <c r="O1655" i="1" a="1"/>
  <c r="O1654" i="1" a="1"/>
  <c r="O1654" i="1" s="1"/>
  <c r="O1653" i="1" a="1"/>
  <c r="O1653" i="1" s="1"/>
  <c r="O1652" i="1"/>
  <c r="O1652" i="1" a="1"/>
  <c r="O1651" i="1" a="1"/>
  <c r="O1651" i="1" s="1"/>
  <c r="O1650" i="1" a="1"/>
  <c r="O1650" i="1" s="1"/>
  <c r="O1649" i="1" a="1"/>
  <c r="O1649" i="1" s="1"/>
  <c r="O1648" i="1" a="1"/>
  <c r="O1648" i="1" s="1"/>
  <c r="O1647" i="1" a="1"/>
  <c r="O1647" i="1" s="1"/>
  <c r="O1646" i="1" a="1"/>
  <c r="O1646" i="1" s="1"/>
  <c r="O1645" i="1"/>
  <c r="O1645" i="1" a="1"/>
  <c r="O1644" i="1" a="1"/>
  <c r="O1644" i="1" s="1"/>
  <c r="O1643" i="1" a="1"/>
  <c r="O1643" i="1" s="1"/>
  <c r="O1642" i="1"/>
  <c r="O1642" i="1" a="1"/>
  <c r="O1641" i="1" a="1"/>
  <c r="O1641" i="1" s="1"/>
  <c r="O1640" i="1" a="1"/>
  <c r="O1640" i="1" s="1"/>
  <c r="O1639" i="1"/>
  <c r="O1639" i="1" a="1"/>
  <c r="O1638" i="1"/>
  <c r="O1638" i="1" a="1"/>
  <c r="O1637" i="1" a="1"/>
  <c r="O1637" i="1" s="1"/>
  <c r="O1636" i="1"/>
  <c r="O1636" i="1" a="1"/>
  <c r="O1635" i="1" a="1"/>
  <c r="O1635" i="1" s="1"/>
  <c r="O1634" i="1" a="1"/>
  <c r="O1634" i="1" s="1"/>
  <c r="O1633" i="1"/>
  <c r="O1633" i="1" a="1"/>
  <c r="O1632" i="1" a="1"/>
  <c r="O1632" i="1" s="1"/>
  <c r="O1631" i="1"/>
  <c r="O1631" i="1" a="1"/>
  <c r="O1630" i="1" a="1"/>
  <c r="O1630" i="1" s="1"/>
  <c r="O1629" i="1" a="1"/>
  <c r="O1629" i="1" s="1"/>
  <c r="O1628" i="1"/>
  <c r="O1628" i="1" a="1"/>
  <c r="O1627" i="1"/>
  <c r="O1627" i="1" a="1"/>
  <c r="O1626" i="1"/>
  <c r="O1626" i="1" a="1"/>
  <c r="O1625" i="1" a="1"/>
  <c r="O1625" i="1" s="1"/>
  <c r="O1624" i="1"/>
  <c r="O1624" i="1" a="1"/>
  <c r="O1623" i="1" a="1"/>
  <c r="O1623" i="1" s="1"/>
  <c r="O1622" i="1" a="1"/>
  <c r="O1622" i="1" s="1"/>
  <c r="O1621" i="1" a="1"/>
  <c r="O1621" i="1" s="1"/>
  <c r="O1620" i="1"/>
  <c r="O1620" i="1" a="1"/>
  <c r="O1619" i="1" a="1"/>
  <c r="O1619" i="1" s="1"/>
  <c r="O1618" i="1" a="1"/>
  <c r="O1618" i="1" s="1"/>
  <c r="O1617" i="1"/>
  <c r="O1617" i="1" a="1"/>
  <c r="O1616" i="1" a="1"/>
  <c r="O1616" i="1" s="1"/>
  <c r="O1615" i="1" a="1"/>
  <c r="O1615" i="1" s="1"/>
  <c r="O1614" i="1" a="1"/>
  <c r="O1614" i="1" s="1"/>
  <c r="O1613" i="1"/>
  <c r="O1613" i="1" a="1"/>
  <c r="O1612" i="1"/>
  <c r="O1612" i="1" a="1"/>
  <c r="O1611" i="1" a="1"/>
  <c r="O1611" i="1" s="1"/>
  <c r="O1610" i="1"/>
  <c r="O1610" i="1" a="1"/>
  <c r="O1609" i="1" a="1"/>
  <c r="O1609" i="1" s="1"/>
  <c r="O1608" i="1"/>
  <c r="O1608" i="1" a="1"/>
  <c r="O1607" i="1"/>
  <c r="O1607" i="1" a="1"/>
  <c r="O1606" i="1" a="1"/>
  <c r="O1606" i="1" s="1"/>
  <c r="O1605" i="1" a="1"/>
  <c r="O1605" i="1" s="1"/>
  <c r="O1604" i="1"/>
  <c r="O1604" i="1" a="1"/>
  <c r="O1603" i="1"/>
  <c r="O1603" i="1" a="1"/>
  <c r="O1602" i="1" a="1"/>
  <c r="O1602" i="1" s="1"/>
  <c r="O1601" i="1"/>
  <c r="O1601" i="1" a="1"/>
  <c r="O1600" i="1" a="1"/>
  <c r="O1600" i="1" s="1"/>
  <c r="O1599" i="1"/>
  <c r="O1599" i="1" a="1"/>
  <c r="O1598" i="1"/>
  <c r="O1598" i="1" a="1"/>
  <c r="O1597" i="1"/>
  <c r="O1597" i="1" a="1"/>
  <c r="O1596" i="1"/>
  <c r="O1596" i="1" a="1"/>
  <c r="O1595" i="1" a="1"/>
  <c r="O1595" i="1" s="1"/>
  <c r="O1594" i="1" a="1"/>
  <c r="O1594" i="1" s="1"/>
  <c r="O1593" i="1" a="1"/>
  <c r="O1593" i="1" s="1"/>
  <c r="O1592" i="1" a="1"/>
  <c r="O1592" i="1" s="1"/>
  <c r="O1591" i="1" a="1"/>
  <c r="O1591" i="1" s="1"/>
  <c r="O1590" i="1" a="1"/>
  <c r="O1590" i="1" s="1"/>
  <c r="O1589" i="1"/>
  <c r="O1589" i="1" a="1"/>
  <c r="O1588" i="1" a="1"/>
  <c r="O1588" i="1" s="1"/>
  <c r="O1587" i="1"/>
  <c r="O1587" i="1" a="1"/>
  <c r="O1586" i="1" a="1"/>
  <c r="O1586" i="1" s="1"/>
  <c r="O1585" i="1" a="1"/>
  <c r="O1585" i="1" s="1"/>
  <c r="O1584" i="1" a="1"/>
  <c r="O1584" i="1" s="1"/>
  <c r="O1583" i="1" a="1"/>
  <c r="O1583" i="1" s="1"/>
  <c r="O1582" i="1"/>
  <c r="O1582" i="1" a="1"/>
  <c r="O1581" i="1" a="1"/>
  <c r="O1581" i="1" s="1"/>
  <c r="O1580" i="1" a="1"/>
  <c r="O1580" i="1" s="1"/>
  <c r="O1579" i="1"/>
  <c r="O1579" i="1" a="1"/>
  <c r="O1578" i="1"/>
  <c r="O1578" i="1" a="1"/>
  <c r="O1577" i="1" a="1"/>
  <c r="O1577" i="1" s="1"/>
  <c r="O1576" i="1" a="1"/>
  <c r="O1576" i="1" s="1"/>
  <c r="O1575" i="1"/>
  <c r="O1575" i="1" a="1"/>
  <c r="O1574" i="1" a="1"/>
  <c r="O1574" i="1" s="1"/>
  <c r="O1573" i="1" a="1"/>
  <c r="O1573" i="1" s="1"/>
  <c r="O1572" i="1" a="1"/>
  <c r="O1572" i="1" s="1"/>
  <c r="O1571" i="1"/>
  <c r="O1571" i="1" a="1"/>
  <c r="O1570" i="1" a="1"/>
  <c r="O1570" i="1" s="1"/>
  <c r="O1569" i="1" a="1"/>
  <c r="O1569" i="1" s="1"/>
  <c r="O1568" i="1"/>
  <c r="O1568" i="1" a="1"/>
  <c r="O1567" i="1" a="1"/>
  <c r="O1567" i="1" s="1"/>
  <c r="O1566" i="1" a="1"/>
  <c r="O1566" i="1" s="1"/>
  <c r="O1565" i="1" a="1"/>
  <c r="O1565" i="1" s="1"/>
  <c r="O1564" i="1" a="1"/>
  <c r="O1564" i="1" s="1"/>
  <c r="O1563" i="1" a="1"/>
  <c r="O1563" i="1" s="1"/>
  <c r="O1562" i="1" a="1"/>
  <c r="O1562" i="1" s="1"/>
  <c r="O1561" i="1"/>
  <c r="O1561" i="1" a="1"/>
  <c r="O1560" i="1" a="1"/>
  <c r="O1560" i="1" s="1"/>
  <c r="O1559" i="1"/>
  <c r="O1559" i="1" a="1"/>
  <c r="O1558" i="1"/>
  <c r="O1558" i="1" a="1"/>
  <c r="O1557" i="1"/>
  <c r="O1557" i="1" a="1"/>
  <c r="O1556" i="1" a="1"/>
  <c r="O1556" i="1" s="1"/>
  <c r="O1555" i="1" a="1"/>
  <c r="O1555" i="1" s="1"/>
  <c r="O1554" i="1"/>
  <c r="O1554" i="1" a="1"/>
  <c r="O1553" i="1" a="1"/>
  <c r="O1553" i="1" s="1"/>
  <c r="O1552" i="1" a="1"/>
  <c r="O1552" i="1" s="1"/>
  <c r="O1551" i="1"/>
  <c r="O1551" i="1" a="1"/>
  <c r="O1550" i="1" a="1"/>
  <c r="O1550" i="1" s="1"/>
  <c r="O1549" i="1"/>
  <c r="O1549" i="1" a="1"/>
  <c r="O1548" i="1"/>
  <c r="O1548" i="1" a="1"/>
  <c r="O1547" i="1"/>
  <c r="O1547" i="1" a="1"/>
  <c r="O1546" i="1" a="1"/>
  <c r="O1546" i="1" s="1"/>
  <c r="O1545" i="1" a="1"/>
  <c r="O1545" i="1" s="1"/>
  <c r="O1544" i="1" a="1"/>
  <c r="O1544" i="1" s="1"/>
  <c r="O1543" i="1" a="1"/>
  <c r="O1543" i="1" s="1"/>
  <c r="O1542" i="1" a="1"/>
  <c r="O1542" i="1" s="1"/>
  <c r="O1541" i="1" a="1"/>
  <c r="O1541" i="1" s="1"/>
  <c r="O1540" i="1"/>
  <c r="O1540" i="1" a="1"/>
  <c r="O1539" i="1" a="1"/>
  <c r="O1539" i="1" s="1"/>
  <c r="O1538" i="1" a="1"/>
  <c r="O1538" i="1" s="1"/>
  <c r="O1537" i="1" a="1"/>
  <c r="O1537" i="1" s="1"/>
  <c r="O1536" i="1" a="1"/>
  <c r="O1536" i="1" s="1"/>
  <c r="O1535" i="1" a="1"/>
  <c r="O1535" i="1" s="1"/>
  <c r="O1534" i="1" a="1"/>
  <c r="O1534" i="1" s="1"/>
  <c r="O1533" i="1"/>
  <c r="O1533" i="1" a="1"/>
  <c r="O1532" i="1" a="1"/>
  <c r="O1532" i="1" s="1"/>
  <c r="O1531" i="1" a="1"/>
  <c r="O1531" i="1" s="1"/>
  <c r="O1530" i="1"/>
  <c r="O1530" i="1" a="1"/>
  <c r="O1529" i="1"/>
  <c r="O1529" i="1" a="1"/>
  <c r="O1528" i="1" a="1"/>
  <c r="O1528" i="1" s="1"/>
  <c r="O1527" i="1" a="1"/>
  <c r="O1527" i="1" s="1"/>
  <c r="O1526" i="1"/>
  <c r="O1526" i="1" a="1"/>
  <c r="O1525" i="1" a="1"/>
  <c r="O1525" i="1" s="1"/>
  <c r="O1524" i="1"/>
  <c r="O1524" i="1" a="1"/>
  <c r="O1523" i="1"/>
  <c r="O1523" i="1" a="1"/>
  <c r="O1522" i="1" a="1"/>
  <c r="O1522" i="1" s="1"/>
  <c r="O1521" i="1" a="1"/>
  <c r="O1521" i="1" s="1"/>
  <c r="O1520" i="1"/>
  <c r="O1520" i="1" a="1"/>
  <c r="O1519" i="1"/>
  <c r="O1519" i="1" a="1"/>
  <c r="O1518" i="1" a="1"/>
  <c r="O1518" i="1" s="1"/>
  <c r="O1517" i="1"/>
  <c r="O1517" i="1" a="1"/>
  <c r="O1516" i="1" a="1"/>
  <c r="O1516" i="1" s="1"/>
  <c r="O1515" i="1" a="1"/>
  <c r="O1515" i="1" s="1"/>
  <c r="O1514" i="1" a="1"/>
  <c r="O1514" i="1" s="1"/>
  <c r="O1513" i="1"/>
  <c r="O1513" i="1" a="1"/>
  <c r="O1512" i="1"/>
  <c r="O1512" i="1" a="1"/>
  <c r="O1511" i="1" a="1"/>
  <c r="O1511" i="1" s="1"/>
  <c r="O1510" i="1" a="1"/>
  <c r="O1510" i="1" s="1"/>
  <c r="O1509" i="1" a="1"/>
  <c r="O1509" i="1" s="1"/>
  <c r="O1508" i="1" a="1"/>
  <c r="O1508" i="1" s="1"/>
  <c r="O1507" i="1" a="1"/>
  <c r="O1507" i="1" s="1"/>
  <c r="O1506" i="1" a="1"/>
  <c r="O1506" i="1" s="1"/>
  <c r="O1505" i="1"/>
  <c r="O1505" i="1" a="1"/>
  <c r="O1504" i="1" a="1"/>
  <c r="O1504" i="1" s="1"/>
  <c r="O1503" i="1" a="1"/>
  <c r="O1503" i="1" s="1"/>
  <c r="O1502" i="1" a="1"/>
  <c r="O1502" i="1" s="1"/>
  <c r="O1501" i="1"/>
  <c r="O1501" i="1" a="1"/>
  <c r="O1500" i="1"/>
  <c r="O1500" i="1" a="1"/>
  <c r="O1499" i="1" a="1"/>
  <c r="O1499" i="1" s="1"/>
  <c r="O1498" i="1"/>
  <c r="O1498" i="1" a="1"/>
  <c r="O1497" i="1" a="1"/>
  <c r="O1497" i="1" s="1"/>
  <c r="O1496" i="1" a="1"/>
  <c r="O1496" i="1" s="1"/>
  <c r="O1495" i="1"/>
  <c r="O1495" i="1" a="1"/>
  <c r="O1494" i="1" a="1"/>
  <c r="O1494" i="1" s="1"/>
  <c r="O1493" i="1" a="1"/>
  <c r="O1493" i="1" s="1"/>
  <c r="O1492" i="1" a="1"/>
  <c r="O1492" i="1" s="1"/>
  <c r="O1491" i="1"/>
  <c r="O1491" i="1" a="1"/>
  <c r="O1490" i="1" a="1"/>
  <c r="O1490" i="1" s="1"/>
  <c r="O1489" i="1" a="1"/>
  <c r="O1489" i="1" s="1"/>
  <c r="O1488" i="1"/>
  <c r="O1488" i="1" a="1"/>
  <c r="O1487" i="1" a="1"/>
  <c r="O1487" i="1" s="1"/>
  <c r="O1486" i="1" a="1"/>
  <c r="O1486" i="1" s="1"/>
  <c r="O1485" i="1"/>
  <c r="O1485" i="1" a="1"/>
  <c r="O1484" i="1"/>
  <c r="O1484" i="1" a="1"/>
  <c r="O1483" i="1" a="1"/>
  <c r="O1483" i="1" s="1"/>
  <c r="O1482" i="1" a="1"/>
  <c r="O1482" i="1" s="1"/>
  <c r="O1481" i="1" a="1"/>
  <c r="O1481" i="1" s="1"/>
  <c r="O1480" i="1" a="1"/>
  <c r="O1480" i="1" s="1"/>
  <c r="O1479" i="1" a="1"/>
  <c r="O1479" i="1" s="1"/>
  <c r="O1478" i="1" a="1"/>
  <c r="O1478" i="1" s="1"/>
  <c r="O1477" i="1"/>
  <c r="O1477" i="1" a="1"/>
  <c r="O1476" i="1" a="1"/>
  <c r="O1476" i="1" s="1"/>
  <c r="O1475" i="1" a="1"/>
  <c r="O1475" i="1" s="1"/>
  <c r="O1474" i="1" a="1"/>
  <c r="O1474" i="1" s="1"/>
  <c r="O1473" i="1" a="1"/>
  <c r="O1473" i="1" s="1"/>
  <c r="O1472" i="1"/>
  <c r="O1472" i="1" a="1"/>
  <c r="O1471" i="1"/>
  <c r="O1471" i="1" a="1"/>
  <c r="O1470" i="1"/>
  <c r="O1470" i="1" a="1"/>
  <c r="O1469" i="1" a="1"/>
  <c r="O1469" i="1" s="1"/>
  <c r="O1468" i="1" a="1"/>
  <c r="O1468" i="1" s="1"/>
  <c r="O1467" i="1" a="1"/>
  <c r="O1467" i="1" s="1"/>
  <c r="O1466" i="1"/>
  <c r="O1466" i="1" a="1"/>
  <c r="O1465" i="1" a="1"/>
  <c r="O1465" i="1" s="1"/>
  <c r="O1464" i="1" a="1"/>
  <c r="O1464" i="1" s="1"/>
  <c r="O1463" i="1"/>
  <c r="O1463" i="1" a="1"/>
  <c r="O1462" i="1" a="1"/>
  <c r="O1462" i="1" s="1"/>
  <c r="O1461" i="1" a="1"/>
  <c r="O1461" i="1" s="1"/>
  <c r="O1460" i="1"/>
  <c r="O1460" i="1" a="1"/>
  <c r="O1459" i="1"/>
  <c r="O1459" i="1" a="1"/>
  <c r="O1458" i="1" a="1"/>
  <c r="O1458" i="1" s="1"/>
  <c r="O1457" i="1" a="1"/>
  <c r="O1457" i="1" s="1"/>
  <c r="O1456" i="1"/>
  <c r="O1456" i="1" a="1"/>
  <c r="O1455" i="1" a="1"/>
  <c r="O1455" i="1" s="1"/>
  <c r="O1454" i="1" a="1"/>
  <c r="O1454" i="1" s="1"/>
  <c r="O1453" i="1" a="1"/>
  <c r="O1453" i="1" s="1"/>
  <c r="O1452" i="1" a="1"/>
  <c r="O1452" i="1" s="1"/>
  <c r="O1451" i="1" a="1"/>
  <c r="O1451" i="1" s="1"/>
  <c r="O1450" i="1" a="1"/>
  <c r="O1450" i="1" s="1"/>
  <c r="O1449" i="1"/>
  <c r="O1449" i="1" a="1"/>
  <c r="O1448" i="1" a="1"/>
  <c r="O1448" i="1" s="1"/>
  <c r="O1447" i="1" a="1"/>
  <c r="O1447" i="1" s="1"/>
  <c r="O1446" i="1"/>
  <c r="O1446" i="1" a="1"/>
  <c r="O1445" i="1" a="1"/>
  <c r="O1445" i="1" s="1"/>
  <c r="O1444" i="1" a="1"/>
  <c r="O1444" i="1" s="1"/>
  <c r="O1443" i="1"/>
  <c r="O1443" i="1" a="1"/>
  <c r="O1442" i="1"/>
  <c r="O1442" i="1" a="1"/>
  <c r="O1441" i="1" a="1"/>
  <c r="O1441" i="1" s="1"/>
  <c r="O1440" i="1"/>
  <c r="O1440" i="1" a="1"/>
  <c r="O1439" i="1" a="1"/>
  <c r="O1439" i="1" s="1"/>
  <c r="O1438" i="1" a="1"/>
  <c r="O1438" i="1" s="1"/>
  <c r="O1437" i="1"/>
  <c r="O1437" i="1" a="1"/>
  <c r="O1436" i="1" a="1"/>
  <c r="O1436" i="1" s="1"/>
  <c r="O1435" i="1"/>
  <c r="O1435" i="1" a="1"/>
  <c r="O1434" i="1" a="1"/>
  <c r="O1434" i="1" s="1"/>
  <c r="O1433" i="1" a="1"/>
  <c r="O1433" i="1" s="1"/>
  <c r="O1432" i="1"/>
  <c r="O1432" i="1" a="1"/>
  <c r="O1431" i="1"/>
  <c r="O1431" i="1" a="1"/>
  <c r="O1430" i="1"/>
  <c r="O1430" i="1" a="1"/>
  <c r="O1429" i="1" a="1"/>
  <c r="O1429" i="1" s="1"/>
  <c r="O1428" i="1"/>
  <c r="O1428" i="1" a="1"/>
  <c r="O1427" i="1" a="1"/>
  <c r="O1427" i="1" s="1"/>
  <c r="O1426" i="1"/>
  <c r="O1426" i="1" a="1"/>
  <c r="O1425" i="1" a="1"/>
  <c r="O1425" i="1" s="1"/>
  <c r="O1424" i="1" a="1"/>
  <c r="O1424" i="1" s="1"/>
  <c r="O1423" i="1" a="1"/>
  <c r="O1423" i="1" s="1"/>
  <c r="O1422" i="1" a="1"/>
  <c r="O1422" i="1" s="1"/>
  <c r="O1421" i="1"/>
  <c r="O1421" i="1" a="1"/>
  <c r="O1420" i="1" a="1"/>
  <c r="O1420" i="1" s="1"/>
  <c r="O1419" i="1" a="1"/>
  <c r="O1419" i="1" s="1"/>
  <c r="O1418" i="1" a="1"/>
  <c r="O1418" i="1" s="1"/>
  <c r="O1417" i="1" a="1"/>
  <c r="O1417" i="1" s="1"/>
  <c r="O1416" i="1" a="1"/>
  <c r="O1416" i="1" s="1"/>
  <c r="O1415" i="1" a="1"/>
  <c r="O1415" i="1" s="1"/>
  <c r="O1414" i="1"/>
  <c r="O1414" i="1" a="1"/>
  <c r="O1413" i="1" a="1"/>
  <c r="O1413" i="1" s="1"/>
  <c r="O1412" i="1"/>
  <c r="O1412" i="1" a="1"/>
  <c r="O1411" i="1"/>
  <c r="O1411" i="1" a="1"/>
  <c r="O1410" i="1" a="1"/>
  <c r="O1410" i="1" s="1"/>
  <c r="O1409" i="1"/>
  <c r="O1409" i="1" a="1"/>
  <c r="O1408" i="1"/>
  <c r="O1408" i="1" a="1"/>
  <c r="O1407" i="1"/>
  <c r="O1407" i="1" a="1"/>
  <c r="O1406" i="1" a="1"/>
  <c r="O1406" i="1" s="1"/>
  <c r="O1405" i="1" a="1"/>
  <c r="O1405" i="1" s="1"/>
  <c r="O1404" i="1" a="1"/>
  <c r="O1404" i="1" s="1"/>
  <c r="O1403" i="1" a="1"/>
  <c r="O1403" i="1" s="1"/>
  <c r="O1402" i="1" a="1"/>
  <c r="O1402" i="1" s="1"/>
  <c r="O1401" i="1"/>
  <c r="O1401" i="1" a="1"/>
  <c r="O1400" i="1"/>
  <c r="O1400" i="1" a="1"/>
  <c r="O1399" i="1" a="1"/>
  <c r="O1399" i="1" s="1"/>
  <c r="O1398" i="1" a="1"/>
  <c r="O1398" i="1" s="1"/>
  <c r="O1397" i="1" a="1"/>
  <c r="O1397" i="1" s="1"/>
  <c r="O1396" i="1" a="1"/>
  <c r="O1396" i="1" s="1"/>
  <c r="O1395" i="1" a="1"/>
  <c r="O1395" i="1" s="1"/>
  <c r="O1394" i="1"/>
  <c r="O1394" i="1" a="1"/>
  <c r="O1393" i="1"/>
  <c r="O1393" i="1" a="1"/>
  <c r="O1392" i="1" a="1"/>
  <c r="O1392" i="1" s="1"/>
  <c r="O1391" i="1"/>
  <c r="O1391" i="1" a="1"/>
  <c r="O1390" i="1"/>
  <c r="O1390" i="1" a="1"/>
  <c r="O1389" i="1" a="1"/>
  <c r="O1389" i="1" s="1"/>
  <c r="O1388" i="1"/>
  <c r="O1388" i="1" a="1"/>
  <c r="O1387" i="1"/>
  <c r="O1387" i="1" a="1"/>
  <c r="O1386" i="1"/>
  <c r="O1386" i="1" a="1"/>
  <c r="O1385" i="1" a="1"/>
  <c r="O1385" i="1" s="1"/>
  <c r="O1384" i="1"/>
  <c r="O1384" i="1" a="1"/>
  <c r="O1383" i="1" a="1"/>
  <c r="O1383" i="1" s="1"/>
  <c r="O1382" i="1"/>
  <c r="O1382" i="1" a="1"/>
  <c r="O1381" i="1"/>
  <c r="O1381" i="1" a="1"/>
  <c r="O1380" i="1" a="1"/>
  <c r="O1380" i="1" s="1"/>
  <c r="O1379" i="1"/>
  <c r="O1379" i="1" a="1"/>
  <c r="O1378" i="1" a="1"/>
  <c r="O1378" i="1" s="1"/>
  <c r="O1377" i="1" a="1"/>
  <c r="O1377" i="1" s="1"/>
  <c r="O1376" i="1" a="1"/>
  <c r="O1376" i="1" s="1"/>
  <c r="O1375" i="1"/>
  <c r="O1375" i="1" a="1"/>
  <c r="O1374" i="1" a="1"/>
  <c r="O1374" i="1" s="1"/>
  <c r="O1373" i="1" a="1"/>
  <c r="O1373" i="1" s="1"/>
  <c r="O1372" i="1"/>
  <c r="O1372" i="1" a="1"/>
  <c r="O1371" i="1" a="1"/>
  <c r="O1371" i="1" s="1"/>
  <c r="O1370" i="1" a="1"/>
  <c r="O1370" i="1" s="1"/>
  <c r="O1369" i="1" a="1"/>
  <c r="O1369" i="1" s="1"/>
  <c r="O1368" i="1"/>
  <c r="O1368" i="1" a="1"/>
  <c r="O1367" i="1" a="1"/>
  <c r="O1367" i="1" s="1"/>
  <c r="O1366" i="1" a="1"/>
  <c r="O1366" i="1" s="1"/>
  <c r="O1365" i="1"/>
  <c r="O1365" i="1" a="1"/>
  <c r="O1364" i="1" a="1"/>
  <c r="O1364" i="1" s="1"/>
  <c r="O1363" i="1"/>
  <c r="O1363" i="1" a="1"/>
  <c r="O1362" i="1"/>
  <c r="O1362" i="1" a="1"/>
  <c r="O1361" i="1" a="1"/>
  <c r="O1361" i="1" s="1"/>
  <c r="O1360" i="1" a="1"/>
  <c r="O1360" i="1" s="1"/>
  <c r="O1359" i="1" a="1"/>
  <c r="O1359" i="1" s="1"/>
  <c r="O1358" i="1"/>
  <c r="O1358" i="1" a="1"/>
  <c r="O1357" i="1" a="1"/>
  <c r="O1357" i="1" s="1"/>
  <c r="O1356" i="1"/>
  <c r="O1356" i="1" a="1"/>
  <c r="O1355" i="1"/>
  <c r="O1355" i="1" a="1"/>
  <c r="O1354" i="1" a="1"/>
  <c r="O1354" i="1" s="1"/>
  <c r="O1353" i="1"/>
  <c r="O1353" i="1" a="1"/>
  <c r="O1352" i="1"/>
  <c r="O1352" i="1" a="1"/>
  <c r="O1351" i="1"/>
  <c r="O1351" i="1" a="1"/>
  <c r="O1350" i="1" a="1"/>
  <c r="O1350" i="1" s="1"/>
  <c r="O1349" i="1" a="1"/>
  <c r="O1349" i="1" s="1"/>
  <c r="O1348" i="1" a="1"/>
  <c r="O1348" i="1" s="1"/>
  <c r="O1347" i="1" a="1"/>
  <c r="O1347" i="1" s="1"/>
  <c r="O1346" i="1" a="1"/>
  <c r="O1346" i="1" s="1"/>
  <c r="O1345" i="1" a="1"/>
  <c r="O1345" i="1" s="1"/>
  <c r="O1344" i="1"/>
  <c r="O1344" i="1" a="1"/>
  <c r="O1343" i="1"/>
  <c r="O1343" i="1" a="1"/>
  <c r="O1342" i="1" a="1"/>
  <c r="O1342" i="1" s="1"/>
  <c r="O1341" i="1" a="1"/>
  <c r="O1341" i="1" s="1"/>
  <c r="O1340" i="1" a="1"/>
  <c r="O1340" i="1" s="1"/>
  <c r="O1339" i="1" a="1"/>
  <c r="O1339" i="1" s="1"/>
  <c r="O1338" i="1" a="1"/>
  <c r="O1338" i="1" s="1"/>
  <c r="O1337" i="1"/>
  <c r="O1337" i="1" a="1"/>
  <c r="O1336" i="1"/>
  <c r="O1336" i="1" a="1"/>
  <c r="O1335" i="1" a="1"/>
  <c r="O1335" i="1" s="1"/>
  <c r="O1334" i="1" a="1"/>
  <c r="O1334" i="1" s="1"/>
  <c r="O1333" i="1" a="1"/>
  <c r="O1333" i="1" s="1"/>
  <c r="O1332" i="1" a="1"/>
  <c r="O1332" i="1" s="1"/>
  <c r="O1331" i="1" a="1"/>
  <c r="O1331" i="1" s="1"/>
  <c r="O1330" i="1"/>
  <c r="O1330" i="1" a="1"/>
  <c r="O1329" i="1"/>
  <c r="O1329" i="1" a="1"/>
  <c r="O1328" i="1" a="1"/>
  <c r="O1328" i="1" s="1"/>
  <c r="O1327" i="1" a="1"/>
  <c r="O1327" i="1" s="1"/>
  <c r="O1326" i="1" a="1"/>
  <c r="O1326" i="1" s="1"/>
  <c r="O1325" i="1" a="1"/>
  <c r="O1325" i="1" s="1"/>
  <c r="O1324" i="1" a="1"/>
  <c r="O1324" i="1" s="1"/>
  <c r="O1323" i="1"/>
  <c r="O1323" i="1" a="1"/>
  <c r="O1322" i="1"/>
  <c r="O1322" i="1" a="1"/>
  <c r="O1321" i="1" a="1"/>
  <c r="O1321" i="1" s="1"/>
  <c r="O1320" i="1" a="1"/>
  <c r="O1320" i="1" s="1"/>
  <c r="O1319" i="1"/>
  <c r="O1319" i="1" a="1"/>
  <c r="O1318" i="1" a="1"/>
  <c r="O1318" i="1" s="1"/>
  <c r="O1317" i="1" a="1"/>
  <c r="O1317" i="1" s="1"/>
  <c r="O1316" i="1"/>
  <c r="O1316" i="1" a="1"/>
  <c r="O1315" i="1"/>
  <c r="O1315" i="1" a="1"/>
  <c r="O1314" i="1" a="1"/>
  <c r="O1314" i="1" s="1"/>
  <c r="O1313" i="1" a="1"/>
  <c r="O1313" i="1" s="1"/>
  <c r="O1312" i="1" a="1"/>
  <c r="O1312" i="1" s="1"/>
  <c r="O1311" i="1" a="1"/>
  <c r="O1311" i="1" s="1"/>
  <c r="O1310" i="1" a="1"/>
  <c r="O1310" i="1" s="1"/>
  <c r="O1309" i="1"/>
  <c r="O1309" i="1" a="1"/>
  <c r="O1308" i="1"/>
  <c r="O1308" i="1" a="1"/>
  <c r="O1307" i="1" a="1"/>
  <c r="O1307" i="1" s="1"/>
  <c r="O1306" i="1" a="1"/>
  <c r="O1306" i="1" s="1"/>
  <c r="O1305" i="1" a="1"/>
  <c r="O1305" i="1" s="1"/>
  <c r="O1304" i="1" a="1"/>
  <c r="O1304" i="1" s="1"/>
  <c r="O1303" i="1" a="1"/>
  <c r="O1303" i="1" s="1"/>
  <c r="O1302" i="1"/>
  <c r="O1302" i="1" a="1"/>
  <c r="O1301" i="1"/>
  <c r="O1301" i="1" a="1"/>
  <c r="O1300" i="1" a="1"/>
  <c r="O1300" i="1" s="1"/>
  <c r="O1299" i="1" a="1"/>
  <c r="O1299" i="1" s="1"/>
  <c r="O1298" i="1" a="1"/>
  <c r="O1298" i="1" s="1"/>
  <c r="O1297" i="1" a="1"/>
  <c r="O1297" i="1" s="1"/>
  <c r="O1296" i="1" a="1"/>
  <c r="O1296" i="1" s="1"/>
  <c r="O1295" i="1"/>
  <c r="O1295" i="1" a="1"/>
  <c r="O1294" i="1"/>
  <c r="O1294" i="1" a="1"/>
  <c r="O1293" i="1" a="1"/>
  <c r="O1293" i="1" s="1"/>
  <c r="O1292" i="1" a="1"/>
  <c r="O1292" i="1" s="1"/>
  <c r="O1291" i="1" a="1"/>
  <c r="O1291" i="1" s="1"/>
  <c r="O1290" i="1" a="1"/>
  <c r="O1290" i="1" s="1"/>
  <c r="O1289" i="1" a="1"/>
  <c r="O1289" i="1" s="1"/>
  <c r="O1288" i="1"/>
  <c r="O1288" i="1" a="1"/>
  <c r="O1287" i="1"/>
  <c r="O1287" i="1" a="1"/>
  <c r="O1286" i="1" a="1"/>
  <c r="O1286" i="1" s="1"/>
  <c r="O1285" i="1" a="1"/>
  <c r="O1285" i="1" s="1"/>
  <c r="O1284" i="1"/>
  <c r="O1284" i="1" a="1"/>
  <c r="O1283" i="1" a="1"/>
  <c r="O1283" i="1" s="1"/>
  <c r="O1282" i="1" a="1"/>
  <c r="O1282" i="1" s="1"/>
  <c r="O1281" i="1"/>
  <c r="O1281" i="1" a="1"/>
  <c r="O1280" i="1"/>
  <c r="O1280" i="1" a="1"/>
  <c r="O1279" i="1" a="1"/>
  <c r="O1279" i="1" s="1"/>
  <c r="O1278" i="1" a="1"/>
  <c r="O1278" i="1" s="1"/>
  <c r="O1277" i="1" a="1"/>
  <c r="O1277" i="1" s="1"/>
  <c r="O1276" i="1" a="1"/>
  <c r="O1276" i="1" s="1"/>
  <c r="O1275" i="1" a="1"/>
  <c r="O1275" i="1" s="1"/>
  <c r="O1274" i="1"/>
  <c r="O1274" i="1" a="1"/>
  <c r="O1273" i="1"/>
  <c r="O1273" i="1" a="1"/>
  <c r="O1272" i="1" a="1"/>
  <c r="O1272" i="1" s="1"/>
  <c r="O1271" i="1" a="1"/>
  <c r="O1271" i="1" s="1"/>
  <c r="O1270" i="1" a="1"/>
  <c r="O1270" i="1" s="1"/>
  <c r="O1269" i="1" a="1"/>
  <c r="O1269" i="1" s="1"/>
  <c r="O1268" i="1" a="1"/>
  <c r="O1268" i="1" s="1"/>
  <c r="O1267" i="1"/>
  <c r="O1267" i="1" a="1"/>
  <c r="O1266" i="1"/>
  <c r="O1266" i="1" a="1"/>
  <c r="O1265" i="1" a="1"/>
  <c r="O1265" i="1" s="1"/>
  <c r="O1264" i="1" a="1"/>
  <c r="O1264" i="1" s="1"/>
  <c r="O1263" i="1"/>
  <c r="O1263" i="1" a="1"/>
  <c r="O1262" i="1" a="1"/>
  <c r="O1262" i="1" s="1"/>
  <c r="O1261" i="1" a="1"/>
  <c r="O1261" i="1" s="1"/>
  <c r="O1260" i="1"/>
  <c r="O1260" i="1" a="1"/>
  <c r="O1259" i="1"/>
  <c r="O1259" i="1" a="1"/>
  <c r="O1258" i="1" a="1"/>
  <c r="O1258" i="1" s="1"/>
  <c r="O1257" i="1" a="1"/>
  <c r="O1257" i="1" s="1"/>
  <c r="O1256" i="1" a="1"/>
  <c r="O1256" i="1" s="1"/>
  <c r="O1255" i="1"/>
  <c r="O1255" i="1" a="1"/>
  <c r="O1254" i="1" a="1"/>
  <c r="O1254" i="1" s="1"/>
  <c r="O1253" i="1"/>
  <c r="O1253" i="1" a="1"/>
  <c r="O1252" i="1"/>
  <c r="O1252" i="1" a="1"/>
  <c r="O1251" i="1" a="1"/>
  <c r="O1251" i="1" s="1"/>
  <c r="O1250" i="1" a="1"/>
  <c r="O1250" i="1" s="1"/>
  <c r="O1249" i="1" a="1"/>
  <c r="O1249" i="1" s="1"/>
  <c r="O1248" i="1" a="1"/>
  <c r="O1248" i="1" s="1"/>
  <c r="O1247" i="1" a="1"/>
  <c r="O1247" i="1" s="1"/>
  <c r="O1246" i="1"/>
  <c r="O1246" i="1" a="1"/>
  <c r="O1245" i="1"/>
  <c r="O1245" i="1" a="1"/>
  <c r="O1244" i="1" a="1"/>
  <c r="O1244" i="1" s="1"/>
  <c r="O1243" i="1" a="1"/>
  <c r="O1243" i="1" s="1"/>
  <c r="O1242" i="1" a="1"/>
  <c r="O1242" i="1" s="1"/>
  <c r="O1241" i="1" a="1"/>
  <c r="O1241" i="1" s="1"/>
  <c r="O1240" i="1" a="1"/>
  <c r="O1240" i="1" s="1"/>
  <c r="O1239" i="1"/>
  <c r="O1239" i="1" a="1"/>
  <c r="O1238" i="1"/>
  <c r="O1238" i="1" a="1"/>
  <c r="O1237" i="1" a="1"/>
  <c r="O1237" i="1" s="1"/>
  <c r="O1236" i="1" a="1"/>
  <c r="O1236" i="1" s="1"/>
  <c r="O1235" i="1" a="1"/>
  <c r="O1235" i="1" s="1"/>
  <c r="O1234" i="1" a="1"/>
  <c r="O1234" i="1" s="1"/>
  <c r="O1233" i="1"/>
  <c r="O1233" i="1" a="1"/>
  <c r="O1232" i="1"/>
  <c r="O1232" i="1" a="1"/>
  <c r="O1231" i="1"/>
  <c r="O1231" i="1" a="1"/>
  <c r="O1230" i="1" a="1"/>
  <c r="O1230" i="1" s="1"/>
  <c r="O1229" i="1" a="1"/>
  <c r="O1229" i="1" s="1"/>
  <c r="O1228" i="1" a="1"/>
  <c r="O1228" i="1" s="1"/>
  <c r="O1227" i="1" a="1"/>
  <c r="O1227" i="1" s="1"/>
  <c r="O1226" i="1" a="1"/>
  <c r="O1226" i="1" s="1"/>
  <c r="O1225" i="1"/>
  <c r="O1225" i="1" a="1"/>
  <c r="O1224" i="1"/>
  <c r="O1224" i="1" a="1"/>
  <c r="O1223" i="1" a="1"/>
  <c r="O1223" i="1" s="1"/>
  <c r="O1222" i="1" a="1"/>
  <c r="O1222" i="1" s="1"/>
  <c r="O1221" i="1" a="1"/>
  <c r="O1221" i="1" s="1"/>
  <c r="O1220" i="1" a="1"/>
  <c r="O1220" i="1" s="1"/>
  <c r="O1219" i="1" a="1"/>
  <c r="O1219" i="1" s="1"/>
  <c r="O1218" i="1"/>
  <c r="O1218" i="1" a="1"/>
  <c r="O1217" i="1"/>
  <c r="O1217" i="1" a="1"/>
  <c r="O1216" i="1" a="1"/>
  <c r="O1216" i="1" s="1"/>
  <c r="O1215" i="1" a="1"/>
  <c r="O1215" i="1" s="1"/>
  <c r="O1214" i="1" a="1"/>
  <c r="O1214" i="1" s="1"/>
  <c r="O1213" i="1"/>
  <c r="O1213" i="1" a="1"/>
  <c r="O1212" i="1" a="1"/>
  <c r="O1212" i="1" s="1"/>
  <c r="O1211" i="1"/>
  <c r="O1211" i="1" a="1"/>
  <c r="O1210" i="1"/>
  <c r="O1210" i="1" a="1"/>
  <c r="O1209" i="1" a="1"/>
  <c r="O1209" i="1" s="1"/>
  <c r="O1208" i="1" a="1"/>
  <c r="O1208" i="1" s="1"/>
  <c r="O1207" i="1" a="1"/>
  <c r="O1207" i="1" s="1"/>
  <c r="O1206" i="1" a="1"/>
  <c r="O1206" i="1" s="1"/>
  <c r="O1205" i="1" a="1"/>
  <c r="O1205" i="1" s="1"/>
  <c r="O1204" i="1"/>
  <c r="O1204" i="1" a="1"/>
  <c r="O1203" i="1"/>
  <c r="O1203" i="1" a="1"/>
  <c r="O1202" i="1" a="1"/>
  <c r="O1202" i="1" s="1"/>
  <c r="O1201" i="1" a="1"/>
  <c r="O1201" i="1" s="1"/>
  <c r="O1200" i="1" a="1"/>
  <c r="O1200" i="1" s="1"/>
  <c r="O1199" i="1" a="1"/>
  <c r="O1199" i="1" s="1"/>
  <c r="O1198" i="1"/>
  <c r="O1198" i="1" a="1"/>
  <c r="O1197" i="1"/>
  <c r="O1197" i="1" a="1"/>
  <c r="O1196" i="1"/>
  <c r="O1196" i="1" a="1"/>
  <c r="O1195" i="1" a="1"/>
  <c r="O1195" i="1" s="1"/>
  <c r="O1194" i="1" a="1"/>
  <c r="O1194" i="1" s="1"/>
  <c r="O1193" i="1" a="1"/>
  <c r="O1193" i="1" s="1"/>
  <c r="O1192" i="1" a="1"/>
  <c r="O1192" i="1" s="1"/>
  <c r="O1191" i="1" a="1"/>
  <c r="O1191" i="1" s="1"/>
  <c r="O1190" i="1"/>
  <c r="O1190" i="1" a="1"/>
  <c r="O1189" i="1"/>
  <c r="O1189" i="1" a="1"/>
  <c r="O1188" i="1" a="1"/>
  <c r="O1188" i="1" s="1"/>
  <c r="O1187" i="1" a="1"/>
  <c r="O1187" i="1" s="1"/>
  <c r="O1186" i="1" a="1"/>
  <c r="O1186" i="1" s="1"/>
  <c r="O1185" i="1" a="1"/>
  <c r="O1185" i="1" s="1"/>
  <c r="O1184" i="1" a="1"/>
  <c r="O1184" i="1" s="1"/>
  <c r="O1183" i="1"/>
  <c r="O1183" i="1" a="1"/>
  <c r="O1182" i="1"/>
  <c r="O1182" i="1" a="1"/>
  <c r="O1181" i="1" a="1"/>
  <c r="O1181" i="1" s="1"/>
  <c r="O1180" i="1" a="1"/>
  <c r="O1180" i="1" s="1"/>
  <c r="O1179" i="1" a="1"/>
  <c r="O1179" i="1" s="1"/>
  <c r="O1178" i="1" a="1"/>
  <c r="O1178" i="1" s="1"/>
  <c r="O1177" i="1" a="1"/>
  <c r="O1177" i="1" s="1"/>
  <c r="O1176" i="1"/>
  <c r="O1176" i="1" a="1"/>
  <c r="O1175" i="1"/>
  <c r="O1175" i="1" a="1"/>
  <c r="O1174" i="1" a="1"/>
  <c r="O1174" i="1" s="1"/>
  <c r="O1173" i="1" a="1"/>
  <c r="O1173" i="1" s="1"/>
  <c r="O1172" i="1" a="1"/>
  <c r="O1172" i="1" s="1"/>
  <c r="O1171" i="1" a="1"/>
  <c r="O1171" i="1" s="1"/>
  <c r="O1170" i="1" a="1"/>
  <c r="O1170" i="1" s="1"/>
  <c r="O1169" i="1"/>
  <c r="O1169" i="1" a="1"/>
  <c r="O1168" i="1"/>
  <c r="O1168" i="1" a="1"/>
  <c r="O1167" i="1" a="1"/>
  <c r="O1167" i="1" s="1"/>
  <c r="O1166" i="1" a="1"/>
  <c r="O1166" i="1" s="1"/>
  <c r="O1165" i="1"/>
  <c r="O1165" i="1" a="1"/>
  <c r="O1164" i="1" a="1"/>
  <c r="O1164" i="1" s="1"/>
  <c r="O1163" i="1" a="1"/>
  <c r="O1163" i="1" s="1"/>
  <c r="O1162" i="1"/>
  <c r="O1162" i="1" a="1"/>
  <c r="O1161" i="1"/>
  <c r="O1161" i="1" a="1"/>
  <c r="O1160" i="1" a="1"/>
  <c r="O1160" i="1" s="1"/>
  <c r="O1159" i="1" a="1"/>
  <c r="O1159" i="1" s="1"/>
  <c r="O1158" i="1" a="1"/>
  <c r="O1158" i="1" s="1"/>
  <c r="O1157" i="1"/>
  <c r="O1157" i="1" a="1"/>
  <c r="O1156" i="1" a="1"/>
  <c r="O1156" i="1" s="1"/>
  <c r="O1155" i="1"/>
  <c r="O1155" i="1" a="1"/>
  <c r="O1154" i="1"/>
  <c r="O1154" i="1" a="1"/>
  <c r="O1153" i="1" a="1"/>
  <c r="O1153" i="1" s="1"/>
  <c r="O1152" i="1" a="1"/>
  <c r="O1152" i="1" s="1"/>
  <c r="O1151" i="1" a="1"/>
  <c r="O1151" i="1" s="1"/>
  <c r="O1150" i="1" a="1"/>
  <c r="O1150" i="1" s="1"/>
  <c r="O1149" i="1" a="1"/>
  <c r="O1149" i="1" s="1"/>
  <c r="O1148" i="1"/>
  <c r="O1148" i="1" a="1"/>
  <c r="O1147" i="1"/>
  <c r="O1147" i="1" a="1"/>
  <c r="O1146" i="1" a="1"/>
  <c r="O1146" i="1" s="1"/>
  <c r="O1145" i="1" a="1"/>
  <c r="O1145" i="1" s="1"/>
  <c r="O1144" i="1" a="1"/>
  <c r="O1144" i="1" s="1"/>
  <c r="O1143" i="1" a="1"/>
  <c r="O1143" i="1" s="1"/>
  <c r="O1142" i="1"/>
  <c r="O1142" i="1" a="1"/>
  <c r="O1141" i="1"/>
  <c r="O1141" i="1" a="1"/>
  <c r="O1140" i="1"/>
  <c r="O1140" i="1" a="1"/>
  <c r="O1139" i="1" a="1"/>
  <c r="O1139" i="1" s="1"/>
  <c r="O1138" i="1" a="1"/>
  <c r="O1138" i="1" s="1"/>
  <c r="O1137" i="1" a="1"/>
  <c r="O1137" i="1" s="1"/>
  <c r="O1136" i="1" a="1"/>
  <c r="O1136" i="1" s="1"/>
  <c r="O1135" i="1" a="1"/>
  <c r="O1135" i="1" s="1"/>
  <c r="O1134" i="1"/>
  <c r="O1134" i="1" a="1"/>
  <c r="O1133" i="1"/>
  <c r="O1133" i="1" a="1"/>
  <c r="O1132" i="1" a="1"/>
  <c r="O1132" i="1" s="1"/>
  <c r="O1131" i="1" a="1"/>
  <c r="O1131" i="1" s="1"/>
  <c r="O1130" i="1"/>
  <c r="O1130" i="1" a="1"/>
  <c r="O1129" i="1" a="1"/>
  <c r="O1129" i="1" s="1"/>
  <c r="O1128" i="1" a="1"/>
  <c r="O1128" i="1" s="1"/>
  <c r="O1127" i="1"/>
  <c r="O1127" i="1" a="1"/>
  <c r="O1126" i="1"/>
  <c r="O1126" i="1" a="1"/>
  <c r="O1125" i="1" a="1"/>
  <c r="O1125" i="1" s="1"/>
  <c r="O1124" i="1" a="1"/>
  <c r="O1124" i="1" s="1"/>
  <c r="O1123" i="1" a="1"/>
  <c r="O1123" i="1" s="1"/>
  <c r="O1122" i="1" a="1"/>
  <c r="O1122" i="1" s="1"/>
  <c r="O1121" i="1" a="1"/>
  <c r="O1121" i="1" s="1"/>
  <c r="O1120" i="1"/>
  <c r="O1120" i="1" a="1"/>
  <c r="O1119" i="1"/>
  <c r="O1119" i="1" a="1"/>
  <c r="O1118" i="1" a="1"/>
  <c r="O1118" i="1" s="1"/>
  <c r="O1117" i="1" a="1"/>
  <c r="O1117" i="1" s="1"/>
  <c r="O1116" i="1" a="1"/>
  <c r="O1116" i="1" s="1"/>
  <c r="O1115" i="1"/>
  <c r="O1115" i="1" a="1"/>
  <c r="O1114" i="1"/>
  <c r="O1114" i="1" a="1"/>
  <c r="O1113" i="1"/>
  <c r="O1113" i="1" a="1"/>
  <c r="O1112" i="1"/>
  <c r="O1112" i="1" a="1"/>
  <c r="O1111" i="1" a="1"/>
  <c r="O1111" i="1" s="1"/>
  <c r="O1110" i="1" a="1"/>
  <c r="O1110" i="1" s="1"/>
  <c r="O1109" i="1" a="1"/>
  <c r="O1109" i="1" s="1"/>
  <c r="O1108" i="1" a="1"/>
  <c r="O1108" i="1" s="1"/>
  <c r="O1107" i="1" a="1"/>
  <c r="O1107" i="1" s="1"/>
  <c r="O1106" i="1"/>
  <c r="O1106" i="1" a="1"/>
  <c r="O1105" i="1"/>
  <c r="O1105" i="1" a="1"/>
  <c r="O1104" i="1" a="1"/>
  <c r="O1104" i="1" s="1"/>
  <c r="O1103" i="1" a="1"/>
  <c r="O1103" i="1" s="1"/>
  <c r="O1102" i="1" a="1"/>
  <c r="O1102" i="1" s="1"/>
  <c r="O1101" i="1" a="1"/>
  <c r="O1101" i="1" s="1"/>
  <c r="O1100" i="1" a="1"/>
  <c r="O1100" i="1" s="1"/>
  <c r="O1099" i="1"/>
  <c r="O1099" i="1" a="1"/>
  <c r="O1098" i="1"/>
  <c r="O1098" i="1" a="1"/>
  <c r="O1097" i="1" a="1"/>
  <c r="O1097" i="1" s="1"/>
  <c r="O1096" i="1" a="1"/>
  <c r="O1096" i="1" s="1"/>
  <c r="O1095" i="1" a="1"/>
  <c r="O1095" i="1" s="1"/>
  <c r="O1094" i="1"/>
  <c r="O1094" i="1" a="1"/>
  <c r="O1093" i="1" a="1"/>
  <c r="O1093" i="1" s="1"/>
  <c r="O1092" i="1"/>
  <c r="O1092" i="1" a="1"/>
  <c r="O1091" i="1"/>
  <c r="O1091" i="1" a="1"/>
  <c r="O1090" i="1" a="1"/>
  <c r="O1090" i="1" s="1"/>
  <c r="O1089" i="1" a="1"/>
  <c r="O1089" i="1" s="1"/>
  <c r="O1088" i="1" a="1"/>
  <c r="O1088" i="1" s="1"/>
  <c r="O1087" i="1" a="1"/>
  <c r="O1087" i="1" s="1"/>
  <c r="O1086" i="1" a="1"/>
  <c r="O1086" i="1" s="1"/>
  <c r="O1085" i="1"/>
  <c r="O1085" i="1" a="1"/>
  <c r="O1084" i="1"/>
  <c r="O1084" i="1" a="1"/>
  <c r="O1083" i="1" a="1"/>
  <c r="O1083" i="1" s="1"/>
  <c r="O1082" i="1" a="1"/>
  <c r="O1082" i="1" s="1"/>
  <c r="O1081" i="1" a="1"/>
  <c r="O1081" i="1" s="1"/>
  <c r="O1080" i="1" a="1"/>
  <c r="O1080" i="1" s="1"/>
  <c r="O1079" i="1"/>
  <c r="O1079" i="1" a="1"/>
  <c r="O1078" i="1"/>
  <c r="O1078" i="1" a="1"/>
  <c r="O1077" i="1"/>
  <c r="O1077" i="1" a="1"/>
  <c r="O1076" i="1" a="1"/>
  <c r="O1076" i="1" s="1"/>
  <c r="O1075" i="1" a="1"/>
  <c r="O1075" i="1" s="1"/>
  <c r="O1074" i="1" a="1"/>
  <c r="O1074" i="1" s="1"/>
  <c r="O1073" i="1"/>
  <c r="O1073" i="1" a="1"/>
  <c r="O1072" i="1" a="1"/>
  <c r="O1072" i="1" s="1"/>
  <c r="O1071" i="1"/>
  <c r="O1071" i="1" a="1"/>
  <c r="O1070" i="1"/>
  <c r="O1070" i="1" a="1"/>
  <c r="O1069" i="1" a="1"/>
  <c r="O1069" i="1" s="1"/>
  <c r="O1068" i="1" a="1"/>
  <c r="O1068" i="1" s="1"/>
  <c r="O1067" i="1" a="1"/>
  <c r="O1067" i="1" s="1"/>
  <c r="O1066" i="1" a="1"/>
  <c r="O1066" i="1" s="1"/>
  <c r="O1065" i="1" a="1"/>
  <c r="O1065" i="1" s="1"/>
  <c r="O1064" i="1"/>
  <c r="O1064" i="1" a="1"/>
  <c r="O1063" i="1"/>
  <c r="O1063" i="1" a="1"/>
  <c r="O1062" i="1" a="1"/>
  <c r="O1062" i="1" s="1"/>
  <c r="O1061" i="1" a="1"/>
  <c r="O1061" i="1" s="1"/>
  <c r="O1060" i="1" a="1"/>
  <c r="O1060" i="1" s="1"/>
  <c r="O1059" i="1" a="1"/>
  <c r="O1059" i="1" s="1"/>
  <c r="O1058" i="1" a="1"/>
  <c r="O1058" i="1" s="1"/>
  <c r="O1057" i="1" a="1"/>
  <c r="O1057" i="1" s="1"/>
  <c r="O1056" i="1"/>
  <c r="O1056" i="1" a="1"/>
  <c r="O1055" i="1" a="1"/>
  <c r="O1055" i="1" s="1"/>
  <c r="O1054" i="1" a="1"/>
  <c r="O1054" i="1" s="1"/>
  <c r="O1053" i="1" a="1"/>
  <c r="O1053" i="1" s="1"/>
  <c r="O1052" i="1" a="1"/>
  <c r="O1052" i="1" s="1"/>
  <c r="O1051" i="1" a="1"/>
  <c r="O1051" i="1" s="1"/>
  <c r="O1050" i="1" a="1"/>
  <c r="O1050" i="1" s="1"/>
  <c r="O1049" i="1"/>
  <c r="O1049" i="1" a="1"/>
  <c r="O1048" i="1" a="1"/>
  <c r="O1048" i="1" s="1"/>
  <c r="O1047" i="1" a="1"/>
  <c r="O1047" i="1" s="1"/>
  <c r="O1046" i="1" a="1"/>
  <c r="O1046" i="1" s="1"/>
  <c r="O1045" i="1" a="1"/>
  <c r="O1045" i="1" s="1"/>
  <c r="O1044" i="1" a="1"/>
  <c r="O1044" i="1" s="1"/>
  <c r="O1043" i="1" a="1"/>
  <c r="O1043" i="1" s="1"/>
  <c r="O1042" i="1"/>
  <c r="O1042" i="1" a="1"/>
  <c r="O1041" i="1" a="1"/>
  <c r="O1041" i="1" s="1"/>
  <c r="O1040" i="1" a="1"/>
  <c r="O1040" i="1" s="1"/>
  <c r="O1039" i="1" a="1"/>
  <c r="O1039" i="1" s="1"/>
  <c r="O1038" i="1" a="1"/>
  <c r="O1038" i="1" s="1"/>
  <c r="O1037" i="1" a="1"/>
  <c r="O1037" i="1" s="1"/>
  <c r="O1036" i="1" a="1"/>
  <c r="O1036" i="1" s="1"/>
  <c r="O1035" i="1"/>
  <c r="O1035" i="1" a="1"/>
  <c r="O1034" i="1" a="1"/>
  <c r="O1034" i="1" s="1"/>
  <c r="O1033" i="1" a="1"/>
  <c r="O1033" i="1" s="1"/>
  <c r="O1032" i="1" a="1"/>
  <c r="O1032" i="1" s="1"/>
  <c r="O1031" i="1" a="1"/>
  <c r="O1031" i="1" s="1"/>
  <c r="O1030" i="1" a="1"/>
  <c r="O1030" i="1" s="1"/>
  <c r="O1029" i="1" a="1"/>
  <c r="O1029" i="1" s="1"/>
  <c r="O1028" i="1"/>
  <c r="O1028" i="1" a="1"/>
  <c r="O1027" i="1" a="1"/>
  <c r="O1027" i="1" s="1"/>
  <c r="O1026" i="1" a="1"/>
  <c r="O1026" i="1" s="1"/>
  <c r="O1025" i="1"/>
  <c r="O1025" i="1" a="1"/>
  <c r="O1024" i="1" a="1"/>
  <c r="O1024" i="1" s="1"/>
  <c r="O1023" i="1" a="1"/>
  <c r="O1023" i="1" s="1"/>
  <c r="O1022" i="1" a="1"/>
  <c r="O1022" i="1" s="1"/>
  <c r="O1021" i="1"/>
  <c r="O1021" i="1" a="1"/>
  <c r="O1020" i="1" a="1"/>
  <c r="O1020" i="1" s="1"/>
  <c r="O1019" i="1" a="1"/>
  <c r="O1019" i="1" s="1"/>
  <c r="O1018" i="1" a="1"/>
  <c r="O1018" i="1" s="1"/>
  <c r="O1017" i="1" a="1"/>
  <c r="O1017" i="1" s="1"/>
  <c r="O1016" i="1" a="1"/>
  <c r="O1016" i="1" s="1"/>
  <c r="O1015" i="1" a="1"/>
  <c r="O1015" i="1" s="1"/>
  <c r="O1014" i="1"/>
  <c r="O1014" i="1" a="1"/>
  <c r="O1013" i="1" a="1"/>
  <c r="O1013" i="1" s="1"/>
  <c r="O1012" i="1" a="1"/>
  <c r="O1012" i="1" s="1"/>
  <c r="O1011" i="1" a="1"/>
  <c r="O1011" i="1" s="1"/>
  <c r="O1010" i="1" a="1"/>
  <c r="O1010" i="1" s="1"/>
  <c r="O1009" i="1" a="1"/>
  <c r="O1009" i="1" s="1"/>
  <c r="O1008" i="1" a="1"/>
  <c r="O1008" i="1" s="1"/>
  <c r="O1007" i="1"/>
  <c r="O1007" i="1" a="1"/>
  <c r="O1006" i="1" a="1"/>
  <c r="O1006" i="1" s="1"/>
  <c r="O1005" i="1" a="1"/>
  <c r="O1005" i="1" s="1"/>
  <c r="O1004" i="1" a="1"/>
  <c r="O1004" i="1" s="1"/>
  <c r="O1003" i="1" a="1"/>
  <c r="O1003" i="1" s="1"/>
  <c r="O1002" i="1"/>
  <c r="O1002" i="1" a="1"/>
  <c r="O1001" i="1" a="1"/>
  <c r="O1001" i="1" s="1"/>
  <c r="O1000" i="1"/>
  <c r="O1000" i="1" a="1"/>
  <c r="O999" i="1" a="1"/>
  <c r="O999" i="1" s="1"/>
  <c r="O998" i="1" a="1"/>
  <c r="O998" i="1" s="1"/>
  <c r="O997" i="1" a="1"/>
  <c r="O997" i="1" s="1"/>
  <c r="O996" i="1" a="1"/>
  <c r="O996" i="1" s="1"/>
  <c r="O995" i="1"/>
  <c r="O995" i="1" a="1"/>
  <c r="O994" i="1" a="1"/>
  <c r="O994" i="1" s="1"/>
  <c r="O993" i="1"/>
  <c r="O993" i="1" a="1"/>
  <c r="O992" i="1" a="1"/>
  <c r="O992" i="1" s="1"/>
  <c r="O991" i="1" a="1"/>
  <c r="O991" i="1" s="1"/>
  <c r="O990" i="1" a="1"/>
  <c r="O990" i="1" s="1"/>
  <c r="O989" i="1" a="1"/>
  <c r="O989" i="1" s="1"/>
  <c r="O988" i="1" a="1"/>
  <c r="O988" i="1" s="1"/>
  <c r="O987" i="1" a="1"/>
  <c r="O987" i="1" s="1"/>
  <c r="O986" i="1"/>
  <c r="O986" i="1" a="1"/>
  <c r="O985" i="1" a="1"/>
  <c r="O985" i="1" s="1"/>
  <c r="O984" i="1" a="1"/>
  <c r="O984" i="1" s="1"/>
  <c r="O983" i="1" a="1"/>
  <c r="O983" i="1" s="1"/>
  <c r="O982" i="1" a="1"/>
  <c r="O982" i="1" s="1"/>
  <c r="O981" i="1"/>
  <c r="O981" i="1" a="1"/>
  <c r="O980" i="1" a="1"/>
  <c r="O980" i="1" s="1"/>
  <c r="O979" i="1"/>
  <c r="O979" i="1" a="1"/>
  <c r="O978" i="1" a="1"/>
  <c r="O978" i="1" s="1"/>
  <c r="O977" i="1" a="1"/>
  <c r="O977" i="1" s="1"/>
  <c r="O976" i="1"/>
  <c r="O976" i="1" a="1"/>
  <c r="O975" i="1" a="1"/>
  <c r="O975" i="1" s="1"/>
  <c r="O974" i="1" a="1"/>
  <c r="O974" i="1" s="1"/>
  <c r="O973" i="1" a="1"/>
  <c r="O973" i="1" s="1"/>
  <c r="O972" i="1"/>
  <c r="O972" i="1" a="1"/>
  <c r="O971" i="1" a="1"/>
  <c r="O971" i="1" s="1"/>
  <c r="O970" i="1" a="1"/>
  <c r="O970" i="1" s="1"/>
  <c r="O969" i="1" a="1"/>
  <c r="O969" i="1" s="1"/>
  <c r="O968" i="1"/>
  <c r="O968" i="1" a="1"/>
  <c r="O967" i="1" a="1"/>
  <c r="O967" i="1" s="1"/>
  <c r="O966" i="1" a="1"/>
  <c r="O966" i="1" s="1"/>
  <c r="O965" i="1"/>
  <c r="O965" i="1" a="1"/>
  <c r="O964" i="1" a="1"/>
  <c r="O964" i="1" s="1"/>
  <c r="O963" i="1" a="1"/>
  <c r="O963" i="1" s="1"/>
  <c r="O962" i="1" a="1"/>
  <c r="O962" i="1" s="1"/>
  <c r="O961" i="1" a="1"/>
  <c r="O961" i="1" s="1"/>
  <c r="O960" i="1"/>
  <c r="O960" i="1" a="1"/>
  <c r="O959" i="1" a="1"/>
  <c r="O959" i="1" s="1"/>
  <c r="O958" i="1"/>
  <c r="O958" i="1" a="1"/>
  <c r="O957" i="1" a="1"/>
  <c r="O957" i="1" s="1"/>
  <c r="O956" i="1" a="1"/>
  <c r="O956" i="1" s="1"/>
  <c r="O955" i="1" a="1"/>
  <c r="O955" i="1" s="1"/>
  <c r="O954" i="1" a="1"/>
  <c r="O954" i="1" s="1"/>
  <c r="O953" i="1" a="1"/>
  <c r="O953" i="1" s="1"/>
  <c r="O952" i="1" a="1"/>
  <c r="O952" i="1" s="1"/>
  <c r="O951" i="1"/>
  <c r="O951" i="1" a="1"/>
  <c r="O950" i="1" a="1"/>
  <c r="O950" i="1" s="1"/>
  <c r="O949" i="1" a="1"/>
  <c r="O949" i="1" s="1"/>
  <c r="O948" i="1" a="1"/>
  <c r="O948" i="1" s="1"/>
  <c r="O947" i="1" a="1"/>
  <c r="O947" i="1" s="1"/>
  <c r="O946" i="1" a="1"/>
  <c r="O946" i="1" s="1"/>
  <c r="O945" i="1" a="1"/>
  <c r="O945" i="1" s="1"/>
  <c r="O944" i="1"/>
  <c r="O944" i="1" a="1"/>
  <c r="O943" i="1" a="1"/>
  <c r="O943" i="1" s="1"/>
  <c r="O942" i="1" a="1"/>
  <c r="O942" i="1" s="1"/>
  <c r="O941" i="1" a="1"/>
  <c r="O941" i="1" s="1"/>
  <c r="O940" i="1" a="1"/>
  <c r="O940" i="1" s="1"/>
  <c r="O939" i="1" a="1"/>
  <c r="O939" i="1" s="1"/>
  <c r="O938" i="1" a="1"/>
  <c r="O938" i="1" s="1"/>
  <c r="O937" i="1"/>
  <c r="O937" i="1" a="1"/>
  <c r="O936" i="1" a="1"/>
  <c r="O936" i="1" s="1"/>
  <c r="O935" i="1" a="1"/>
  <c r="O935" i="1" s="1"/>
  <c r="O934" i="1" a="1"/>
  <c r="O934" i="1" s="1"/>
  <c r="O933" i="1"/>
  <c r="O933" i="1" a="1"/>
  <c r="O932" i="1" a="1"/>
  <c r="O932" i="1" s="1"/>
  <c r="O931" i="1" a="1"/>
  <c r="O931" i="1" s="1"/>
  <c r="O930" i="1"/>
  <c r="O930" i="1" a="1"/>
  <c r="O929" i="1" a="1"/>
  <c r="O929" i="1" s="1"/>
  <c r="O928" i="1" a="1"/>
  <c r="O928" i="1" s="1"/>
  <c r="O927" i="1" a="1"/>
  <c r="O927" i="1" s="1"/>
  <c r="O926" i="1" a="1"/>
  <c r="O926" i="1" s="1"/>
  <c r="O925" i="1" a="1"/>
  <c r="O925" i="1" s="1"/>
  <c r="O924" i="1" a="1"/>
  <c r="O924" i="1" s="1"/>
  <c r="O923" i="1"/>
  <c r="O923" i="1" a="1"/>
  <c r="O922" i="1" a="1"/>
  <c r="O922" i="1" s="1"/>
  <c r="O921" i="1" a="1"/>
  <c r="O921" i="1" s="1"/>
  <c r="O920" i="1" a="1"/>
  <c r="O920" i="1" s="1"/>
  <c r="O919" i="1" a="1"/>
  <c r="O919" i="1" s="1"/>
  <c r="O918" i="1" a="1"/>
  <c r="O918" i="1" s="1"/>
  <c r="O917" i="1" a="1"/>
  <c r="O917" i="1" s="1"/>
  <c r="O916" i="1"/>
  <c r="O916" i="1" a="1"/>
  <c r="O915" i="1" a="1"/>
  <c r="O915" i="1" s="1"/>
  <c r="O914" i="1" a="1"/>
  <c r="O914" i="1" s="1"/>
  <c r="O913" i="1" a="1"/>
  <c r="O913" i="1" s="1"/>
  <c r="O912" i="1"/>
  <c r="O912" i="1" a="1"/>
  <c r="O911" i="1" a="1"/>
  <c r="O911" i="1" s="1"/>
  <c r="O910" i="1" a="1"/>
  <c r="O910" i="1" s="1"/>
  <c r="O909" i="1"/>
  <c r="O909" i="1" a="1"/>
  <c r="O908" i="1" a="1"/>
  <c r="O908" i="1" s="1"/>
  <c r="O907" i="1"/>
  <c r="O907" i="1" a="1"/>
  <c r="O906" i="1" a="1"/>
  <c r="O906" i="1" s="1"/>
  <c r="O905" i="1" a="1"/>
  <c r="O905" i="1" s="1"/>
  <c r="O904" i="1"/>
  <c r="O904" i="1" a="1"/>
  <c r="O903" i="1"/>
  <c r="O903" i="1" a="1"/>
  <c r="O902" i="1"/>
  <c r="O902" i="1" a="1"/>
  <c r="O901" i="1" a="1"/>
  <c r="O901" i="1" s="1"/>
  <c r="O900" i="1" a="1"/>
  <c r="O900" i="1" s="1"/>
  <c r="O899" i="1" a="1"/>
  <c r="O899" i="1" s="1"/>
  <c r="O898" i="1" a="1"/>
  <c r="O898" i="1" s="1"/>
  <c r="O897" i="1" a="1"/>
  <c r="O897" i="1" s="1"/>
  <c r="O896" i="1"/>
  <c r="O896" i="1" a="1"/>
  <c r="O895" i="1"/>
  <c r="O895" i="1" a="1"/>
  <c r="O894" i="1" a="1"/>
  <c r="O894" i="1" s="1"/>
  <c r="O893" i="1"/>
  <c r="O893" i="1" a="1"/>
  <c r="O892" i="1" a="1"/>
  <c r="O892" i="1" s="1"/>
  <c r="O891" i="1"/>
  <c r="O891" i="1" a="1"/>
  <c r="O890" i="1"/>
  <c r="O890" i="1" a="1"/>
  <c r="O889" i="1" a="1"/>
  <c r="O889" i="1" s="1"/>
  <c r="O888" i="1"/>
  <c r="O888" i="1" a="1"/>
  <c r="O887" i="1" a="1"/>
  <c r="O887" i="1" s="1"/>
  <c r="O886" i="1" a="1"/>
  <c r="O886" i="1" s="1"/>
  <c r="O885" i="1" a="1"/>
  <c r="O885" i="1" s="1"/>
  <c r="O884" i="1" a="1"/>
  <c r="O884" i="1" s="1"/>
  <c r="O883" i="1" a="1"/>
  <c r="O883" i="1" s="1"/>
  <c r="O882" i="1" a="1"/>
  <c r="O882" i="1" s="1"/>
  <c r="O881" i="1"/>
  <c r="O881" i="1" a="1"/>
  <c r="O880" i="1" a="1"/>
  <c r="O880" i="1" s="1"/>
  <c r="O879" i="1" a="1"/>
  <c r="O879" i="1" s="1"/>
  <c r="O878" i="1"/>
  <c r="O878" i="1" a="1"/>
  <c r="O877" i="1" a="1"/>
  <c r="O877" i="1" s="1"/>
  <c r="O876" i="1" a="1"/>
  <c r="O876" i="1" s="1"/>
  <c r="O875" i="1"/>
  <c r="O875" i="1" a="1"/>
  <c r="O874" i="1"/>
  <c r="O874" i="1" a="1"/>
  <c r="O873" i="1" a="1"/>
  <c r="O873" i="1" s="1"/>
  <c r="O872" i="1" a="1"/>
  <c r="O872" i="1" s="1"/>
  <c r="O871" i="1"/>
  <c r="O871" i="1" a="1"/>
  <c r="O870" i="1" a="1"/>
  <c r="O870" i="1" s="1"/>
  <c r="O869" i="1" a="1"/>
  <c r="O869" i="1" s="1"/>
  <c r="O868" i="1"/>
  <c r="O868" i="1" a="1"/>
  <c r="O867" i="1"/>
  <c r="O867" i="1" a="1"/>
  <c r="O866" i="1" a="1"/>
  <c r="O866" i="1" s="1"/>
  <c r="O865" i="1"/>
  <c r="O865" i="1" a="1"/>
  <c r="O864" i="1"/>
  <c r="O864" i="1" a="1"/>
  <c r="O863" i="1" a="1"/>
  <c r="O863" i="1" s="1"/>
  <c r="O862" i="1"/>
  <c r="O862" i="1" a="1"/>
  <c r="O861" i="1" a="1"/>
  <c r="O861" i="1" s="1"/>
  <c r="O860" i="1"/>
  <c r="O860" i="1" a="1"/>
  <c r="O859" i="1" a="1"/>
  <c r="O859" i="1" s="1"/>
  <c r="O858" i="1"/>
  <c r="O858" i="1" a="1"/>
  <c r="O857" i="1" a="1"/>
  <c r="O857" i="1" s="1"/>
  <c r="O856" i="1" a="1"/>
  <c r="O856" i="1" s="1"/>
  <c r="O855" i="1"/>
  <c r="O855" i="1" a="1"/>
  <c r="O854" i="1" a="1"/>
  <c r="O854" i="1" s="1"/>
  <c r="O853" i="1"/>
  <c r="O853" i="1" a="1"/>
  <c r="O852" i="1" a="1"/>
  <c r="O852" i="1" s="1"/>
  <c r="O851" i="1" a="1"/>
  <c r="O851" i="1" s="1"/>
  <c r="O850" i="1" a="1"/>
  <c r="O850" i="1" s="1"/>
  <c r="O849" i="1"/>
  <c r="O849" i="1" a="1"/>
  <c r="O848" i="1" a="1"/>
  <c r="O848" i="1" s="1"/>
  <c r="O847" i="1" a="1"/>
  <c r="O847" i="1" s="1"/>
  <c r="O846" i="1"/>
  <c r="O846" i="1" a="1"/>
  <c r="O845" i="1" a="1"/>
  <c r="O845" i="1" s="1"/>
  <c r="O844" i="1" a="1"/>
  <c r="O844" i="1" s="1"/>
  <c r="O843" i="1" a="1"/>
  <c r="O843" i="1" s="1"/>
  <c r="O842" i="1" a="1"/>
  <c r="O842" i="1" s="1"/>
  <c r="O841" i="1" a="1"/>
  <c r="O841" i="1" s="1"/>
  <c r="O840" i="1" a="1"/>
  <c r="O840" i="1" s="1"/>
  <c r="O839" i="1"/>
  <c r="O839" i="1" a="1"/>
  <c r="O838" i="1" a="1"/>
  <c r="O838" i="1" s="1"/>
  <c r="O837" i="1" a="1"/>
  <c r="O837" i="1" s="1"/>
  <c r="O836" i="1"/>
  <c r="O836" i="1" a="1"/>
  <c r="O835" i="1" a="1"/>
  <c r="O835" i="1" s="1"/>
  <c r="O834" i="1" a="1"/>
  <c r="O834" i="1" s="1"/>
  <c r="O833" i="1"/>
  <c r="O833" i="1" a="1"/>
  <c r="O832" i="1"/>
  <c r="O832" i="1" a="1"/>
  <c r="O831" i="1" a="1"/>
  <c r="O831" i="1" s="1"/>
  <c r="O830" i="1" a="1"/>
  <c r="O830" i="1" s="1"/>
  <c r="O829" i="1" a="1"/>
  <c r="O829" i="1" s="1"/>
  <c r="O828" i="1" a="1"/>
  <c r="O828" i="1" s="1"/>
  <c r="O827" i="1" a="1"/>
  <c r="O827" i="1" s="1"/>
  <c r="O826" i="1" a="1"/>
  <c r="O826" i="1" s="1"/>
  <c r="O825" i="1"/>
  <c r="O825" i="1" a="1"/>
  <c r="O824" i="1" a="1"/>
  <c r="O824" i="1" s="1"/>
  <c r="O823" i="1"/>
  <c r="O823" i="1" a="1"/>
  <c r="O822" i="1" a="1"/>
  <c r="O822" i="1" s="1"/>
  <c r="O821" i="1"/>
  <c r="O821" i="1" a="1"/>
  <c r="O820" i="1"/>
  <c r="O820" i="1" a="1"/>
  <c r="O819" i="1" a="1"/>
  <c r="O819" i="1" s="1"/>
  <c r="O818" i="1"/>
  <c r="O818" i="1" a="1"/>
  <c r="O817" i="1" a="1"/>
  <c r="O817" i="1" s="1"/>
  <c r="O816" i="1"/>
  <c r="O816" i="1" a="1"/>
  <c r="O815" i="1" a="1"/>
  <c r="O815" i="1" s="1"/>
  <c r="O814" i="1"/>
  <c r="O814" i="1" a="1"/>
  <c r="O813" i="1"/>
  <c r="O813" i="1" a="1"/>
  <c r="O812" i="1" a="1"/>
  <c r="O812" i="1" s="1"/>
  <c r="O811" i="1"/>
  <c r="O811" i="1" a="1"/>
  <c r="O810" i="1" a="1"/>
  <c r="O810" i="1" s="1"/>
  <c r="O809" i="1"/>
  <c r="O809" i="1" a="1"/>
  <c r="O808" i="1" a="1"/>
  <c r="O808" i="1" s="1"/>
  <c r="O807" i="1" a="1"/>
  <c r="O807" i="1" s="1"/>
  <c r="O806" i="1" a="1"/>
  <c r="O806" i="1" s="1"/>
  <c r="O805" i="1" a="1"/>
  <c r="O805" i="1" s="1"/>
  <c r="O804" i="1"/>
  <c r="O804" i="1" a="1"/>
  <c r="O803" i="1" a="1"/>
  <c r="O803" i="1" s="1"/>
  <c r="O802" i="1" a="1"/>
  <c r="O802" i="1" s="1"/>
  <c r="O801" i="1" a="1"/>
  <c r="O801" i="1" s="1"/>
  <c r="O800" i="1"/>
  <c r="O800" i="1" a="1"/>
  <c r="O799" i="1" a="1"/>
  <c r="O799" i="1" s="1"/>
  <c r="O798" i="1" a="1"/>
  <c r="O798" i="1" s="1"/>
  <c r="O797" i="1"/>
  <c r="O797" i="1" a="1"/>
  <c r="O796" i="1" a="1"/>
  <c r="O796" i="1" s="1"/>
  <c r="O795" i="1"/>
  <c r="O795" i="1" a="1"/>
  <c r="O794" i="1"/>
  <c r="O794" i="1" a="1"/>
  <c r="O793" i="1" a="1"/>
  <c r="O793" i="1" s="1"/>
  <c r="O792" i="1" a="1"/>
  <c r="O792" i="1" s="1"/>
  <c r="O791" i="1"/>
  <c r="O791" i="1" a="1"/>
  <c r="O790" i="1"/>
  <c r="O790" i="1" a="1"/>
  <c r="O789" i="1" a="1"/>
  <c r="O789" i="1" s="1"/>
  <c r="O788" i="1" a="1"/>
  <c r="O788" i="1" s="1"/>
  <c r="O787" i="1" a="1"/>
  <c r="O787" i="1" s="1"/>
  <c r="O786" i="1" a="1"/>
  <c r="O786" i="1" s="1"/>
  <c r="O785" i="1"/>
  <c r="O785" i="1" a="1"/>
  <c r="O784" i="1" a="1"/>
  <c r="O784" i="1" s="1"/>
  <c r="O783" i="1"/>
  <c r="O783" i="1" a="1"/>
  <c r="O782" i="1" a="1"/>
  <c r="O782" i="1" s="1"/>
  <c r="O781" i="1" a="1"/>
  <c r="O781" i="1" s="1"/>
  <c r="O780" i="1" a="1"/>
  <c r="O780" i="1" s="1"/>
  <c r="O779" i="1" a="1"/>
  <c r="O779" i="1" s="1"/>
  <c r="O778" i="1" a="1"/>
  <c r="O778" i="1" s="1"/>
  <c r="O777" i="1" a="1"/>
  <c r="O777" i="1" s="1"/>
  <c r="O776" i="1"/>
  <c r="O776" i="1" a="1"/>
  <c r="O775" i="1" a="1"/>
  <c r="O775" i="1" s="1"/>
  <c r="O774" i="1" a="1"/>
  <c r="O774" i="1" s="1"/>
  <c r="O773" i="1" a="1"/>
  <c r="O773" i="1" s="1"/>
  <c r="O772" i="1" a="1"/>
  <c r="O772" i="1" s="1"/>
  <c r="O771" i="1" a="1"/>
  <c r="O771" i="1" s="1"/>
  <c r="O770" i="1"/>
  <c r="O770" i="1" a="1"/>
  <c r="O769" i="1"/>
  <c r="O769" i="1" a="1"/>
  <c r="O768" i="1" a="1"/>
  <c r="O768" i="1" s="1"/>
  <c r="O767" i="1"/>
  <c r="O767" i="1" a="1"/>
  <c r="O766" i="1"/>
  <c r="O766" i="1" a="1"/>
  <c r="O765" i="1"/>
  <c r="O765" i="1" a="1"/>
  <c r="O764" i="1"/>
  <c r="O764" i="1" a="1"/>
  <c r="O763" i="1" a="1"/>
  <c r="O763" i="1" s="1"/>
  <c r="O762" i="1"/>
  <c r="O762" i="1" a="1"/>
  <c r="O761" i="1" a="1"/>
  <c r="O761" i="1" s="1"/>
  <c r="O760" i="1" a="1"/>
  <c r="O760" i="1" s="1"/>
  <c r="O759" i="1" a="1"/>
  <c r="O759" i="1" s="1"/>
  <c r="O758" i="1"/>
  <c r="O758" i="1" a="1"/>
  <c r="O757" i="1" a="1"/>
  <c r="O757" i="1" s="1"/>
  <c r="O756" i="1" a="1"/>
  <c r="O756" i="1" s="1"/>
  <c r="O755" i="1"/>
  <c r="O755" i="1" a="1"/>
  <c r="O754" i="1" a="1"/>
  <c r="O754" i="1" s="1"/>
  <c r="O753" i="1"/>
  <c r="O753" i="1" a="1"/>
  <c r="O752" i="1"/>
  <c r="O752" i="1" a="1"/>
  <c r="O751" i="1" a="1"/>
  <c r="O751" i="1" s="1"/>
  <c r="O750" i="1" a="1"/>
  <c r="O750" i="1" s="1"/>
  <c r="O749" i="1" a="1"/>
  <c r="O749" i="1" s="1"/>
  <c r="O748" i="1"/>
  <c r="O748" i="1" a="1"/>
  <c r="O747" i="1" a="1"/>
  <c r="O747" i="1" s="1"/>
  <c r="O746" i="1" a="1"/>
  <c r="O746" i="1" s="1"/>
  <c r="O745" i="1" a="1"/>
  <c r="O745" i="1" s="1"/>
  <c r="O744" i="1" a="1"/>
  <c r="O744" i="1" s="1"/>
  <c r="O743" i="1" a="1"/>
  <c r="O743" i="1" s="1"/>
  <c r="O742" i="1" a="1"/>
  <c r="O742" i="1" s="1"/>
  <c r="O741" i="1"/>
  <c r="O741" i="1" a="1"/>
  <c r="O740" i="1" a="1"/>
  <c r="O740" i="1" s="1"/>
  <c r="O739" i="1" a="1"/>
  <c r="O739" i="1" s="1"/>
  <c r="O738" i="1" a="1"/>
  <c r="O738" i="1" s="1"/>
  <c r="O737" i="1"/>
  <c r="O737" i="1" a="1"/>
  <c r="O736" i="1"/>
  <c r="O736" i="1" a="1"/>
  <c r="O735" i="1"/>
  <c r="O735" i="1" a="1"/>
  <c r="O734" i="1"/>
  <c r="O734" i="1" a="1"/>
  <c r="O733" i="1" a="1"/>
  <c r="O733" i="1" s="1"/>
  <c r="O732" i="1" a="1"/>
  <c r="O732" i="1" s="1"/>
  <c r="O731" i="1" a="1"/>
  <c r="O731" i="1" s="1"/>
  <c r="O730" i="1" a="1"/>
  <c r="O730" i="1" s="1"/>
  <c r="O729" i="1" a="1"/>
  <c r="O729" i="1" s="1"/>
  <c r="O728" i="1" a="1"/>
  <c r="O728" i="1" s="1"/>
  <c r="O727" i="1"/>
  <c r="O727" i="1" a="1"/>
  <c r="O726" i="1" a="1"/>
  <c r="O726" i="1" s="1"/>
  <c r="O725" i="1" a="1"/>
  <c r="O725" i="1" s="1"/>
  <c r="O724" i="1"/>
  <c r="O724" i="1" a="1"/>
  <c r="O723" i="1" a="1"/>
  <c r="O723" i="1" s="1"/>
  <c r="O722" i="1" a="1"/>
  <c r="O722" i="1" s="1"/>
  <c r="O721" i="1" a="1"/>
  <c r="O721" i="1" s="1"/>
  <c r="O720" i="1"/>
  <c r="O720" i="1" a="1"/>
  <c r="O719" i="1" a="1"/>
  <c r="O719" i="1" s="1"/>
  <c r="O718" i="1" a="1"/>
  <c r="O718" i="1" s="1"/>
  <c r="O717" i="1" a="1"/>
  <c r="O717" i="1" s="1"/>
  <c r="O716" i="1"/>
  <c r="O716" i="1" a="1"/>
  <c r="O715" i="1" a="1"/>
  <c r="O715" i="1" s="1"/>
  <c r="O714" i="1" a="1"/>
  <c r="O714" i="1" s="1"/>
  <c r="O713" i="1"/>
  <c r="O713" i="1" a="1"/>
  <c r="O712" i="1" a="1"/>
  <c r="O712" i="1" s="1"/>
  <c r="O711" i="1"/>
  <c r="O711" i="1" a="1"/>
  <c r="O710" i="1" a="1"/>
  <c r="O710" i="1" s="1"/>
  <c r="O709" i="1" a="1"/>
  <c r="O709" i="1" s="1"/>
  <c r="O708" i="1"/>
  <c r="O708" i="1" a="1"/>
  <c r="O707" i="1"/>
  <c r="O707" i="1" a="1"/>
  <c r="O706" i="1"/>
  <c r="O706" i="1" a="1"/>
  <c r="O705" i="1" a="1"/>
  <c r="O705" i="1" s="1"/>
  <c r="O704" i="1" a="1"/>
  <c r="O704" i="1" s="1"/>
  <c r="O703" i="1" a="1"/>
  <c r="O703" i="1" s="1"/>
  <c r="O702" i="1" a="1"/>
  <c r="O702" i="1" s="1"/>
  <c r="O701" i="1"/>
  <c r="O701" i="1" a="1"/>
  <c r="O700" i="1" a="1"/>
  <c r="O700" i="1" s="1"/>
  <c r="O699" i="1"/>
  <c r="O699" i="1" a="1"/>
  <c r="O698" i="1" a="1"/>
  <c r="O698" i="1" s="1"/>
  <c r="O697" i="1" a="1"/>
  <c r="O697" i="1" s="1"/>
  <c r="O696" i="1" a="1"/>
  <c r="O696" i="1" s="1"/>
  <c r="O695" i="1"/>
  <c r="O695" i="1" a="1"/>
  <c r="O694" i="1" a="1"/>
  <c r="O694" i="1" s="1"/>
  <c r="O693" i="1"/>
  <c r="O693" i="1" a="1"/>
  <c r="O692" i="1"/>
  <c r="O692" i="1" a="1"/>
  <c r="O691" i="1" a="1"/>
  <c r="O691" i="1" s="1"/>
  <c r="O690" i="1"/>
  <c r="O690" i="1" a="1"/>
  <c r="O689" i="1" a="1"/>
  <c r="O689" i="1" s="1"/>
  <c r="O688" i="1"/>
  <c r="O688" i="1" a="1"/>
  <c r="O687" i="1" a="1"/>
  <c r="O687" i="1" s="1"/>
  <c r="O686" i="1" a="1"/>
  <c r="O686" i="1" s="1"/>
  <c r="O685" i="1"/>
  <c r="O685" i="1" a="1"/>
  <c r="O684" i="1" a="1"/>
  <c r="O684" i="1" s="1"/>
  <c r="O683" i="1"/>
  <c r="O683" i="1" a="1"/>
  <c r="O682" i="1"/>
  <c r="O682" i="1" a="1"/>
  <c r="O681" i="1" a="1"/>
  <c r="O681" i="1" s="1"/>
  <c r="O680" i="1" a="1"/>
  <c r="O680" i="1" s="1"/>
  <c r="O679" i="1"/>
  <c r="O679" i="1" a="1"/>
  <c r="O678" i="1"/>
  <c r="O678" i="1" a="1"/>
  <c r="O677" i="1" a="1"/>
  <c r="O677" i="1" s="1"/>
  <c r="O676" i="1" a="1"/>
  <c r="O676" i="1" s="1"/>
  <c r="O675" i="1"/>
  <c r="O675" i="1" a="1"/>
  <c r="O674" i="1" a="1"/>
  <c r="O674" i="1" s="1"/>
  <c r="O673" i="1" a="1"/>
  <c r="O673" i="1" s="1"/>
  <c r="O672" i="1" a="1"/>
  <c r="O672" i="1" s="1"/>
  <c r="O671" i="1"/>
  <c r="O671" i="1" a="1"/>
  <c r="O670" i="1" a="1"/>
  <c r="O670" i="1" s="1"/>
  <c r="O669" i="1" a="1"/>
  <c r="O669" i="1" s="1"/>
  <c r="O668" i="1"/>
  <c r="O668" i="1" a="1"/>
  <c r="O667" i="1" a="1"/>
  <c r="O667" i="1" s="1"/>
  <c r="O666" i="1"/>
  <c r="O666" i="1" a="1"/>
  <c r="O665" i="1"/>
  <c r="O665" i="1" a="1"/>
  <c r="O664" i="1"/>
  <c r="O664" i="1" a="1"/>
  <c r="O663" i="1" a="1"/>
  <c r="O663" i="1" s="1"/>
  <c r="O662" i="1" a="1"/>
  <c r="O662" i="1" s="1"/>
  <c r="O661" i="1" a="1"/>
  <c r="O661" i="1" s="1"/>
  <c r="O660" i="1" a="1"/>
  <c r="O660" i="1" s="1"/>
  <c r="O659" i="1" a="1"/>
  <c r="O659" i="1" s="1"/>
  <c r="O658" i="1"/>
  <c r="O658" i="1" a="1"/>
  <c r="O657" i="1"/>
  <c r="O657" i="1" a="1"/>
  <c r="O656" i="1" a="1"/>
  <c r="O656" i="1" s="1"/>
  <c r="O655" i="1"/>
  <c r="O655" i="1" a="1"/>
  <c r="O654" i="1" a="1"/>
  <c r="O654" i="1" s="1"/>
  <c r="O653" i="1"/>
  <c r="O653" i="1" a="1"/>
  <c r="O652" i="1"/>
  <c r="O652" i="1" a="1"/>
  <c r="O651" i="1" a="1"/>
  <c r="O651" i="1" s="1"/>
  <c r="O650" i="1"/>
  <c r="O650" i="1" a="1"/>
  <c r="O649" i="1" a="1"/>
  <c r="O649" i="1" s="1"/>
  <c r="O648" i="1" a="1"/>
  <c r="O648" i="1" s="1"/>
  <c r="O647" i="1" a="1"/>
  <c r="O647" i="1" s="1"/>
  <c r="O646" i="1" a="1"/>
  <c r="O646" i="1" s="1"/>
  <c r="O645" i="1" a="1"/>
  <c r="O645" i="1" s="1"/>
  <c r="O644" i="1" a="1"/>
  <c r="O644" i="1" s="1"/>
  <c r="O643" i="1"/>
  <c r="O643" i="1" a="1"/>
  <c r="O642" i="1" a="1"/>
  <c r="O642" i="1" s="1"/>
  <c r="O641" i="1" a="1"/>
  <c r="O641" i="1" s="1"/>
  <c r="O640" i="1"/>
  <c r="O640" i="1" a="1"/>
  <c r="O639" i="1" a="1"/>
  <c r="O639" i="1" s="1"/>
  <c r="O638" i="1" a="1"/>
  <c r="O638" i="1" s="1"/>
  <c r="O637" i="1"/>
  <c r="O637" i="1" a="1"/>
  <c r="O636" i="1"/>
  <c r="O636" i="1" a="1"/>
  <c r="O635" i="1" a="1"/>
  <c r="O635" i="1" s="1"/>
  <c r="O634" i="1" a="1"/>
  <c r="O634" i="1" s="1"/>
  <c r="O633" i="1"/>
  <c r="O633" i="1" a="1"/>
  <c r="O632" i="1" a="1"/>
  <c r="O632" i="1" s="1"/>
  <c r="O631" i="1" a="1"/>
  <c r="O631" i="1" s="1"/>
  <c r="O630" i="1" a="1"/>
  <c r="O630" i="1" s="1"/>
  <c r="O629" i="1"/>
  <c r="O629" i="1" a="1"/>
  <c r="O628" i="1" a="1"/>
  <c r="O628" i="1" s="1"/>
  <c r="O627" i="1"/>
  <c r="O627" i="1" a="1"/>
  <c r="O626" i="1" a="1"/>
  <c r="O626" i="1" s="1"/>
  <c r="O625" i="1" a="1"/>
  <c r="O625" i="1" s="1"/>
  <c r="O624" i="1"/>
  <c r="O624" i="1" a="1"/>
  <c r="O623" i="1" a="1"/>
  <c r="O623" i="1" s="1"/>
  <c r="O622" i="1"/>
  <c r="O622" i="1" a="1"/>
  <c r="O621" i="1" a="1"/>
  <c r="O621" i="1" s="1"/>
  <c r="O620" i="1" a="1"/>
  <c r="O620" i="1" s="1"/>
  <c r="O619" i="1" a="1"/>
  <c r="O619" i="1" s="1"/>
  <c r="O618" i="1"/>
  <c r="O618" i="1" a="1"/>
  <c r="O617" i="1" a="1"/>
  <c r="O617" i="1" s="1"/>
  <c r="O616" i="1" a="1"/>
  <c r="O616" i="1" s="1"/>
  <c r="O615" i="1"/>
  <c r="O615" i="1" a="1"/>
  <c r="O614" i="1" a="1"/>
  <c r="O614" i="1" s="1"/>
  <c r="O613" i="1" a="1"/>
  <c r="O613" i="1" s="1"/>
  <c r="O612" i="1" a="1"/>
  <c r="O612" i="1" s="1"/>
  <c r="O611" i="1" a="1"/>
  <c r="O611" i="1" s="1"/>
  <c r="O610" i="1" a="1"/>
  <c r="O610" i="1" s="1"/>
  <c r="O609" i="1" a="1"/>
  <c r="O609" i="1" s="1"/>
  <c r="O608" i="1"/>
  <c r="O608" i="1" a="1"/>
  <c r="O607" i="1" a="1"/>
  <c r="O607" i="1" s="1"/>
  <c r="O606" i="1" a="1"/>
  <c r="O606" i="1" s="1"/>
  <c r="O605" i="1" a="1"/>
  <c r="O605" i="1" s="1"/>
  <c r="O604" i="1" a="1"/>
  <c r="O604" i="1" s="1"/>
  <c r="O603" i="1" a="1"/>
  <c r="O603" i="1" s="1"/>
  <c r="O602" i="1" a="1"/>
  <c r="O602" i="1" s="1"/>
  <c r="O601" i="1"/>
  <c r="O601" i="1" a="1"/>
  <c r="O600" i="1" a="1"/>
  <c r="O600" i="1" s="1"/>
  <c r="O599" i="1"/>
  <c r="O599" i="1" a="1"/>
  <c r="O598" i="1"/>
  <c r="O598" i="1" a="1"/>
  <c r="O597" i="1" a="1"/>
  <c r="O597" i="1" s="1"/>
  <c r="O596" i="1"/>
  <c r="O596" i="1" a="1"/>
  <c r="O595" i="1"/>
  <c r="O595" i="1" a="1"/>
  <c r="O594" i="1"/>
  <c r="O594" i="1" a="1"/>
  <c r="O593" i="1" a="1"/>
  <c r="O593" i="1" s="1"/>
  <c r="O592" i="1" a="1"/>
  <c r="O592" i="1" s="1"/>
  <c r="O591" i="1" a="1"/>
  <c r="O591" i="1" s="1"/>
  <c r="O590" i="1" a="1"/>
  <c r="O590" i="1" s="1"/>
  <c r="O589" i="1" a="1"/>
  <c r="O589" i="1" s="1"/>
  <c r="O588" i="1" a="1"/>
  <c r="O588" i="1" s="1"/>
  <c r="O587" i="1"/>
  <c r="O587" i="1" a="1"/>
  <c r="O586" i="1" a="1"/>
  <c r="O586" i="1" s="1"/>
  <c r="O585" i="1" a="1"/>
  <c r="O585" i="1" s="1"/>
  <c r="O584" i="1" a="1"/>
  <c r="O584" i="1" s="1"/>
  <c r="O583" i="1" a="1"/>
  <c r="O583" i="1" s="1"/>
  <c r="O582" i="1" a="1"/>
  <c r="O582" i="1" s="1"/>
  <c r="O581" i="1"/>
  <c r="O581" i="1" a="1"/>
  <c r="O580" i="1"/>
  <c r="O580" i="1" a="1"/>
  <c r="O579" i="1" a="1"/>
  <c r="O579" i="1" s="1"/>
  <c r="O578" i="1"/>
  <c r="O578" i="1" a="1"/>
  <c r="O577" i="1" a="1"/>
  <c r="O577" i="1" s="1"/>
  <c r="O576" i="1" a="1"/>
  <c r="O576" i="1" s="1"/>
  <c r="O575" i="1"/>
  <c r="O575" i="1" a="1"/>
  <c r="O574" i="1" a="1"/>
  <c r="O574" i="1" s="1"/>
  <c r="O573" i="1"/>
  <c r="O573" i="1" a="1"/>
  <c r="O572" i="1" a="1"/>
  <c r="O572" i="1" s="1"/>
  <c r="O571" i="1"/>
  <c r="O571" i="1" a="1"/>
  <c r="O570" i="1"/>
  <c r="O570" i="1" a="1"/>
  <c r="O569" i="1"/>
  <c r="O569" i="1" a="1"/>
  <c r="O568" i="1" a="1"/>
  <c r="O568" i="1" s="1"/>
  <c r="O567" i="1" a="1"/>
  <c r="O567" i="1" s="1"/>
  <c r="O566" i="1"/>
  <c r="O566" i="1" a="1"/>
  <c r="O565" i="1" a="1"/>
  <c r="O565" i="1" s="1"/>
  <c r="O564" i="1" a="1"/>
  <c r="O564" i="1" s="1"/>
  <c r="O563" i="1"/>
  <c r="O563" i="1" a="1"/>
  <c r="O562" i="1" a="1"/>
  <c r="O562" i="1" s="1"/>
  <c r="O561" i="1" a="1"/>
  <c r="O561" i="1" s="1"/>
  <c r="O560" i="1"/>
  <c r="O560" i="1" a="1"/>
  <c r="O559" i="1"/>
  <c r="O559" i="1" a="1"/>
  <c r="O558" i="1" a="1"/>
  <c r="O558" i="1" s="1"/>
  <c r="O557" i="1"/>
  <c r="O557" i="1" a="1"/>
  <c r="O556" i="1"/>
  <c r="O556" i="1" a="1"/>
  <c r="O555" i="1" a="1"/>
  <c r="O555" i="1" s="1"/>
  <c r="O554" i="1" a="1"/>
  <c r="O554" i="1" s="1"/>
  <c r="O553" i="1" a="1"/>
  <c r="O553" i="1" s="1"/>
  <c r="O552" i="1"/>
  <c r="O552" i="1" a="1"/>
  <c r="O551" i="1" a="1"/>
  <c r="O551" i="1" s="1"/>
  <c r="O550" i="1" a="1"/>
  <c r="O550" i="1" s="1"/>
  <c r="O549" i="1" a="1"/>
  <c r="O549" i="1" s="1"/>
  <c r="O548" i="1" a="1"/>
  <c r="O548" i="1" s="1"/>
  <c r="O547" i="1" a="1"/>
  <c r="O547" i="1" s="1"/>
  <c r="O546" i="1" a="1"/>
  <c r="O546" i="1" s="1"/>
  <c r="O545" i="1"/>
  <c r="O545" i="1" a="1"/>
  <c r="O544" i="1" a="1"/>
  <c r="O544" i="1" s="1"/>
  <c r="O543" i="1"/>
  <c r="O543" i="1" a="1"/>
  <c r="O542" i="1" a="1"/>
  <c r="O542" i="1" s="1"/>
  <c r="O541" i="1"/>
  <c r="O541" i="1" a="1"/>
  <c r="O540" i="1"/>
  <c r="O540" i="1" a="1"/>
  <c r="O539" i="1" a="1"/>
  <c r="O539" i="1" s="1"/>
  <c r="O538" i="1"/>
  <c r="O538" i="1" a="1"/>
  <c r="O537" i="1" a="1"/>
  <c r="O537" i="1" s="1"/>
  <c r="O536" i="1" a="1"/>
  <c r="O536" i="1" s="1"/>
  <c r="O535" i="1" a="1"/>
  <c r="O535" i="1" s="1"/>
  <c r="O534" i="1" a="1"/>
  <c r="O534" i="1" s="1"/>
  <c r="O533" i="1"/>
  <c r="O533" i="1" a="1"/>
  <c r="O532" i="1" a="1"/>
  <c r="O532" i="1" s="1"/>
  <c r="O531" i="1"/>
  <c r="O531" i="1" a="1"/>
  <c r="O530" i="1" a="1"/>
  <c r="O530" i="1" s="1"/>
  <c r="O529" i="1" a="1"/>
  <c r="O529" i="1" s="1"/>
  <c r="O528" i="1"/>
  <c r="O528" i="1" a="1"/>
  <c r="O527" i="1" a="1"/>
  <c r="O527" i="1" s="1"/>
  <c r="O526" i="1"/>
  <c r="O526" i="1" a="1"/>
  <c r="O525" i="1" a="1"/>
  <c r="O525" i="1" s="1"/>
  <c r="O524" i="1"/>
  <c r="O524" i="1" a="1"/>
  <c r="O523" i="1" a="1"/>
  <c r="O523" i="1" s="1"/>
  <c r="O522" i="1" a="1"/>
  <c r="O522" i="1" s="1"/>
  <c r="O521" i="1"/>
  <c r="O521" i="1" a="1"/>
  <c r="O520" i="1" a="1"/>
  <c r="O520" i="1" s="1"/>
  <c r="O519" i="1" a="1"/>
  <c r="O519" i="1" s="1"/>
  <c r="O518" i="1" a="1"/>
  <c r="O518" i="1" s="1"/>
  <c r="O517" i="1"/>
  <c r="O517" i="1" a="1"/>
  <c r="O516" i="1" a="1"/>
  <c r="O516" i="1" s="1"/>
  <c r="O515" i="1"/>
  <c r="O515" i="1" a="1"/>
  <c r="O514" i="1" a="1"/>
  <c r="O514" i="1" s="1"/>
  <c r="O513" i="1" a="1"/>
  <c r="O513" i="1" s="1"/>
  <c r="O512" i="1"/>
  <c r="O512" i="1" a="1"/>
  <c r="O511" i="1"/>
  <c r="O511" i="1" a="1"/>
  <c r="O510" i="1"/>
  <c r="O510" i="1" a="1"/>
  <c r="O509" i="1" a="1"/>
  <c r="O509" i="1" s="1"/>
  <c r="O508" i="1" a="1"/>
  <c r="O508" i="1" s="1"/>
  <c r="O507" i="1"/>
  <c r="O507" i="1" a="1"/>
  <c r="O506" i="1" a="1"/>
  <c r="O506" i="1" s="1"/>
  <c r="O505" i="1" a="1"/>
  <c r="O505" i="1" s="1"/>
  <c r="O504" i="1" a="1"/>
  <c r="O504" i="1" s="1"/>
  <c r="O503" i="1"/>
  <c r="O503" i="1" a="1"/>
  <c r="O502" i="1" a="1"/>
  <c r="O502" i="1" s="1"/>
  <c r="O501" i="1" a="1"/>
  <c r="O501" i="1" s="1"/>
  <c r="O500" i="1" a="1"/>
  <c r="O500" i="1" s="1"/>
  <c r="O499" i="1"/>
  <c r="O499" i="1" a="1"/>
  <c r="O498" i="1" a="1"/>
  <c r="O498" i="1" s="1"/>
  <c r="O497" i="1"/>
  <c r="O497" i="1" a="1"/>
  <c r="O496" i="1"/>
  <c r="O496" i="1" a="1"/>
  <c r="O495" i="1" a="1"/>
  <c r="O495" i="1" s="1"/>
  <c r="O494" i="1"/>
  <c r="O494" i="1" a="1"/>
  <c r="O493" i="1" a="1"/>
  <c r="O493" i="1" s="1"/>
  <c r="O492" i="1" a="1"/>
  <c r="O492" i="1" s="1"/>
  <c r="O491" i="1"/>
  <c r="O491" i="1" a="1"/>
  <c r="O490" i="1" a="1"/>
  <c r="O490" i="1" s="1"/>
  <c r="O489" i="1"/>
  <c r="O489" i="1" a="1"/>
  <c r="O488" i="1" a="1"/>
  <c r="O488" i="1" s="1"/>
  <c r="O487" i="1" a="1"/>
  <c r="O487" i="1" s="1"/>
  <c r="O486" i="1"/>
  <c r="O486" i="1" a="1"/>
  <c r="O485" i="1" a="1"/>
  <c r="O485" i="1" s="1"/>
  <c r="O484" i="1" a="1"/>
  <c r="O484" i="1" s="1"/>
  <c r="O483" i="1"/>
  <c r="O483" i="1" a="1"/>
  <c r="O482" i="1"/>
  <c r="O482" i="1" a="1"/>
  <c r="O481" i="1" a="1"/>
  <c r="O481" i="1" s="1"/>
  <c r="O480" i="1" a="1"/>
  <c r="O480" i="1" s="1"/>
  <c r="O479" i="1"/>
  <c r="O479" i="1" a="1"/>
  <c r="O478" i="1" a="1"/>
  <c r="O478" i="1" s="1"/>
  <c r="O477" i="1" a="1"/>
  <c r="O477" i="1" s="1"/>
  <c r="O476" i="1"/>
  <c r="O476" i="1" a="1"/>
  <c r="O475" i="1"/>
  <c r="O475" i="1" a="1"/>
  <c r="O474" i="1" a="1"/>
  <c r="O474" i="1" s="1"/>
  <c r="O473" i="1" a="1"/>
  <c r="O473" i="1" s="1"/>
  <c r="O472" i="1"/>
  <c r="O472" i="1" a="1"/>
  <c r="O471" i="1" a="1"/>
  <c r="O471" i="1" s="1"/>
  <c r="O470" i="1"/>
  <c r="O470" i="1" a="1"/>
  <c r="O469" i="1" a="1"/>
  <c r="O469" i="1" s="1"/>
  <c r="O468" i="1"/>
  <c r="O468" i="1" a="1"/>
  <c r="O467" i="1" a="1"/>
  <c r="O467" i="1" s="1"/>
  <c r="O466" i="1" a="1"/>
  <c r="O466" i="1" s="1"/>
  <c r="O465" i="1" a="1"/>
  <c r="O465" i="1" s="1"/>
  <c r="O464" i="1" a="1"/>
  <c r="O464" i="1" s="1"/>
  <c r="O463" i="1" a="1"/>
  <c r="O463" i="1" s="1"/>
  <c r="O462" i="1" a="1"/>
  <c r="O462" i="1" s="1"/>
  <c r="O461" i="1"/>
  <c r="O461" i="1" a="1"/>
  <c r="O460" i="1" a="1"/>
  <c r="O460" i="1" s="1"/>
  <c r="O459" i="1" a="1"/>
  <c r="O459" i="1" s="1"/>
  <c r="O458" i="1" a="1"/>
  <c r="O458" i="1" s="1"/>
  <c r="O457" i="1"/>
  <c r="O457" i="1" a="1"/>
  <c r="O456" i="1" a="1"/>
  <c r="O456" i="1" s="1"/>
  <c r="O455" i="1" a="1"/>
  <c r="O455" i="1" s="1"/>
  <c r="O454" i="1"/>
  <c r="O454" i="1" a="1"/>
  <c r="O453" i="1" a="1"/>
  <c r="O453" i="1" s="1"/>
  <c r="O452" i="1" a="1"/>
  <c r="O452" i="1" s="1"/>
  <c r="O451" i="1" a="1"/>
  <c r="O451" i="1" s="1"/>
  <c r="O450" i="1" a="1"/>
  <c r="O450" i="1" s="1"/>
  <c r="O449" i="1"/>
  <c r="O449" i="1" a="1"/>
  <c r="O448" i="1" a="1"/>
  <c r="O448" i="1" s="1"/>
  <c r="O447" i="1"/>
  <c r="O447" i="1" a="1"/>
  <c r="O446" i="1" a="1"/>
  <c r="O446" i="1" s="1"/>
  <c r="O445" i="1" a="1"/>
  <c r="O445" i="1" s="1"/>
  <c r="O444" i="1"/>
  <c r="O444" i="1" a="1"/>
  <c r="O443" i="1" a="1"/>
  <c r="O443" i="1" s="1"/>
  <c r="O442" i="1" a="1"/>
  <c r="O442" i="1" s="1"/>
  <c r="O441" i="1"/>
  <c r="O441" i="1" a="1"/>
  <c r="O440" i="1"/>
  <c r="O440" i="1" a="1"/>
  <c r="O439" i="1" a="1"/>
  <c r="O439" i="1" s="1"/>
  <c r="O438" i="1" a="1"/>
  <c r="O438" i="1" s="1"/>
  <c r="O437" i="1" a="1"/>
  <c r="O437" i="1" s="1"/>
  <c r="O436" i="1" a="1"/>
  <c r="O436" i="1" s="1"/>
  <c r="O435" i="1" a="1"/>
  <c r="O435" i="1" s="1"/>
  <c r="O434" i="1" a="1"/>
  <c r="O434" i="1" s="1"/>
  <c r="O433" i="1"/>
  <c r="O433" i="1" a="1"/>
  <c r="O432" i="1" a="1"/>
  <c r="O432" i="1" s="1"/>
  <c r="O431" i="1"/>
  <c r="O431" i="1" a="1"/>
  <c r="O430" i="1"/>
  <c r="O430" i="1" a="1"/>
  <c r="O429" i="1" a="1"/>
  <c r="O429" i="1" s="1"/>
  <c r="O428" i="1"/>
  <c r="O428" i="1" a="1"/>
  <c r="O427" i="1" a="1"/>
  <c r="O427" i="1" s="1"/>
  <c r="O426" i="1"/>
  <c r="O426" i="1" a="1"/>
  <c r="O425" i="1" a="1"/>
  <c r="O425" i="1" s="1"/>
  <c r="O424" i="1" a="1"/>
  <c r="O424" i="1" s="1"/>
  <c r="O423" i="1"/>
  <c r="O423" i="1" a="1"/>
  <c r="O422" i="1" a="1"/>
  <c r="O422" i="1" s="1"/>
  <c r="O421" i="1"/>
  <c r="O421" i="1" a="1"/>
  <c r="O420" i="1"/>
  <c r="O420" i="1" a="1"/>
  <c r="O419" i="1"/>
  <c r="O419" i="1" a="1"/>
  <c r="O418" i="1" a="1"/>
  <c r="O418" i="1" s="1"/>
  <c r="O417" i="1" a="1"/>
  <c r="O417" i="1" s="1"/>
  <c r="O416" i="1" a="1"/>
  <c r="O416" i="1" s="1"/>
  <c r="O415" i="1" a="1"/>
  <c r="O415" i="1" s="1"/>
  <c r="O414" i="1"/>
  <c r="O414" i="1" a="1"/>
  <c r="O413" i="1" a="1"/>
  <c r="O413" i="1" s="1"/>
  <c r="O412" i="1"/>
  <c r="O412" i="1" a="1"/>
  <c r="O411" i="1" a="1"/>
  <c r="O411" i="1" s="1"/>
  <c r="O410" i="1" a="1"/>
  <c r="O410" i="1" s="1"/>
  <c r="O409" i="1" a="1"/>
  <c r="O409" i="1" s="1"/>
  <c r="O408" i="1" a="1"/>
  <c r="O408" i="1" s="1"/>
  <c r="O407" i="1" a="1"/>
  <c r="O407" i="1" s="1"/>
  <c r="O406" i="1" a="1"/>
  <c r="O406" i="1" s="1"/>
  <c r="O405" i="1"/>
  <c r="O405" i="1" a="1"/>
  <c r="O404" i="1" a="1"/>
  <c r="O404" i="1" s="1"/>
  <c r="O403" i="1"/>
  <c r="O403" i="1" a="1"/>
  <c r="O402" i="1"/>
  <c r="O402" i="1" a="1"/>
  <c r="O401" i="1" a="1"/>
  <c r="O401" i="1" s="1"/>
  <c r="O400" i="1"/>
  <c r="O400" i="1" a="1"/>
  <c r="O399" i="1"/>
  <c r="O399" i="1" a="1"/>
  <c r="O398" i="1"/>
  <c r="O398" i="1" a="1"/>
  <c r="O397" i="1" a="1"/>
  <c r="O397" i="1" s="1"/>
  <c r="O396" i="1"/>
  <c r="O396" i="1" a="1"/>
  <c r="O395" i="1" a="1"/>
  <c r="O395" i="1" s="1"/>
  <c r="O394" i="1" a="1"/>
  <c r="O394" i="1" s="1"/>
  <c r="O393" i="1" a="1"/>
  <c r="O393" i="1" s="1"/>
  <c r="O392" i="1" a="1"/>
  <c r="O392" i="1" s="1"/>
  <c r="O391" i="1"/>
  <c r="O391" i="1" a="1"/>
  <c r="O390" i="1" a="1"/>
  <c r="O390" i="1" s="1"/>
  <c r="O389" i="1" a="1"/>
  <c r="O389" i="1" s="1"/>
  <c r="O388" i="1"/>
  <c r="O388" i="1" a="1"/>
  <c r="O387" i="1" a="1"/>
  <c r="O387" i="1" s="1"/>
  <c r="O386" i="1"/>
  <c r="O386" i="1" a="1"/>
  <c r="O385" i="1"/>
  <c r="O385" i="1" a="1"/>
  <c r="O384" i="1"/>
  <c r="O384" i="1" a="1"/>
  <c r="O383" i="1" a="1"/>
  <c r="O383" i="1" s="1"/>
  <c r="O382" i="1"/>
  <c r="O382" i="1" a="1"/>
  <c r="O381" i="1" a="1"/>
  <c r="O381" i="1" s="1"/>
  <c r="O380" i="1" a="1"/>
  <c r="O380" i="1" s="1"/>
  <c r="O379" i="1" a="1"/>
  <c r="O379" i="1" s="1"/>
  <c r="O378" i="1" a="1"/>
  <c r="O378" i="1" s="1"/>
  <c r="O377" i="1"/>
  <c r="O377" i="1" a="1"/>
  <c r="O376" i="1" a="1"/>
  <c r="O376" i="1" s="1"/>
  <c r="O375" i="1" a="1"/>
  <c r="O375" i="1" s="1"/>
  <c r="O374" i="1"/>
  <c r="O374" i="1" a="1"/>
  <c r="O373" i="1"/>
  <c r="O373" i="1" a="1"/>
  <c r="O372" i="1" a="1"/>
  <c r="O372" i="1" s="1"/>
  <c r="O371" i="1"/>
  <c r="O371" i="1" a="1"/>
  <c r="O370" i="1"/>
  <c r="O370" i="1" a="1"/>
  <c r="O369" i="1" a="1"/>
  <c r="O369" i="1" s="1"/>
  <c r="O368" i="1" a="1"/>
  <c r="O368" i="1" s="1"/>
  <c r="O367" i="1" a="1"/>
  <c r="O367" i="1" s="1"/>
  <c r="O366" i="1"/>
  <c r="O366" i="1" a="1"/>
  <c r="O365" i="1" a="1"/>
  <c r="O365" i="1" s="1"/>
  <c r="O364" i="1" a="1"/>
  <c r="O364" i="1" s="1"/>
  <c r="O363" i="1"/>
  <c r="O363" i="1" a="1"/>
  <c r="O362" i="1" a="1"/>
  <c r="O362" i="1" s="1"/>
  <c r="O361" i="1"/>
  <c r="O361" i="1" a="1"/>
  <c r="O360" i="1" a="1"/>
  <c r="O360" i="1" s="1"/>
  <c r="O359" i="1" a="1"/>
  <c r="O359" i="1" s="1"/>
  <c r="O358" i="1" a="1"/>
  <c r="O358" i="1" s="1"/>
  <c r="O357" i="1" a="1"/>
  <c r="O357" i="1" s="1"/>
  <c r="O356" i="1"/>
  <c r="O356" i="1" a="1"/>
  <c r="O355" i="1" a="1"/>
  <c r="O355" i="1" s="1"/>
  <c r="O354" i="1" a="1"/>
  <c r="O354" i="1" s="1"/>
  <c r="O353" i="1"/>
  <c r="O353" i="1" a="1"/>
  <c r="O352" i="1" a="1"/>
  <c r="O352" i="1" s="1"/>
  <c r="O351" i="1" a="1"/>
  <c r="O351" i="1" s="1"/>
  <c r="O350" i="1"/>
  <c r="O350" i="1" a="1"/>
  <c r="O349" i="1"/>
  <c r="O349" i="1" a="1"/>
  <c r="O348" i="1" a="1"/>
  <c r="O348" i="1" s="1"/>
  <c r="O347" i="1"/>
  <c r="O347" i="1" a="1"/>
  <c r="O346" i="1" a="1"/>
  <c r="O346" i="1" s="1"/>
  <c r="O345" i="1"/>
  <c r="O345" i="1" a="1"/>
  <c r="O344" i="1"/>
  <c r="O344" i="1" a="1"/>
  <c r="O343" i="1"/>
  <c r="O343" i="1" a="1"/>
  <c r="O342" i="1"/>
  <c r="O342" i="1" a="1"/>
  <c r="O341" i="1" a="1"/>
  <c r="O341" i="1" s="1"/>
  <c r="O340" i="1"/>
  <c r="O340" i="1" a="1"/>
  <c r="O339" i="1" a="1"/>
  <c r="O339" i="1" s="1"/>
  <c r="O338" i="1" a="1"/>
  <c r="O338" i="1" s="1"/>
  <c r="O337" i="1" a="1"/>
  <c r="O337" i="1" s="1"/>
  <c r="O336" i="1"/>
  <c r="O336" i="1" a="1"/>
  <c r="O335" i="1"/>
  <c r="O335" i="1" a="1"/>
  <c r="O334" i="1" a="1"/>
  <c r="O334" i="1" s="1"/>
  <c r="O333" i="1" a="1"/>
  <c r="O333" i="1" s="1"/>
  <c r="O332" i="1"/>
  <c r="O332" i="1" a="1"/>
  <c r="O331" i="1" a="1"/>
  <c r="O331" i="1" s="1"/>
  <c r="O330" i="1" a="1"/>
  <c r="O330" i="1" s="1"/>
  <c r="O329" i="1" a="1"/>
  <c r="O329" i="1" s="1"/>
  <c r="O328" i="1"/>
  <c r="O328" i="1" a="1"/>
  <c r="O327" i="1" a="1"/>
  <c r="O327" i="1" s="1"/>
  <c r="O326" i="1" a="1"/>
  <c r="O326" i="1" s="1"/>
  <c r="O325" i="1"/>
  <c r="O325" i="1" a="1"/>
  <c r="O324" i="1" a="1"/>
  <c r="O324" i="1" s="1"/>
  <c r="O323" i="1" a="1"/>
  <c r="O323" i="1" s="1"/>
  <c r="O322" i="1" a="1"/>
  <c r="O322" i="1" s="1"/>
  <c r="O321" i="1" a="1"/>
  <c r="O321" i="1" s="1"/>
  <c r="O320" i="1"/>
  <c r="O320" i="1" a="1"/>
  <c r="O319" i="1" a="1"/>
  <c r="O319" i="1" s="1"/>
  <c r="O318" i="1"/>
  <c r="O318" i="1" a="1"/>
  <c r="O317" i="1"/>
  <c r="O317" i="1" a="1"/>
  <c r="O316" i="1" a="1"/>
  <c r="O316" i="1" s="1"/>
  <c r="O315" i="1" a="1"/>
  <c r="O315" i="1" s="1"/>
  <c r="O314" i="1"/>
  <c r="O314" i="1" a="1"/>
  <c r="O313" i="1" a="1"/>
  <c r="O313" i="1" s="1"/>
  <c r="O312" i="1" a="1"/>
  <c r="O312" i="1" s="1"/>
  <c r="O311" i="1"/>
  <c r="O311" i="1" a="1"/>
  <c r="O310" i="1" a="1"/>
  <c r="O310" i="1" s="1"/>
  <c r="O309" i="1" a="1"/>
  <c r="O309" i="1" s="1"/>
  <c r="O308" i="1" a="1"/>
  <c r="O308" i="1" s="1"/>
  <c r="O307" i="1" a="1"/>
  <c r="O307" i="1" s="1"/>
  <c r="O306" i="1" a="1"/>
  <c r="O306" i="1" s="1"/>
  <c r="O305" i="1" a="1"/>
  <c r="O305" i="1" s="1"/>
  <c r="O304" i="1"/>
  <c r="O304" i="1" a="1"/>
  <c r="O303" i="1"/>
  <c r="O303" i="1" a="1"/>
  <c r="O302" i="1"/>
  <c r="O302" i="1" a="1"/>
  <c r="O301" i="1" a="1"/>
  <c r="O301" i="1" s="1"/>
  <c r="O300" i="1" a="1"/>
  <c r="O300" i="1" s="1"/>
  <c r="O299" i="1"/>
  <c r="O299" i="1" a="1"/>
  <c r="O298" i="1" a="1"/>
  <c r="O298" i="1" s="1"/>
  <c r="O297" i="1"/>
  <c r="O297" i="1" a="1"/>
  <c r="O296" i="1" a="1"/>
  <c r="O296" i="1" s="1"/>
  <c r="O295" i="1" a="1"/>
  <c r="O295" i="1" s="1"/>
  <c r="O294" i="1" a="1"/>
  <c r="O294" i="1" s="1"/>
  <c r="O293" i="1"/>
  <c r="O293" i="1" a="1"/>
  <c r="O292" i="1" a="1"/>
  <c r="O292" i="1" s="1"/>
  <c r="O291" i="1" a="1"/>
  <c r="O291" i="1" s="1"/>
  <c r="O290" i="1"/>
  <c r="O290" i="1" a="1"/>
  <c r="O289" i="1" a="1"/>
  <c r="O289" i="1" s="1"/>
  <c r="O288" i="1"/>
  <c r="O288" i="1" a="1"/>
  <c r="O287" i="1" a="1"/>
  <c r="O287" i="1" s="1"/>
  <c r="O286" i="1" a="1"/>
  <c r="O286" i="1" s="1"/>
  <c r="O285" i="1" a="1"/>
  <c r="O285" i="1" s="1"/>
  <c r="O284" i="1" a="1"/>
  <c r="O284" i="1" s="1"/>
  <c r="O283" i="1"/>
  <c r="O283" i="1" a="1"/>
  <c r="O282" i="1" a="1"/>
  <c r="O282" i="1" s="1"/>
  <c r="O281" i="1" a="1"/>
  <c r="O281" i="1" s="1"/>
  <c r="O280" i="1" a="1"/>
  <c r="O280" i="1" s="1"/>
  <c r="O279" i="1" a="1"/>
  <c r="O279" i="1" s="1"/>
  <c r="O278" i="1"/>
  <c r="O278" i="1" a="1"/>
  <c r="O277" i="1" a="1"/>
  <c r="O277" i="1" s="1"/>
  <c r="O276" i="1"/>
  <c r="O276" i="1" a="1"/>
  <c r="O275" i="1"/>
  <c r="O275" i="1" a="1"/>
  <c r="O274" i="1" a="1"/>
  <c r="O274" i="1" s="1"/>
  <c r="O273" i="1" a="1"/>
  <c r="O273" i="1" s="1"/>
  <c r="O272" i="1"/>
  <c r="O272" i="1" a="1"/>
  <c r="O271" i="1" a="1"/>
  <c r="O271" i="1" s="1"/>
  <c r="O270" i="1" a="1"/>
  <c r="O270" i="1" s="1"/>
  <c r="O269" i="1"/>
  <c r="O269" i="1" a="1"/>
  <c r="O268" i="1"/>
  <c r="O268" i="1" a="1"/>
  <c r="O267" i="1" a="1"/>
  <c r="O267" i="1" s="1"/>
  <c r="O266" i="1" a="1"/>
  <c r="O266" i="1" s="1"/>
  <c r="O265" i="1" a="1"/>
  <c r="O265" i="1" s="1"/>
  <c r="O264" i="1" a="1"/>
  <c r="O264" i="1" s="1"/>
  <c r="O263" i="1" a="1"/>
  <c r="O263" i="1" s="1"/>
  <c r="O262" i="1"/>
  <c r="O262" i="1" a="1"/>
  <c r="O261" i="1" a="1"/>
  <c r="O261" i="1" s="1"/>
  <c r="O260" i="1"/>
  <c r="O260" i="1" a="1"/>
  <c r="O259" i="1" a="1"/>
  <c r="O259" i="1" s="1"/>
  <c r="O258" i="1" a="1"/>
  <c r="O258" i="1" s="1"/>
  <c r="O257" i="1"/>
  <c r="O257" i="1" a="1"/>
  <c r="O256" i="1" a="1"/>
  <c r="O256" i="1" s="1"/>
  <c r="O255" i="1" a="1"/>
  <c r="O255" i="1" s="1"/>
  <c r="O254" i="1" a="1"/>
  <c r="O254" i="1" s="1"/>
  <c r="O253" i="1"/>
  <c r="O253" i="1" a="1"/>
  <c r="O252" i="1" a="1"/>
  <c r="O252" i="1" s="1"/>
  <c r="O251" i="1" a="1"/>
  <c r="O251" i="1" s="1"/>
  <c r="O250" i="1" a="1"/>
  <c r="O250" i="1" s="1"/>
  <c r="O249" i="1" a="1"/>
  <c r="O249" i="1" s="1"/>
  <c r="O248" i="1" a="1"/>
  <c r="O248" i="1" s="1"/>
  <c r="O247" i="1" a="1"/>
  <c r="O247" i="1" s="1"/>
  <c r="O246" i="1" a="1"/>
  <c r="O246" i="1" s="1"/>
  <c r="O245" i="1" a="1"/>
  <c r="O245" i="1" s="1"/>
  <c r="O244" i="1" a="1"/>
  <c r="O244" i="1" s="1"/>
  <c r="O243" i="1" a="1"/>
  <c r="O243" i="1" s="1"/>
  <c r="O242" i="1" a="1"/>
  <c r="O242" i="1" s="1"/>
  <c r="O241" i="1" a="1"/>
  <c r="O241" i="1" s="1"/>
  <c r="O240" i="1" a="1"/>
  <c r="O240" i="1" s="1"/>
  <c r="O239" i="1" a="1"/>
  <c r="O239" i="1" s="1"/>
  <c r="O238" i="1" a="1"/>
  <c r="O238" i="1" s="1"/>
  <c r="O237" i="1"/>
  <c r="O237" i="1" a="1"/>
  <c r="O236" i="1" a="1"/>
  <c r="O236" i="1" s="1"/>
  <c r="O235" i="1" a="1"/>
  <c r="O235" i="1" s="1"/>
  <c r="O234" i="1"/>
  <c r="O234" i="1" a="1"/>
  <c r="O233" i="1" a="1"/>
  <c r="O233" i="1" s="1"/>
  <c r="O232" i="1" a="1"/>
  <c r="O232" i="1" s="1"/>
  <c r="O231" i="1" a="1"/>
  <c r="O231" i="1" s="1"/>
  <c r="O230" i="1" a="1"/>
  <c r="O230" i="1" s="1"/>
  <c r="O229" i="1" a="1"/>
  <c r="O229" i="1" s="1"/>
  <c r="O228" i="1" a="1"/>
  <c r="O228" i="1" s="1"/>
  <c r="O227" i="1" a="1"/>
  <c r="O227" i="1" s="1"/>
  <c r="O226" i="1" a="1"/>
  <c r="O226" i="1" s="1"/>
  <c r="O225" i="1" a="1"/>
  <c r="O225" i="1" s="1"/>
  <c r="O224" i="1" a="1"/>
  <c r="O224" i="1" s="1"/>
  <c r="O223" i="1" a="1"/>
  <c r="O223" i="1" s="1"/>
  <c r="O222" i="1" a="1"/>
  <c r="O222" i="1" s="1"/>
  <c r="O221" i="1" a="1"/>
  <c r="O221" i="1" s="1"/>
  <c r="O220" i="1"/>
  <c r="O220" i="1" a="1"/>
  <c r="O219" i="1"/>
  <c r="O219" i="1" a="1"/>
  <c r="O218" i="1" a="1"/>
  <c r="O218" i="1" s="1"/>
  <c r="O217" i="1" a="1"/>
  <c r="O217" i="1" s="1"/>
  <c r="O216" i="1"/>
  <c r="O216" i="1" a="1"/>
  <c r="O215" i="1" a="1"/>
  <c r="O215" i="1" s="1"/>
  <c r="O214" i="1" a="1"/>
  <c r="O214" i="1" s="1"/>
  <c r="O213" i="1" a="1"/>
  <c r="O213" i="1" s="1"/>
  <c r="O212" i="1" a="1"/>
  <c r="O212" i="1" s="1"/>
  <c r="O211" i="1" a="1"/>
  <c r="O211" i="1" s="1"/>
  <c r="O210" i="1" a="1"/>
  <c r="O210" i="1" s="1"/>
  <c r="O209" i="1" a="1"/>
  <c r="O209" i="1" s="1"/>
  <c r="O208" i="1" a="1"/>
  <c r="O208" i="1" s="1"/>
  <c r="O207" i="1" a="1"/>
  <c r="O207" i="1" s="1"/>
  <c r="O206" i="1" a="1"/>
  <c r="O206" i="1" s="1"/>
  <c r="O205" i="1"/>
  <c r="O205" i="1" a="1"/>
  <c r="O204" i="1"/>
  <c r="O204" i="1" a="1"/>
  <c r="O203" i="1" a="1"/>
  <c r="O203" i="1" s="1"/>
  <c r="O202" i="1" a="1"/>
  <c r="O202" i="1" s="1"/>
  <c r="O201" i="1"/>
  <c r="O201" i="1" a="1"/>
  <c r="O200" i="1" a="1"/>
  <c r="O200" i="1" s="1"/>
  <c r="O199" i="1" a="1"/>
  <c r="O199" i="1" s="1"/>
  <c r="O198" i="1" a="1"/>
  <c r="O198" i="1" s="1"/>
  <c r="O197" i="1" a="1"/>
  <c r="O197" i="1" s="1"/>
  <c r="O196" i="1" a="1"/>
  <c r="O196" i="1" s="1"/>
  <c r="O195" i="1"/>
  <c r="O195" i="1" a="1"/>
  <c r="O194" i="1" a="1"/>
  <c r="O194" i="1" s="1"/>
  <c r="O193" i="1" a="1"/>
  <c r="O193" i="1" s="1"/>
  <c r="O192" i="1"/>
  <c r="O192" i="1" a="1"/>
  <c r="O191" i="1" a="1"/>
  <c r="O191" i="1" s="1"/>
  <c r="O190" i="1"/>
  <c r="O190" i="1" a="1"/>
  <c r="O189" i="1" a="1"/>
  <c r="O189" i="1" s="1"/>
  <c r="O188" i="1" a="1"/>
  <c r="O188" i="1" s="1"/>
  <c r="O187" i="1" a="1"/>
  <c r="O187" i="1" s="1"/>
  <c r="O186" i="1" a="1"/>
  <c r="O186" i="1" s="1"/>
  <c r="O185" i="1"/>
  <c r="O185" i="1" a="1"/>
  <c r="O184" i="1" a="1"/>
  <c r="O184" i="1" s="1"/>
  <c r="O183" i="1" a="1"/>
  <c r="O183" i="1" s="1"/>
  <c r="O182" i="1" a="1"/>
  <c r="O182" i="1" s="1"/>
  <c r="O181" i="1" a="1"/>
  <c r="O181" i="1" s="1"/>
  <c r="O180" i="1"/>
  <c r="O180" i="1" a="1"/>
  <c r="O179" i="1" a="1"/>
  <c r="O179" i="1" s="1"/>
  <c r="O178" i="1" a="1"/>
  <c r="O178" i="1" s="1"/>
  <c r="O177" i="1"/>
  <c r="O177" i="1" a="1"/>
  <c r="O176" i="1" a="1"/>
  <c r="O176" i="1" s="1"/>
  <c r="O175" i="1" a="1"/>
  <c r="O175" i="1" s="1"/>
  <c r="O174" i="1"/>
  <c r="O174" i="1" a="1"/>
  <c r="O173" i="1" a="1"/>
  <c r="O173" i="1" s="1"/>
  <c r="O172" i="1" a="1"/>
  <c r="O172" i="1" s="1"/>
  <c r="O171" i="1" a="1"/>
  <c r="O171" i="1" s="1"/>
  <c r="O170" i="1"/>
  <c r="O170" i="1" a="1"/>
  <c r="O169" i="1" a="1"/>
  <c r="O169" i="1" s="1"/>
  <c r="O168" i="1" a="1"/>
  <c r="O168" i="1" s="1"/>
  <c r="O167" i="1" a="1"/>
  <c r="O167" i="1" s="1"/>
  <c r="O166" i="1" a="1"/>
  <c r="O166" i="1" s="1"/>
  <c r="O165" i="1" a="1"/>
  <c r="O165" i="1" s="1"/>
  <c r="O164" i="1" a="1"/>
  <c r="O164" i="1" s="1"/>
  <c r="O163" i="1" a="1"/>
  <c r="O163" i="1" s="1"/>
  <c r="O162" i="1"/>
  <c r="O162" i="1" a="1"/>
  <c r="O161" i="1" a="1"/>
  <c r="O161" i="1" s="1"/>
  <c r="O160" i="1" a="1"/>
  <c r="O160" i="1" s="1"/>
  <c r="O159" i="1"/>
  <c r="O159" i="1" a="1"/>
  <c r="O158" i="1" a="1"/>
  <c r="O158" i="1" s="1"/>
  <c r="O157" i="1"/>
  <c r="O157" i="1" a="1"/>
  <c r="O156" i="1" a="1"/>
  <c r="O156" i="1" s="1"/>
  <c r="O155" i="1"/>
  <c r="O155" i="1" a="1"/>
  <c r="O154" i="1" a="1"/>
  <c r="O154" i="1" s="1"/>
  <c r="O153" i="1" a="1"/>
  <c r="O153" i="1" s="1"/>
  <c r="O152" i="1" a="1"/>
  <c r="O152" i="1" s="1"/>
  <c r="O151" i="1" a="1"/>
  <c r="O151" i="1" s="1"/>
  <c r="O150" i="1" a="1"/>
  <c r="O150" i="1" s="1"/>
  <c r="O149" i="1" a="1"/>
  <c r="O149" i="1" s="1"/>
  <c r="O148" i="1" a="1"/>
  <c r="O148" i="1" s="1"/>
  <c r="O147" i="1" a="1"/>
  <c r="O147" i="1" s="1"/>
  <c r="O146" i="1" a="1"/>
  <c r="O146" i="1" s="1"/>
  <c r="O145" i="1" a="1"/>
  <c r="O145" i="1" s="1"/>
  <c r="O144" i="1" a="1"/>
  <c r="O144" i="1" s="1"/>
  <c r="O143" i="1" a="1"/>
  <c r="O143" i="1" s="1"/>
  <c r="O142" i="1"/>
  <c r="O142" i="1" a="1"/>
  <c r="O141" i="1" a="1"/>
  <c r="O141" i="1" s="1"/>
  <c r="O140" i="1" a="1"/>
  <c r="O140" i="1" s="1"/>
  <c r="O139" i="1"/>
  <c r="O139" i="1" a="1"/>
  <c r="O138" i="1" a="1"/>
  <c r="O138" i="1" s="1"/>
  <c r="O137" i="1" a="1"/>
  <c r="O137" i="1" s="1"/>
  <c r="O136" i="1"/>
  <c r="O136" i="1" a="1"/>
  <c r="O135" i="1" a="1"/>
  <c r="O135" i="1" s="1"/>
  <c r="O134" i="1" a="1"/>
  <c r="O134" i="1" s="1"/>
  <c r="O133" i="1" a="1"/>
  <c r="O133" i="1" s="1"/>
  <c r="O132" i="1" a="1"/>
  <c r="O132" i="1" s="1"/>
  <c r="O131" i="1" a="1"/>
  <c r="O131" i="1" s="1"/>
  <c r="O130" i="1" a="1"/>
  <c r="O130" i="1" s="1"/>
  <c r="O129" i="1" a="1"/>
  <c r="O129" i="1" s="1"/>
  <c r="O128" i="1" a="1"/>
  <c r="O128" i="1" s="1"/>
  <c r="O127" i="1"/>
  <c r="O127" i="1" a="1"/>
  <c r="O126" i="1" a="1"/>
  <c r="O126" i="1" s="1"/>
  <c r="O125" i="1" a="1"/>
  <c r="O125" i="1" s="1"/>
  <c r="O124" i="1"/>
  <c r="O124" i="1" a="1"/>
  <c r="O123" i="1" a="1"/>
  <c r="O123" i="1" s="1"/>
  <c r="O122" i="1"/>
  <c r="O122" i="1" a="1"/>
  <c r="O121" i="1"/>
  <c r="O121" i="1" a="1"/>
  <c r="O120" i="1" a="1"/>
  <c r="O120" i="1" s="1"/>
  <c r="O119" i="1" a="1"/>
  <c r="O119" i="1" s="1"/>
  <c r="O118" i="1"/>
  <c r="O118" i="1" a="1"/>
  <c r="O117" i="1" a="1"/>
  <c r="O117" i="1" s="1"/>
  <c r="O116" i="1" a="1"/>
  <c r="O116" i="1" s="1"/>
  <c r="O115" i="1" a="1"/>
  <c r="O115" i="1" s="1"/>
  <c r="O114" i="1" a="1"/>
  <c r="O114" i="1" s="1"/>
  <c r="O113" i="1" a="1"/>
  <c r="O113" i="1" s="1"/>
  <c r="O112" i="1" a="1"/>
  <c r="O112" i="1" s="1"/>
  <c r="O111" i="1" a="1"/>
  <c r="O111" i="1" s="1"/>
  <c r="O110" i="1" a="1"/>
  <c r="O110" i="1" s="1"/>
  <c r="O109" i="1" a="1"/>
  <c r="O109" i="1" s="1"/>
  <c r="O108" i="1" a="1"/>
  <c r="O108" i="1" s="1"/>
  <c r="O107" i="1"/>
  <c r="O107" i="1" a="1"/>
  <c r="O106" i="1"/>
  <c r="O106" i="1" a="1"/>
  <c r="O105" i="1" a="1"/>
  <c r="O105" i="1" s="1"/>
  <c r="O104" i="1" a="1"/>
  <c r="O104" i="1" s="1"/>
  <c r="O103" i="1"/>
  <c r="O103" i="1" a="1"/>
  <c r="O102" i="1" a="1"/>
  <c r="O102" i="1" s="1"/>
  <c r="O101" i="1" a="1"/>
  <c r="O101" i="1" s="1"/>
  <c r="O100" i="1" a="1"/>
  <c r="O100" i="1" s="1"/>
  <c r="O99" i="1" a="1"/>
  <c r="O99" i="1" s="1"/>
  <c r="O98" i="1" a="1"/>
  <c r="O98" i="1" s="1"/>
  <c r="O97" i="1"/>
  <c r="O97" i="1" a="1"/>
  <c r="O96" i="1" a="1"/>
  <c r="O96" i="1" s="1"/>
  <c r="O95" i="1" a="1"/>
  <c r="O95" i="1" s="1"/>
  <c r="O94" i="1"/>
  <c r="O94" i="1" a="1"/>
  <c r="O93" i="1" a="1"/>
  <c r="O93" i="1" s="1"/>
  <c r="O92" i="1"/>
  <c r="O92" i="1" a="1"/>
  <c r="O91" i="1" a="1"/>
  <c r="O91" i="1" s="1"/>
  <c r="O90" i="1" a="1"/>
  <c r="O90" i="1" s="1"/>
  <c r="O89" i="1" a="1"/>
  <c r="O89" i="1" s="1"/>
  <c r="O88" i="1" a="1"/>
  <c r="O88" i="1" s="1"/>
  <c r="O87" i="1"/>
  <c r="O87" i="1" a="1"/>
  <c r="O86" i="1" a="1"/>
  <c r="O86" i="1" s="1"/>
  <c r="O85" i="1" a="1"/>
  <c r="O85" i="1" s="1"/>
  <c r="O84" i="1" a="1"/>
  <c r="O84" i="1" s="1"/>
  <c r="O83" i="1" a="1"/>
  <c r="O83" i="1" s="1"/>
  <c r="O82" i="1"/>
  <c r="O82" i="1" a="1"/>
  <c r="O81" i="1" a="1"/>
  <c r="O81" i="1" s="1"/>
  <c r="O80" i="1" a="1"/>
  <c r="O80" i="1" s="1"/>
  <c r="O79" i="1"/>
  <c r="O79" i="1" a="1"/>
  <c r="O78" i="1" a="1"/>
  <c r="O78" i="1" s="1"/>
  <c r="O77" i="1" a="1"/>
  <c r="O77" i="1" s="1"/>
  <c r="O76" i="1"/>
  <c r="O76" i="1" a="1"/>
  <c r="O75" i="1" a="1"/>
  <c r="O75" i="1" s="1"/>
  <c r="O74" i="1" a="1"/>
  <c r="O74" i="1" s="1"/>
  <c r="O73" i="1" a="1"/>
  <c r="O73" i="1" s="1"/>
  <c r="O72" i="1"/>
  <c r="O72" i="1" a="1"/>
  <c r="O71" i="1" a="1"/>
  <c r="O71" i="1" s="1"/>
  <c r="O70" i="1" a="1"/>
  <c r="O70" i="1" s="1"/>
  <c r="O69" i="1" a="1"/>
  <c r="O69" i="1" s="1"/>
  <c r="O68" i="1" a="1"/>
  <c r="O68" i="1" s="1"/>
  <c r="O67" i="1" a="1"/>
  <c r="O67" i="1" s="1"/>
  <c r="O66" i="1" a="1"/>
  <c r="O66" i="1" s="1"/>
  <c r="O65" i="1" a="1"/>
  <c r="O65" i="1" s="1"/>
  <c r="O64" i="1"/>
  <c r="O64" i="1" a="1"/>
  <c r="O63" i="1" a="1"/>
  <c r="O63" i="1" s="1"/>
  <c r="O62" i="1" a="1"/>
  <c r="O62" i="1" s="1"/>
  <c r="O61" i="1"/>
  <c r="O61" i="1" a="1"/>
  <c r="O60" i="1" a="1"/>
  <c r="O60" i="1" s="1"/>
  <c r="O59" i="1"/>
  <c r="O59" i="1" a="1"/>
  <c r="O58" i="1" a="1"/>
  <c r="O58" i="1" s="1"/>
  <c r="O57" i="1"/>
  <c r="O57" i="1" a="1"/>
  <c r="O56" i="1" a="1"/>
  <c r="O56" i="1" s="1"/>
  <c r="O55" i="1" a="1"/>
  <c r="O55" i="1" s="1"/>
  <c r="O54" i="1" a="1"/>
  <c r="O54" i="1" s="1"/>
  <c r="O53" i="1" a="1"/>
  <c r="O53" i="1" s="1"/>
  <c r="O52" i="1" a="1"/>
  <c r="O52" i="1" s="1"/>
  <c r="O51" i="1" a="1"/>
  <c r="O51" i="1" s="1"/>
  <c r="O50" i="1" a="1"/>
  <c r="O50" i="1" s="1"/>
  <c r="O49" i="1" a="1"/>
  <c r="O49" i="1" s="1"/>
  <c r="O48" i="1" a="1"/>
  <c r="O48" i="1" s="1"/>
  <c r="O47" i="1" a="1"/>
  <c r="O47" i="1" s="1"/>
  <c r="O46" i="1" a="1"/>
  <c r="O46" i="1" s="1"/>
  <c r="O45" i="1" a="1"/>
  <c r="O45" i="1" s="1"/>
  <c r="O44" i="1"/>
  <c r="O44" i="1" a="1"/>
  <c r="O43" i="1" a="1"/>
  <c r="O43" i="1" s="1"/>
  <c r="O42" i="1" a="1"/>
  <c r="O42" i="1" s="1"/>
  <c r="O41" i="1"/>
  <c r="O41" i="1" a="1"/>
  <c r="O40" i="1" a="1"/>
  <c r="O40" i="1" s="1"/>
  <c r="O39" i="1" a="1"/>
  <c r="O39" i="1" s="1"/>
  <c r="O38" i="1"/>
  <c r="O38" i="1" a="1"/>
  <c r="O37" i="1" a="1"/>
  <c r="O37" i="1" s="1"/>
  <c r="O36" i="1" a="1"/>
  <c r="O36" i="1" s="1"/>
  <c r="O35" i="1" a="1"/>
  <c r="O35" i="1" s="1"/>
  <c r="O34" i="1" a="1"/>
  <c r="O34" i="1" s="1"/>
  <c r="O33" i="1" a="1"/>
  <c r="O33" i="1" s="1"/>
  <c r="O32" i="1" a="1"/>
  <c r="O32" i="1" s="1"/>
  <c r="O31" i="1" a="1"/>
  <c r="O31" i="1" s="1"/>
  <c r="O30" i="1" a="1"/>
  <c r="O30" i="1" s="1"/>
  <c r="O29" i="1"/>
  <c r="O29" i="1" a="1"/>
  <c r="O28" i="1" a="1"/>
  <c r="O28" i="1" s="1"/>
  <c r="O27" i="1" a="1"/>
  <c r="O27" i="1" s="1"/>
  <c r="O26" i="1" a="1"/>
  <c r="O26" i="1" s="1"/>
  <c r="O25" i="1" a="1"/>
  <c r="O25" i="1" s="1"/>
  <c r="O24" i="1"/>
  <c r="O24" i="1" a="1"/>
  <c r="O23" i="1"/>
  <c r="O23" i="1" a="1"/>
  <c r="O22" i="1" a="1"/>
  <c r="O22" i="1" s="1"/>
  <c r="O21" i="1" a="1"/>
  <c r="O21" i="1" s="1"/>
  <c r="O20" i="1"/>
  <c r="O20" i="1" a="1"/>
  <c r="O19" i="1" a="1"/>
  <c r="O19" i="1" s="1"/>
  <c r="O18" i="1" a="1"/>
  <c r="O18" i="1" s="1"/>
  <c r="O17" i="1" a="1"/>
  <c r="O17" i="1" s="1"/>
  <c r="O16" i="1" a="1"/>
  <c r="O16" i="1" s="1"/>
  <c r="O15" i="1" a="1"/>
  <c r="O15" i="1" s="1"/>
  <c r="O14" i="1" a="1"/>
  <c r="O14" i="1" s="1"/>
  <c r="O13" i="1" a="1"/>
  <c r="O13" i="1" s="1"/>
  <c r="O12" i="1" a="1"/>
  <c r="O12" i="1" s="1"/>
  <c r="O11" i="1" a="1"/>
  <c r="O11" i="1" s="1"/>
  <c r="O10" i="1" a="1"/>
  <c r="O10" i="1" s="1"/>
  <c r="O9" i="1"/>
  <c r="O9" i="1" a="1"/>
  <c r="O8" i="1"/>
  <c r="O8" i="1" a="1"/>
  <c r="O7" i="1" a="1"/>
  <c r="O7" i="1" s="1"/>
  <c r="O6" i="1" a="1"/>
  <c r="O6" i="1" s="1"/>
  <c r="O5" i="1"/>
  <c r="O5" i="1" a="1"/>
  <c r="O4" i="1" a="1"/>
  <c r="O4" i="1" s="1"/>
  <c r="O3" i="1" a="1"/>
  <c r="O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<sst xmlns="http://schemas.openxmlformats.org/spreadsheetml/2006/main" count="14874" uniqueCount="2527">
  <si>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</si>
  <si>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</si>
  <si>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</si>
  <si>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</si>
  <si>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</si>
  <si>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</si>
  <si>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</si>
  <si>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</si>
  <si>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</si>
  <si>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</si>
  <si>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</si>
  <si>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</si>
  <si>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</si>
  <si>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</si>
  <si>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</si>
  <si>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</si>
  <si>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</si>
  <si>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</si>
  <si>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</si>
  <si>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</si>
  <si>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</si>
  <si>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</si>
  <si>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</si>
  <si>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</si>
  <si>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</si>
  <si>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</si>
  <si>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</si>
  <si>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</si>
  <si>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</si>
  <si>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</si>
  <si>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</si>
  <si>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</si>
  <si>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</si>
  <si>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</si>
  <si>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</si>
  <si>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</si>
  <si>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</si>
  <si>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</si>
  <si>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</si>
  <si>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</si>
  <si>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</si>
  <si>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</si>
  <si>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</si>
  <si>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</si>
  <si>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</si>
  <si>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</si>
  <si>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</si>
  <si>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</si>
  <si>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</si>
  <si>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</si>
  <si>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</si>
  <si>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</si>
  <si>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</si>
  <si>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</si>
  <si>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</si>
  <si>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</si>
  <si>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</si>
  <si>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</si>
  <si>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</si>
  <si>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</si>
  <si>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</si>
  <si>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</si>
  <si>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</si>
  <si>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</si>
  <si>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</si>
  <si>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</si>
  <si>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</si>
  <si>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</si>
  <si>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</si>
  <si>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</si>
  <si>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</si>
  <si>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</si>
  <si>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</si>
  <si>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</si>
  <si>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</si>
  <si>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</si>
  <si>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</si>
  <si>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</si>
  <si>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</si>
  <si>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</si>
  <si>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</si>
  <si>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</si>
  <si>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</si>
  <si>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</si>
  <si>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</si>
  <si>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</si>
  <si>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</si>
  <si>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</si>
  <si>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</si>
  <si>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</si>
  <si>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</si>
  <si>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</si>
  <si>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</si>
  <si>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</si>
  <si>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</si>
  <si>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</si>
  <si>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</si>
  <si>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</si>
  <si>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</si>
  <si>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</si>
  <si>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</si>
  <si>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</si>
  <si>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</si>
  <si>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</si>
  <si>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</si>
  <si>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</si>
  <si>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</si>
  <si>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</si>
  <si>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</si>
  <si>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</si>
  <si>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</si>
  <si>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</si>
  <si>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</si>
  <si>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</si>
  <si>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</si>
  <si>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</si>
  <si>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</si>
  <si>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</si>
  <si>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</si>
  <si>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</si>
  <si>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</si>
  <si>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</si>
  <si>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</si>
  <si>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</si>
  <si>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</si>
  <si>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</si>
  <si>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</si>
  <si>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</si>
  <si>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</si>
  <si>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</si>
  <si>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</si>
  <si>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</si>
  <si>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</si>
  <si>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</si>
  <si>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</si>
  <si>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</si>
  <si>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</si>
  <si>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</si>
  <si>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</si>
  <si>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</si>
  <si>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</si>
  <si>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</si>
  <si>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</si>
  <si>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</si>
  <si>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</si>
  <si>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</si>
  <si>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</si>
  <si>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</si>
  <si>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</si>
  <si>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</si>
  <si>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</si>
  <si>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</si>
  <si>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</si>
  <si>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</si>
  <si>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</si>
  <si>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</si>
  <si>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</si>
  <si>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</si>
  <si>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</si>
  <si>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</si>
  <si>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</si>
  <si>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</si>
  <si>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</si>
  <si>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</si>
  <si>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</si>
  <si>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</si>
  <si>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</si>
  <si>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</si>
  <si>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</si>
  <si>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</si>
  <si>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</si>
  <si>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</si>
  <si>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</si>
  <si>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</si>
  <si>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</si>
  <si>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</si>
  <si>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</si>
  <si>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</si>
  <si>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</si>
  <si>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</si>
  <si>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</si>
  <si>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</si>
  <si>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</si>
  <si>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</si>
  <si>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</si>
  <si>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</si>
  <si>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</si>
  <si>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</si>
  <si>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</si>
  <si>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</si>
  <si>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</si>
  <si>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</si>
  <si>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</si>
  <si>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</si>
  <si>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</si>
  <si>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</si>
  <si>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</si>
  <si>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</si>
  <si>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</si>
  <si>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</si>
  <si>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</si>
  <si>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</si>
  <si>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</si>
  <si>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</si>
  <si>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</si>
  <si>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</si>
  <si>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</si>
  <si>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</si>
  <si>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</si>
  <si>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</si>
  <si>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</si>
  <si>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</si>
  <si>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</si>
  <si>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</si>
  <si>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</si>
  <si>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</si>
  <si>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</si>
  <si>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</si>
  <si>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</si>
  <si>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</si>
  <si>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</si>
  <si>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</si>
  <si>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</si>
  <si>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</si>
  <si>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</si>
  <si>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</si>
  <si>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</si>
  <si>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</si>
  <si>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</si>
  <si>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</si>
  <si>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</si>
  <si>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</si>
  <si>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</si>
  <si>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</si>
  <si>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</si>
  <si>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</si>
  <si>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</si>
  <si>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</si>
  <si>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</si>
  <si>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</si>
  <si>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</si>
  <si>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</si>
  <si>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</si>
  <si>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</si>
  <si>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</si>
  <si>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</si>
  <si>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</si>
  <si>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</si>
  <si>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</si>
  <si>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</si>
  <si>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</si>
  <si>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</si>
  <si>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</si>
  <si>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</si>
  <si>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</si>
  <si>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</si>
  <si>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</si>
  <si>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</si>
  <si>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</si>
  <si>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</si>
  <si>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</si>
  <si>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</si>
  <si>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</si>
  <si>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</si>
  <si>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</si>
  <si>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</si>
  <si>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</si>
  <si>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</si>
  <si>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</si>
  <si>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</si>
  <si>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</si>
  <si>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</si>
  <si>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</si>
  <si>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</si>
  <si>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</si>
  <si>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</si>
  <si>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</si>
  <si>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</si>
  <si>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</si>
  <si>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</si>
  <si>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</si>
  <si>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</si>
  <si>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</si>
  <si>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</si>
  <si>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</si>
  <si>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</si>
  <si>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</si>
  <si>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</si>
  <si>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</si>
  <si>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</si>
  <si>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</si>
  <si>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</si>
  <si>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</si>
  <si>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</si>
  <si>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</si>
  <si>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</si>
  <si>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</si>
  <si>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</si>
  <si>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</si>
  <si>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</si>
  <si>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</si>
  <si>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</si>
  <si>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</si>
  <si>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</si>
  <si>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</si>
  <si>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</si>
  <si>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</si>
  <si>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</si>
  <si>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</si>
  <si>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</si>
  <si>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</si>
  <si>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</si>
  <si>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</si>
  <si>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</si>
  <si>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</si>
  <si>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</si>
  <si>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</si>
  <si>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</si>
  <si>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</si>
  <si>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</si>
  <si>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</si>
  <si>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</si>
  <si>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</si>
  <si>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</si>
  <si>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</si>
  <si>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</si>
  <si>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</si>
  <si>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</si>
  <si>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</si>
  <si>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</si>
  <si>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</si>
  <si>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</si>
  <si>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</si>
  <si>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</si>
  <si>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</si>
  <si>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</si>
  <si>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</si>
  <si>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</si>
  <si>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</si>
  <si>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</si>
  <si>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</si>
  <si>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</si>
  <si>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</si>
  <si>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</si>
  <si>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</si>
  <si>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</si>
  <si>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</si>
  <si>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</si>
  <si>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</si>
  <si>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</si>
  <si>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</si>
  <si>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</si>
  <si>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</si>
  <si>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</si>
  <si>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</si>
  <si>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</si>
  <si>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</si>
  <si>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</si>
  <si>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</si>
  <si>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</si>
  <si>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</si>
  <si>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</si>
  <si>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</si>
  <si>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</si>
  <si>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</si>
  <si>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</si>
  <si>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</si>
  <si>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</si>
  <si>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</si>
  <si>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</si>
  <si>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</si>
  <si>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</si>
  <si>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</si>
  <si>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</si>
  <si>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</si>
  <si>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</si>
  <si>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</si>
  <si>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</si>
  <si>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</si>
  <si>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</si>
  <si>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</si>
  <si>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</si>
  <si>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</si>
  <si>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</si>
  <si>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</si>
  <si>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</si>
  <si>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</si>
  <si>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</si>
  <si>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</si>
  <si>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</si>
  <si>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</si>
  <si>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</si>
  <si>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</si>
  <si>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</si>
  <si>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</si>
  <si>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</si>
  <si>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</si>
  <si>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</si>
  <si>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</si>
  <si>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</si>
  <si>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</si>
  <si>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</si>
  <si>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</si>
  <si>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</si>
  <si>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</si>
  <si>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</si>
  <si>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</si>
  <si>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</si>
  <si>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</si>
  <si>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</si>
  <si>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</si>
  <si>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</si>
  <si>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</si>
  <si>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</si>
  <si>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</si>
  <si>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</si>
  <si>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</si>
  <si>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</si>
  <si>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</si>
  <si>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</si>
  <si>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</si>
  <si>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</si>
  <si>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</si>
  <si>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</si>
  <si>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</si>
  <si>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</si>
  <si>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</si>
  <si>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</si>
  <si>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</si>
  <si>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</si>
  <si>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</si>
  <si>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</si>
  <si>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</si>
  <si>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</si>
  <si>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</si>
  <si>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</si>
  <si>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</si>
  <si>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</si>
  <si>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</si>
  <si>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</si>
  <si>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</si>
  <si>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</si>
  <si>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</si>
  <si>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</si>
  <si>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</si>
  <si>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</si>
  <si>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</si>
  <si>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</si>
  <si>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</si>
  <si>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</si>
  <si>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</si>
  <si>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</si>
  <si>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</si>
  <si>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</si>
  <si>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</si>
  <si>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</si>
  <si>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</si>
  <si>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</si>
  <si>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</si>
  <si>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</si>
  <si>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</si>
  <si>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</si>
  <si>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</si>
  <si>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</si>
  <si>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</si>
  <si>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</si>
  <si>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</si>
  <si>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</si>
  <si>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</si>
  <si>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</si>
  <si>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</si>
  <si>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</si>
  <si>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</si>
  <si>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</si>
  <si>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</si>
  <si>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</si>
  <si>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</si>
  <si>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</si>
  <si>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</si>
  <si>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</si>
  <si>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</si>
  <si>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</si>
  <si>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</si>
  <si>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</si>
  <si>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</si>
  <si>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</si>
  <si>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</si>
  <si>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</si>
  <si>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</si>
  <si>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</si>
  <si>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</si>
  <si>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</si>
  <si>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</si>
  <si>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</si>
  <si>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</si>
  <si>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</si>
  <si>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</si>
  <si>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</si>
  <si>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</si>
  <si>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</si>
  <si>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</si>
  <si>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</si>
  <si>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</si>
  <si>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</si>
  <si>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</si>
  <si>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</si>
  <si>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</si>
  <si>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</si>
  <si>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</si>
  <si>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</si>
  <si>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</si>
  <si>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</si>
  <si>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</si>
  <si>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</si>
  <si>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</si>
  <si>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</si>
  <si>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</si>
  <si>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</si>
  <si>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</si>
  <si>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</si>
  <si>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</si>
  <si>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</si>
  <si>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</si>
  <si>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</si>
  <si>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</si>
  <si>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</si>
  <si>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</si>
  <si>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</si>
  <si>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</si>
  <si>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</si>
  <si>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</si>
  <si>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</si>
  <si>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</si>
  <si>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</si>
  <si>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</si>
  <si>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</si>
  <si>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</si>
  <si>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</si>
  <si>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</si>
  <si>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</si>
  <si>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</si>
  <si>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</si>
  <si>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</si>
  <si>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</si>
  <si>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</si>
  <si>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</si>
  <si>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</si>
  <si>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</si>
  <si>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</si>
  <si>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</si>
  <si>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</si>
  <si>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</si>
  <si>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</si>
  <si>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</si>
  <si>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</si>
  <si>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</si>
  <si>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</si>
  <si>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</si>
  <si>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</si>
  <si>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</si>
  <si>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</si>
  <si>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</si>
  <si>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</si>
  <si>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</si>
  <si>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</si>
  <si>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</si>
  <si>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</si>
  <si>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</si>
  <si>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</si>
  <si>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</si>
  <si>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</si>
  <si>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</si>
  <si>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</si>
  <si>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</si>
  <si>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</si>
  <si>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</si>
  <si>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</si>
  <si>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</si>
  <si>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</si>
  <si>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</si>
  <si>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</si>
  <si>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</si>
  <si>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</si>
  <si>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</si>
  <si>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</si>
  <si>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</si>
  <si>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</si>
  <si>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</si>
  <si>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</si>
  <si>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</si>
  <si>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</si>
  <si>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</si>
  <si>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</si>
  <si>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</si>
  <si>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</si>
  <si>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</si>
  <si>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</si>
  <si>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</si>
  <si>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</si>
  <si>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</si>
  <si>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</si>
  <si>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</si>
  <si>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</si>
  <si>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</si>
  <si>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</si>
  <si>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</si>
  <si>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</si>
  <si>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</si>
  <si>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</si>
  <si>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</si>
  <si>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</si>
  <si>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</si>
  <si>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</si>
  <si>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</si>
  <si>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</si>
  <si>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</si>
  <si>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</si>
  <si>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</si>
  <si>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</si>
  <si>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</si>
  <si>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</si>
  <si>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</si>
  <si>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</si>
  <si>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</si>
  <si>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</si>
  <si>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</si>
  <si>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</si>
  <si>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</si>
  <si>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</si>
  <si>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</si>
  <si>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</si>
  <si>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</si>
  <si>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</si>
  <si>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</si>
  <si>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</si>
  <si>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</si>
  <si>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</si>
  <si>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</si>
  <si>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</si>
  <si>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</si>
  <si>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</si>
  <si>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</si>
  <si>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</si>
  <si>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</si>
  <si>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</si>
  <si>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</si>
  <si>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</si>
  <si>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</si>
  <si>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</si>
  <si>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</si>
  <si>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</si>
  <si>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</si>
  <si>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</si>
  <si>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</si>
  <si>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</si>
  <si>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</si>
  <si>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</si>
  <si>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</si>
  <si>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</si>
  <si>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</si>
  <si>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</si>
  <si>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</si>
  <si>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</si>
  <si>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</si>
  <si>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</si>
  <si>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</si>
  <si>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</si>
  <si>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</si>
  <si>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</si>
  <si>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</si>
  <si>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</si>
  <si>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</si>
  <si>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</si>
  <si>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</si>
  <si>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</si>
  <si>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</si>
  <si>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</si>
  <si>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</si>
  <si>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</si>
  <si>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</si>
  <si>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</si>
  <si>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</si>
  <si>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</si>
  <si>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</si>
  <si>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</si>
  <si>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</si>
  <si>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</si>
  <si>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</si>
  <si>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</si>
  <si>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</si>
  <si>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</si>
  <si>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</si>
  <si>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</si>
  <si>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</si>
  <si>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</si>
  <si>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</si>
  <si>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</si>
  <si>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</si>
  <si>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</si>
  <si>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</si>
  <si>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</si>
  <si>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</si>
  <si>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</si>
  <si>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</si>
  <si>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</si>
  <si>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</si>
  <si>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</si>
  <si>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</si>
  <si>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</si>
  <si>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</si>
  <si>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</si>
  <si>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</si>
  <si>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</si>
  <si>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</si>
  <si>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</si>
  <si>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</si>
  <si>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</si>
  <si>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</si>
  <si>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</si>
  <si>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</si>
  <si>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</si>
  <si>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</si>
  <si>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</si>
  <si>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</si>
  <si>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</si>
  <si>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</si>
  <si>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</si>
  <si>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</si>
  <si>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</si>
  <si>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</si>
  <si>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</si>
  <si>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</si>
  <si>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</si>
  <si>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</si>
  <si>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</si>
  <si>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</si>
  <si>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</si>
  <si>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</si>
  <si>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</si>
  <si>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</si>
  <si>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</si>
  <si>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</si>
  <si>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</si>
  <si>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</si>
  <si>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</si>
  <si>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</si>
  <si>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</si>
  <si>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</si>
  <si>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</si>
  <si>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</si>
  <si>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</si>
  <si>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</si>
  <si>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</si>
  <si>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</si>
  <si>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</si>
  <si>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</si>
  <si>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</si>
  <si>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</si>
  <si>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</si>
  <si>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</si>
  <si>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</si>
  <si>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</si>
  <si>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</si>
  <si>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</si>
  <si>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</si>
  <si>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</si>
  <si>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</si>
  <si>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</si>
  <si>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</si>
  <si>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</si>
  <si>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</si>
  <si>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</si>
  <si>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</si>
  <si>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</si>
  <si>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</si>
  <si>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</si>
  <si>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</si>
  <si>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</si>
  <si>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</si>
  <si>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</si>
  <si>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</si>
  <si>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</si>
  <si>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</si>
  <si>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</si>
  <si>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</si>
  <si>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</si>
  <si>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</si>
  <si>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</si>
  <si>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</si>
  <si>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</si>
  <si>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</si>
  <si>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</si>
  <si>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</si>
  <si>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</si>
  <si>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</si>
  <si>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</si>
  <si>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</si>
  <si>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</si>
  <si>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</si>
  <si>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</si>
  <si>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</si>
  <si>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</si>
  <si>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</si>
  <si>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</si>
  <si>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</si>
  <si>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</si>
  <si>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</si>
  <si>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</si>
  <si>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</si>
  <si>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</si>
  <si>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</si>
  <si>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</si>
  <si>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</si>
  <si>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</si>
  <si>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</si>
  <si>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</si>
  <si>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</si>
  <si>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</si>
  <si>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</si>
  <si>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</si>
  <si>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</si>
  <si>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</si>
  <si>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</si>
  <si>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</si>
  <si>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</si>
  <si>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</si>
  <si>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</si>
  <si>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</si>
  <si>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</si>
  <si>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</si>
  <si>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</si>
  <si>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</si>
  <si>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</si>
  <si>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</si>
  <si>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</si>
  <si>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</si>
  <si>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</si>
  <si>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</si>
  <si>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</si>
  <si>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</si>
  <si>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</si>
  <si>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</si>
  <si>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</si>
  <si>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</si>
  <si>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</si>
  <si>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</si>
  <si>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</si>
  <si>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</si>
  <si>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</si>
  <si>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</si>
  <si>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</si>
  <si>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</si>
  <si>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</si>
  <si>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</si>
  <si>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</si>
  <si>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</si>
  <si>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</si>
  <si>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</si>
  <si>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</si>
  <si>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</si>
  <si>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</si>
  <si>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</si>
  <si>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</si>
  <si>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</si>
  <si>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</si>
  <si>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</si>
  <si>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</si>
  <si>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</si>
  <si>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</si>
  <si>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</si>
  <si>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</si>
  <si>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</si>
  <si>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</si>
  <si>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</si>
  <si>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</si>
  <si>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</si>
  <si>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</si>
  <si>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</si>
  <si>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</si>
  <si>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</si>
  <si>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</si>
  <si>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</si>
  <si>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</si>
  <si>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</si>
  <si>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</si>
  <si>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</si>
  <si>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</si>
  <si>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</si>
  <si>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</si>
  <si>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</si>
  <si>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</si>
  <si>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</si>
  <si>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</si>
  <si>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</si>
  <si>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</si>
  <si>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</si>
  <si>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</si>
  <si>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</si>
  <si>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</si>
  <si>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</si>
  <si>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</si>
  <si>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</si>
  <si>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</si>
  <si>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</si>
  <si>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</si>
  <si>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</si>
  <si>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</si>
  <si>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</si>
  <si>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</si>
  <si>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</si>
  <si>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</si>
  <si>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</si>
  <si>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</si>
  <si>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</si>
  <si>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</si>
  <si>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</si>
  <si>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</si>
  <si>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</si>
  <si>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</si>
  <si>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</si>
  <si>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</si>
  <si>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</si>
  <si>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</si>
  <si>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</si>
  <si>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</si>
  <si>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</si>
  <si>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</si>
  <si>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</si>
  <si>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</si>
  <si>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</si>
  <si>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</si>
  <si>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</si>
  <si>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</si>
  <si>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</si>
  <si>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</si>
  <si>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</si>
  <si>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</si>
  <si>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</si>
  <si>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</si>
  <si>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</si>
  <si>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</si>
  <si>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</si>
  <si>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</si>
  <si>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</si>
  <si>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</si>
  <si>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</si>
  <si>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</si>
  <si>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</si>
  <si>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</si>
  <si>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</si>
  <si>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</si>
  <si>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</si>
  <si>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</si>
  <si>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</si>
  <si>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</si>
  <si>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</si>
  <si>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</si>
  <si>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</si>
  <si>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</si>
  <si>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</si>
  <si>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</si>
  <si>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</si>
  <si>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</si>
  <si>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</si>
  <si>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</si>
  <si>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</si>
  <si>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</si>
  <si>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</si>
  <si>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</si>
  <si>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</si>
  <si>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</si>
  <si>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</si>
  <si>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</si>
  <si>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</si>
  <si>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</si>
  <si>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</si>
  <si>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</si>
  <si>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</si>
  <si>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</si>
  <si>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</si>
  <si>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</si>
  <si>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</si>
  <si>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</si>
  <si>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</si>
  <si>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</si>
  <si>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</si>
  <si>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</si>
  <si>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</si>
  <si>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</si>
  <si>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</si>
  <si>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</si>
  <si>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</si>
  <si>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</si>
  <si>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</si>
  <si>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</si>
  <si>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</si>
  <si>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</si>
  <si>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</si>
  <si>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</si>
  <si>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</si>
  <si>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</si>
  <si>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</si>
  <si>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</si>
  <si>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</si>
  <si>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</si>
  <si>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</si>
  <si>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</si>
  <si>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</si>
  <si>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</si>
  <si>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</si>
  <si>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</si>
  <si>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</si>
  <si>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</si>
  <si>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</si>
  <si>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</si>
  <si>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</si>
  <si>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</si>
  <si>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</si>
  <si>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</si>
  <si>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</si>
  <si>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</si>
  <si>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</si>
  <si>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</si>
  <si>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</si>
  <si>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</si>
  <si>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</si>
  <si>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</si>
  <si>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</si>
  <si>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</si>
  <si>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</si>
  <si>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</si>
  <si>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</si>
  <si>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</si>
  <si>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</si>
  <si>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</si>
  <si>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</si>
  <si>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</si>
  <si>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</si>
  <si>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</si>
  <si>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</si>
  <si>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</si>
  <si>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</si>
  <si>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</si>
  <si>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</si>
  <si>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</si>
  <si>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</si>
  <si>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</si>
  <si>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</si>
  <si>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</si>
  <si>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</si>
  <si>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</si>
  <si>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</si>
  <si>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</si>
  <si>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</si>
  <si>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</si>
  <si>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</si>
  <si>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</si>
  <si>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</si>
  <si>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</si>
  <si>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</si>
  <si>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</si>
  <si>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</si>
  <si>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</si>
  <si>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</si>
  <si>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</si>
  <si>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</si>
  <si>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</si>
  <si>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</si>
  <si>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</si>
  <si>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</si>
  <si>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</si>
  <si>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</si>
  <si>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</si>
  <si>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</si>
  <si>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</si>
  <si>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</si>
  <si>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</si>
  <si>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</si>
  <si>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</si>
  <si>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</si>
  <si>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</si>
  <si>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</si>
  <si>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</si>
  <si>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</si>
  <si>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</si>
  <si>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</si>
  <si>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</si>
  <si>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</si>
  <si>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</si>
  <si>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</si>
  <si>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</si>
  <si>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</si>
  <si>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</si>
  <si>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</si>
  <si>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</si>
  <si>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</si>
  <si>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</si>
  <si>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</si>
  <si>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</si>
  <si>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</si>
  <si>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</si>
  <si>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</si>
  <si>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</si>
  <si>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</si>
  <si>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</si>
  <si>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</si>
  <si>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</si>
  <si>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</si>
  <si>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</si>
  <si>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</si>
  <si>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</si>
  <si>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</si>
  <si>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</si>
  <si>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</si>
  <si>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</si>
  <si>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</si>
  <si>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</si>
  <si>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</si>
  <si>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</si>
  <si>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</si>
  <si>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</si>
  <si>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</si>
  <si>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</si>
  <si>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</si>
  <si>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</si>
  <si>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</si>
  <si>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</si>
  <si>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</si>
  <si>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</si>
  <si>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</si>
  <si>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</si>
  <si>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</si>
  <si>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</si>
  <si>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</si>
  <si>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</si>
  <si>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</si>
  <si>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</si>
  <si>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</si>
  <si>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</si>
  <si>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</si>
  <si>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</si>
  <si>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</si>
  <si>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</si>
  <si>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</si>
  <si>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</si>
  <si>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</si>
  <si>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</si>
  <si>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</si>
  <si>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</si>
  <si>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</si>
  <si>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</si>
  <si>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</si>
  <si>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</si>
  <si>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</si>
  <si>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</si>
  <si>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</si>
  <si>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</si>
  <si>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</si>
  <si>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</si>
  <si>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</si>
  <si>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</si>
  <si>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</si>
  <si>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</si>
  <si>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</si>
  <si>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</si>
  <si>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</si>
  <si>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</si>
  <si>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</si>
  <si>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</si>
  <si>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</si>
  <si>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</si>
  <si>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</si>
  <si>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</si>
  <si>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</si>
  <si>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</si>
  <si>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</si>
  <si>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</si>
  <si>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</si>
  <si>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</si>
  <si>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</si>
  <si>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</si>
  <si>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</si>
  <si>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</si>
  <si>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</si>
  <si>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</si>
  <si>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</si>
  <si>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</si>
  <si>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</si>
  <si>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</si>
  <si>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</si>
  <si>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</si>
  <si>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</si>
  <si>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</si>
  <si>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</si>
  <si>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</si>
  <si>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</si>
  <si>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</si>
  <si>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</si>
  <si>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</si>
  <si>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</si>
  <si>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</si>
  <si>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</si>
  <si>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</si>
  <si>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</si>
  <si>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</si>
  <si>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</si>
  <si>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</si>
  <si>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</si>
  <si>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</si>
  <si>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</si>
  <si>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</si>
  <si>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</si>
  <si>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</si>
  <si>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</si>
  <si>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</si>
  <si>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</si>
  <si>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</si>
  <si>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</si>
  <si>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</si>
  <si>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</si>
  <si>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</si>
  <si>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</si>
  <si>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</si>
  <si>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</si>
  <si>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</si>
  <si>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</si>
  <si>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</si>
  <si>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</si>
  <si>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</si>
  <si>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</si>
  <si>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</si>
  <si>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</si>
  <si>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</si>
  <si>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</si>
  <si>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</si>
  <si>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</si>
  <si>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</si>
  <si>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</si>
  <si>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</si>
  <si>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</si>
  <si>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</si>
  <si>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</si>
  <si>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</si>
  <si>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</si>
  <si>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</si>
  <si>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</si>
  <si>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</si>
  <si>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</si>
  <si>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</si>
  <si>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</si>
  <si>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</si>
  <si>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</si>
  <si>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</si>
  <si>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</si>
  <si>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</si>
  <si>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</si>
  <si>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</si>
  <si>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</si>
  <si>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</si>
  <si>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</si>
  <si>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</si>
  <si>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</si>
  <si>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</si>
  <si>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</si>
  <si>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</si>
  <si>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</si>
  <si>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</si>
  <si>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</si>
  <si>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</si>
  <si>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</si>
  <si>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</si>
  <si>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</si>
  <si>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</si>
  <si>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</si>
  <si>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</si>
  <si>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</si>
  <si>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</si>
  <si>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</si>
  <si>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</si>
  <si>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</si>
  <si>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</si>
  <si>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</si>
  <si>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</si>
  <si>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</si>
  <si>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</si>
  <si>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</si>
  <si>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</si>
  <si>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</si>
  <si>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</si>
  <si>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</si>
  <si>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</si>
  <si>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</si>
  <si>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</si>
  <si>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</si>
  <si>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</si>
  <si>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</si>
  <si>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</si>
  <si>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</si>
  <si>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</si>
  <si>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</si>
  <si>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</si>
  <si>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</si>
  <si>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</si>
  <si>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</si>
  <si>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</si>
  <si>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</si>
  <si>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</si>
  <si>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</si>
  <si>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</si>
  <si>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</si>
  <si>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</si>
  <si>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</si>
  <si>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</si>
  <si>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</si>
  <si>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</si>
  <si>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</si>
  <si>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</si>
  <si>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</si>
  <si>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</si>
  <si>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</si>
  <si>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</si>
  <si>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</si>
  <si>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</si>
  <si>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</si>
  <si>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</si>
  <si>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</si>
  <si>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</si>
  <si>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</si>
  <si>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</si>
  <si>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</si>
  <si>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</si>
  <si>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</si>
  <si>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</si>
  <si>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</si>
  <si>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</si>
  <si>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</si>
  <si>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</si>
  <si>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</si>
  <si>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</si>
  <si>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</si>
  <si>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</si>
  <si>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</si>
  <si>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</si>
  <si>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</si>
  <si>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</si>
  <si>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</si>
  <si>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</si>
  <si>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</si>
  <si>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</si>
  <si>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</si>
  <si>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</si>
  <si>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</si>
  <si>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</si>
  <si>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</si>
  <si>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</si>
  <si>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</si>
  <si>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</si>
  <si>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</si>
  <si>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</si>
  <si>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</si>
  <si>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</si>
  <si>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</si>
  <si>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</si>
  <si>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</si>
  <si>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</si>
  <si>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</si>
  <si>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</si>
  <si>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</si>
  <si>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</si>
  <si>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</si>
  <si>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</si>
  <si>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</si>
  <si>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</si>
  <si>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</si>
  <si>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</si>
  <si>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</si>
  <si>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</si>
  <si>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</si>
  <si>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</si>
  <si>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</si>
  <si>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</si>
  <si>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</si>
  <si>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</si>
  <si>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</si>
  <si>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</si>
  <si>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</si>
  <si>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</si>
  <si>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</si>
  <si>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</si>
  <si>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</si>
  <si>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</si>
  <si>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</si>
  <si>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</si>
  <si>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</si>
  <si>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</si>
  <si>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</si>
  <si>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</si>
  <si>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</si>
  <si>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</si>
  <si>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</si>
  <si>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</si>
  <si>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</si>
  <si>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</si>
  <si>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</si>
  <si>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</si>
  <si>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</si>
  <si>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</si>
  <si>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</si>
  <si>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</si>
  <si>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</si>
  <si>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</si>
  <si>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</si>
  <si>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</si>
  <si>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</si>
  <si>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</si>
  <si>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</si>
  <si>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</si>
  <si>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</si>
  <si>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</si>
  <si>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</si>
  <si>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</si>
  <si>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</si>
  <si>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</si>
  <si>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</si>
  <si>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</si>
  <si>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</si>
  <si>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</si>
  <si>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</si>
  <si>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</si>
  <si>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</si>
  <si>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</si>
  <si>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</si>
  <si>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</si>
  <si>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</si>
  <si>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</si>
  <si>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</si>
  <si>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</si>
  <si>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</si>
  <si>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</si>
  <si>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</si>
  <si>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</si>
  <si>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</si>
  <si>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</si>
  <si>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</si>
  <si>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</si>
  <si>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</si>
  <si>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</si>
  <si>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</si>
  <si>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</si>
  <si>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</si>
  <si>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</si>
  <si>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</si>
  <si>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</si>
  <si>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</si>
  <si>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</si>
  <si>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</si>
  <si>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</si>
  <si>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</si>
  <si>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</si>
  <si>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</si>
  <si>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</si>
  <si>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</si>
  <si>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</si>
  <si>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</si>
  <si>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</si>
  <si>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</si>
  <si>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</si>
  <si>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</si>
  <si>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</si>
  <si>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</si>
  <si>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</si>
  <si>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</si>
  <si>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</si>
  <si>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</si>
  <si>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</si>
  <si>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</si>
  <si>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</si>
  <si>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</si>
  <si>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</si>
  <si>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</si>
  <si>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</si>
  <si>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</si>
  <si>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</si>
  <si>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</si>
  <si>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</si>
  <si>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</si>
  <si>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</si>
  <si>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</si>
  <si>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</si>
  <si>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</si>
  <si>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</si>
  <si>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</si>
  <si>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</si>
  <si>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</si>
  <si>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</si>
  <si>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</si>
  <si>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</si>
  <si>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</si>
  <si>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</si>
  <si>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</si>
  <si>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</si>
  <si>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</si>
  <si>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</si>
  <si>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</si>
  <si>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</si>
  <si>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</si>
  <si>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</si>
  <si>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</si>
  <si>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</si>
  <si>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</si>
  <si>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</si>
  <si>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</si>
  <si>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</si>
  <si>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</si>
  <si>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</si>
  <si>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</si>
  <si>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</si>
  <si>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</si>
  <si>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</si>
  <si>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</si>
  <si>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</si>
  <si>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</si>
  <si>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</si>
  <si>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</si>
  <si>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</si>
  <si>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</si>
  <si>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</si>
  <si>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</si>
  <si>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</si>
  <si>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</si>
  <si>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</si>
  <si>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</si>
  <si>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</si>
  <si>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</si>
  <si>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</si>
  <si>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</si>
  <si>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</si>
  <si>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</si>
  <si>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</si>
  <si>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</si>
  <si>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</si>
  <si>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</si>
  <si>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</si>
  <si>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</si>
  <si>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</si>
  <si>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</si>
  <si>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</si>
  <si>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</si>
  <si>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</si>
  <si>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</si>
  <si>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</si>
  <si>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</si>
  <si>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</si>
  <si>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</si>
  <si>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</si>
  <si>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</si>
  <si>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</si>
  <si>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</si>
  <si>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</si>
  <si>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</si>
  <si>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</si>
  <si>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</si>
  <si>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</si>
  <si>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</si>
  <si>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</si>
  <si>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</si>
  <si>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</si>
  <si>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</si>
  <si>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</si>
  <si>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</si>
  <si>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</si>
  <si>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</si>
  <si>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</si>
  <si>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</si>
  <si>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</si>
  <si>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</si>
  <si>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</si>
  <si>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</si>
  <si>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</si>
  <si>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</si>
  <si>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</si>
  <si>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</si>
  <si>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</si>
  <si>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</si>
  <si>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</si>
  <si>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</si>
  <si>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</si>
  <si>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</si>
  <si>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</si>
  <si>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</si>
  <si>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</si>
  <si>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</si>
  <si>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</si>
  <si>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</si>
  <si>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</si>
  <si>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</si>
  <si>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</si>
  <si>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</si>
  <si>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</si>
  <si>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</si>
  <si>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</si>
  <si>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</si>
  <si>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</si>
  <si>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</si>
  <si>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</si>
  <si>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</si>
  <si>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</si>
  <si>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</si>
  <si>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</si>
  <si>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</si>
  <si>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</si>
  <si>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</si>
  <si>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</si>
  <si>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</si>
  <si>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</si>
  <si>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</si>
  <si>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</si>
  <si>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</si>
  <si>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</si>
  <si>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</si>
  <si>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</si>
  <si>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</si>
  <si>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</si>
  <si>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</si>
  <si>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</si>
  <si>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</si>
  <si>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</si>
  <si>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</si>
  <si>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</si>
  <si>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</si>
  <si>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</si>
  <si>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</si>
  <si>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</si>
  <si>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</si>
  <si>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</si>
  <si>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</si>
  <si>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</si>
  <si>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</si>
  <si>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</si>
  <si>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</si>
  <si>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</si>
  <si>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</si>
  <si>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</si>
  <si>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</si>
  <si>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</si>
  <si>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</si>
  <si>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</si>
  <si>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</si>
  <si>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</si>
  <si>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</si>
  <si>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</si>
  <si>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</si>
  <si>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</si>
  <si>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</si>
  <si>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</si>
  <si>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</si>
  <si>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</si>
  <si>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</si>
  <si>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</si>
  <si>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</si>
  <si>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</si>
  <si>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</si>
  <si>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</si>
  <si>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</si>
  <si>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</si>
  <si>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</si>
  <si>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</si>
  <si>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</si>
  <si>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</si>
  <si>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</si>
  <si>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</si>
  <si>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</si>
  <si>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</si>
  <si>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</si>
  <si>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</si>
  <si>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</si>
  <si>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</si>
  <si>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</si>
  <si>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</si>
  <si>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</si>
  <si>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</si>
  <si>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</si>
  <si>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</si>
  <si>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</si>
  <si>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</si>
  <si>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</si>
  <si>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</si>
  <si>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</si>
  <si>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</si>
  <si>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</si>
  <si>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</si>
  <si>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</si>
  <si>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</si>
  <si>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</si>
  <si>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</si>
  <si>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</si>
  <si>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</si>
  <si>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</si>
  <si>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</si>
  <si>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</si>
  <si>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</si>
  <si>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</si>
  <si>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</si>
  <si>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</si>
  <si>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</si>
  <si>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</si>
  <si>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</si>
  <si>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</si>
  <si>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</si>
  <si>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</si>
  <si>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</si>
  <si>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</si>
  <si>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</si>
  <si>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</si>
  <si>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</si>
  <si>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</si>
  <si>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</si>
  <si>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</si>
  <si>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</si>
  <si>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</si>
  <si>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</si>
  <si>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</si>
  <si>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</si>
  <si>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</si>
  <si>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</si>
  <si>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</si>
  <si>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</si>
  <si>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</si>
  <si>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</si>
  <si>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</si>
  <si>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</si>
  <si>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</si>
  <si>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</si>
  <si>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</si>
  <si>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</si>
  <si>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</si>
  <si>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</si>
  <si>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</si>
  <si>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</si>
  <si>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</si>
  <si>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</si>
  <si>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</si>
  <si>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</si>
  <si>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</si>
  <si>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</si>
  <si>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</si>
  <si>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</si>
  <si>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</si>
  <si>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</si>
  <si>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</si>
  <si>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</si>
  <si>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</si>
  <si>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</si>
  <si>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</si>
  <si>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</si>
  <si>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</si>
  <si>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</si>
  <si>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</si>
  <si>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</si>
  <si>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</si>
  <si>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</si>
  <si>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</si>
  <si>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</si>
  <si>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</si>
  <si>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</si>
  <si>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</si>
  <si>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</si>
  <si>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</si>
  <si>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</si>
  <si>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</si>
  <si>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</si>
  <si>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</si>
  <si>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</si>
  <si>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</si>
  <si>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</si>
  <si>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</si>
  <si>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</si>
  <si>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</si>
  <si>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</si>
  <si>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</si>
  <si>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</si>
  <si>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</si>
  <si>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</si>
  <si>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</si>
  <si>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</si>
  <si>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</si>
  <si>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</si>
  <si>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</si>
  <si>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</si>
  <si>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</si>
  <si>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</si>
  <si>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</si>
  <si>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</si>
  <si>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</si>
  <si>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</si>
  <si>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</si>
  <si>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</si>
  <si>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</si>
  <si>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</si>
  <si>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</si>
  <si>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</si>
  <si>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</si>
  <si>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</si>
  <si>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</si>
  <si>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</si>
  <si>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</si>
  <si>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</si>
  <si>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</si>
  <si>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</si>
  <si>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</si>
  <si>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</si>
  <si>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</si>
  <si>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</si>
  <si>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</si>
  <si>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</si>
  <si>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</si>
  <si>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</si>
  <si>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</si>
  <si>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</si>
  <si>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</si>
  <si>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</si>
  <si>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</si>
  <si>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</si>
  <si>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</si>
  <si>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</si>
  <si>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</si>
  <si>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</si>
  <si>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</si>
  <si>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</si>
  <si>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</si>
  <si>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</si>
  <si>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</si>
  <si>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</si>
  <si>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</si>
  <si>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</si>
  <si>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</si>
  <si>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</si>
  <si>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</si>
  <si>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</si>
  <si>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</si>
  <si>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</si>
  <si>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</si>
  <si>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</si>
  <si>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</si>
  <si>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</si>
  <si>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</si>
  <si>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</si>
  <si>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</si>
  <si>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</si>
  <si>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</si>
  <si>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</si>
  <si>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</si>
  <si>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</si>
  <si>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</si>
  <si>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</si>
  <si>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</si>
  <si>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</si>
  <si>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</si>
  <si>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</si>
  <si>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</si>
  <si>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</si>
  <si>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</si>
  <si>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</si>
  <si>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</si>
  <si>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</si>
  <si>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</si>
  <si>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</si>
  <si>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</si>
  <si>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</si>
  <si>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</si>
  <si>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</si>
  <si>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</si>
  <si>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</si>
  <si>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</si>
  <si>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</si>
  <si>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</si>
  <si>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</si>
  <si>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</si>
  <si>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</si>
  <si>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</si>
  <si>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</si>
  <si>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</si>
  <si>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</si>
  <si>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</si>
  <si>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</si>
  <si>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</si>
  <si>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</si>
  <si>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</si>
  <si>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</si>
  <si>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</si>
  <si>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</si>
  <si>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</si>
  <si>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</si>
  <si>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</si>
  <si>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</si>
  <si>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</si>
  <si>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</si>
  <si>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</si>
  <si>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</si>
  <si>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</si>
  <si>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</si>
  <si>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</si>
  <si>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</si>
  <si>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</si>
  <si>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</si>
  <si>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</si>
  <si>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</si>
  <si>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</si>
  <si>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</si>
  <si>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</si>
  <si>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</si>
  <si>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</si>
  <si>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</si>
  <si>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</si>
  <si>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</si>
  <si>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</si>
  <si>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</si>
  <si>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</si>
  <si>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</si>
  <si>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</si>
  <si>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</si>
  <si>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</si>
  <si>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</si>
  <si>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</si>
  <si>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</si>
  <si>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</si>
  <si>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</si>
  <si>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</si>
  <si>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</si>
  <si>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</si>
  <si>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</si>
  <si>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</si>
  <si>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</si>
  <si>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</si>
  <si>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</si>
  <si>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</si>
  <si>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</si>
  <si>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</si>
  <si>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</si>
  <si>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</si>
  <si>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</si>
  <si>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</si>
  <si>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</si>
  <si>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</si>
  <si>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</si>
  <si>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</si>
  <si>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</si>
  <si>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</si>
  <si>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</si>
  <si>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</si>
  <si>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</si>
  <si>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</si>
  <si>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</si>
  <si>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</si>
  <si>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</si>
  <si>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</si>
  <si>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</si>
  <si>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</si>
  <si>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</si>
  <si>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</si>
  <si>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</si>
  <si>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</si>
  <si>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</si>
  <si>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</si>
  <si>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</si>
  <si>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</si>
  <si>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</si>
  <si>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</si>
  <si>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</si>
  <si>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</si>
  <si>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</si>
  <si>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</si>
  <si>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</si>
  <si>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</si>
  <si>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</si>
  <si>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</si>
  <si>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</si>
  <si>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</si>
  <si>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</si>
  <si>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</si>
  <si>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</si>
  <si>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</si>
  <si>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</si>
  <si>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</si>
  <si>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</si>
  <si>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</si>
  <si>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</si>
  <si>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</si>
  <si>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</si>
  <si>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</si>
  <si>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</si>
  <si>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</si>
  <si>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</si>
  <si>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</si>
  <si>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</si>
  <si>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</si>
  <si>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</si>
  <si>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</si>
  <si>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</si>
  <si>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</si>
  <si>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</si>
  <si>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</si>
  <si>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</si>
  <si>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</si>
  <si>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</si>
  <si>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</si>
  <si>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</si>
  <si>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</si>
  <si>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</si>
  <si>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</si>
  <si>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</si>
  <si>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</si>
  <si>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</si>
  <si>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</si>
  <si>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</si>
  <si>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</si>
  <si>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</si>
  <si>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</si>
  <si>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</si>
  <si>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</si>
  <si>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</si>
  <si>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</si>
  <si>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</si>
  <si>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</si>
  <si>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</si>
  <si>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</si>
  <si>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</si>
  <si>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</si>
  <si>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</si>
  <si>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</si>
  <si>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</si>
  <si>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</si>
  <si>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</si>
  <si>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</si>
  <si>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</si>
  <si>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</si>
  <si>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</si>
  <si>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</si>
  <si>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</si>
  <si>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</si>
  <si>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</si>
  <si>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</si>
  <si>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</si>
  <si>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</si>
  <si>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</si>
  <si>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</si>
  <si>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</si>
  <si>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</si>
  <si>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</si>
  <si>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</si>
  <si>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</si>
  <si>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</si>
  <si>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</si>
  <si>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</si>
  <si>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</si>
  <si>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</si>
  <si>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</si>
  <si>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</si>
  <si>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</si>
  <si>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</si>
  <si>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</si>
  <si>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</si>
  <si>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</si>
  <si>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</si>
  <si>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</si>
  <si>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</si>
  <si>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</si>
  <si>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</si>
  <si>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</si>
  <si>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</si>
  <si>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</si>
  <si>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</si>
  <si>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</si>
  <si>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</si>
  <si>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</si>
  <si>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</si>
  <si>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</si>
  <si>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</si>
  <si>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</si>
  <si>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</si>
  <si>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</si>
  <si>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</si>
  <si>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</si>
  <si>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</si>
  <si>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</si>
  <si>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</si>
  <si>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</si>
  <si>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</si>
  <si>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</si>
  <si>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</si>
  <si>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</si>
  <si>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</si>
  <si>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</si>
  <si>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</si>
  <si>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</si>
  <si>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</si>
  <si>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</si>
  <si>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</si>
  <si>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</si>
  <si>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</si>
  <si>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</si>
  <si>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</si>
  <si>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</si>
  <si>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</si>
  <si>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</si>
  <si>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</si>
  <si>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</si>
  <si>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</si>
  <si>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</si>
  <si>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</si>
  <si>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</si>
  <si>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</si>
  <si>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</si>
  <si>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</si>
  <si>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</si>
  <si>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</si>
  <si>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</si>
  <si>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</si>
  <si>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</si>
  <si>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</si>
  <si>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</si>
  <si>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</si>
  <si>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</si>
  <si>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</si>
  <si>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</si>
  <si>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</si>
  <si>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</si>
  <si>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</si>
  <si>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</si>
  <si>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</si>
  <si>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</si>
  <si>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</si>
  <si>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</si>
  <si>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</si>
  <si>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</si>
  <si>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</si>
  <si>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</si>
  <si>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</si>
  <si>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</si>
  <si>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</si>
  <si>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</si>
  <si>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</si>
  <si>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</si>
  <si>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</si>
  <si>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</si>
  <si>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</si>
  <si>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</si>
  <si>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</si>
  <si>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</si>
  <si>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</si>
  <si>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</si>
  <si>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</si>
  <si>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</si>
  <si>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</si>
  <si>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</si>
  <si>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</si>
  <si>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</si>
  <si>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</si>
  <si>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</si>
  <si>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</si>
  <si>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</si>
  <si>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</si>
  <si>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</si>
  <si>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</si>
  <si>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</si>
  <si>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</si>
  <si>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</si>
  <si>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</si>
  <si>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</si>
  <si>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</si>
  <si>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</si>
  <si>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</si>
  <si>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</si>
  <si>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</si>
  <si>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</si>
  <si>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</si>
  <si>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</si>
  <si>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</si>
  <si>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</si>
  <si>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</si>
  <si>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</si>
  <si>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</si>
  <si>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</si>
  <si>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</si>
  <si>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</si>
  <si>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</si>
  <si>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</si>
  <si>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</si>
  <si>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</si>
  <si>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</si>
  <si>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</si>
  <si>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</si>
  <si>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</si>
  <si>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</si>
  <si>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</si>
  <si>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</si>
  <si>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</si>
  <si>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</si>
  <si>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</si>
  <si>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</si>
  <si>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</si>
  <si>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</si>
  <si>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</si>
  <si>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</si>
  <si>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</si>
  <si>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</si>
  <si>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</si>
  <si>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</si>
  <si>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</si>
  <si>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</si>
  <si>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</si>
  <si>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</si>
  <si>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</si>
  <si>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</si>
  <si>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</si>
  <si>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</si>
  <si>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</si>
  <si>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</si>
  <si>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</si>
  <si>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</si>
  <si>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</si>
  <si>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</si>
  <si>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</si>
  <si>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</si>
  <si>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</si>
  <si>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</si>
  <si>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</si>
  <si>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</si>
  <si>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</si>
  <si>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</si>
  <si>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</si>
  <si>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</si>
  <si>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</si>
  <si>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</si>
  <si>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</si>
  <si>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</si>
  <si>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</si>
  <si>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</si>
  <si>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</si>
  <si>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</si>
  <si>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</si>
  <si>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</si>
  <si>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</si>
  <si>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</si>
  <si>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</si>
  <si>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</si>
  <si>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</si>
  <si>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</si>
  <si>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</si>
  <si>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</si>
  <si>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</si>
  <si>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</si>
  <si>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</si>
  <si>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</si>
  <si>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</si>
  <si>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</si>
  <si>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</si>
  <si>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</si>
  <si>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</si>
  <si>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</si>
  <si>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</si>
  <si>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</si>
  <si>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</si>
  <si>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</si>
  <si>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</si>
  <si>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</si>
  <si>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</si>
  <si>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</si>
  <si>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</si>
  <si>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</si>
  <si>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</si>
  <si>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</si>
  <si>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</si>
  <si>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</si>
  <si>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</si>
  <si>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</si>
  <si>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</si>
  <si>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</si>
  <si>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</si>
  <si>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</si>
  <si>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</si>
  <si>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</si>
  <si>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</si>
  <si>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</si>
  <si>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</si>
  <si>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</si>
  <si>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</si>
  <si>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</si>
  <si>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</si>
  <si>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</si>
  <si>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</si>
  <si>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</si>
  <si>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</si>
  <si>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</si>
  <si>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</si>
  <si>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</si>
  <si>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</si>
  <si>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</si>
  <si>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</si>
  <si>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</si>
  <si>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</si>
  <si>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</si>
  <si>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</si>
  <si>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</si>
  <si>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</si>
  <si>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</si>
  <si>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</si>
  <si>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</si>
  <si>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</si>
  <si>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</si>
  <si>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</si>
  <si>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</si>
  <si>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</si>
  <si>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</si>
  <si>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</si>
  <si>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</si>
  <si>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</si>
  <si>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</si>
  <si>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</si>
  <si>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</si>
  <si>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</si>
  <si>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</si>
  <si>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</si>
  <si>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</si>
  <si>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</si>
  <si>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</si>
  <si>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</si>
  <si>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</si>
  <si>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</si>
  <si>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</si>
  <si>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</si>
  <si>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</si>
  <si>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</si>
  <si>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</si>
  <si>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</si>
  <si>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</si>
  <si>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</si>
  <si>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</si>
  <si>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</si>
  <si>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</si>
  <si>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</si>
  <si>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</si>
  <si>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</si>
  <si>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</si>
  <si>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</si>
  <si>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</si>
  <si>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</si>
  <si>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</si>
  <si>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</si>
  <si>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</si>
  <si>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</si>
  <si>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</si>
  <si>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</si>
  <si>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</si>
  <si>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</si>
  <si>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</si>
  <si>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</si>
  <si>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</si>
  <si>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</si>
  <si>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</si>
  <si>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</si>
  <si>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</si>
  <si>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</si>
  <si>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</si>
  <si>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</si>
  <si>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</si>
  <si>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</si>
  <si>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</si>
  <si>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</si>
  <si>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</si>
  <si>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</si>
  <si>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</si>
  <si>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</si>
  <si>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</si>
  <si>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</si>
  <si>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</si>
  <si>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</si>
  <si>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</si>
  <si>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</si>
  <si>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</si>
  <si>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</si>
  <si>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</si>
  <si>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</si>
  <si>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</si>
  <si>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</si>
  <si>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</si>
  <si>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</si>
  <si>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</si>
  <si>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</si>
  <si>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</si>
  <si>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</si>
  <si>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</si>
  <si>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</si>
  <si>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</si>
  <si>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</si>
  <si>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</si>
  <si>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</si>
  <si>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</si>
  <si>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</si>
  <si>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</si>
  <si>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</si>
  <si>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</si>
  <si>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</si>
  <si>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</si>
  <si>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</si>
  <si>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</si>
  <si>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</si>
  <si>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</si>
  <si>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</si>
  <si>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</si>
  <si>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</si>
  <si>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</si>
  <si>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</si>
  <si>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</si>
  <si>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</si>
  <si>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</si>
  <si>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</si>
  <si>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</si>
  <si>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</si>
  <si>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</si>
  <si>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</si>
  <si>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</si>
  <si>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</si>
  <si>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</si>
  <si>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</si>
  <si>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</si>
  <si>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</si>
  <si>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</si>
  <si>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</si>
  <si>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</si>
  <si>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</si>
  <si>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</si>
  <si>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</si>
  <si>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</si>
  <si>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</si>
  <si>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</si>
  <si>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</si>
  <si>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</si>
  <si>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</si>
  <si>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</si>
  <si>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</si>
  <si>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</si>
  <si>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</si>
  <si>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</si>
  <si>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</si>
  <si>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</si>
  <si>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</si>
  <si>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</si>
  <si>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</si>
  <si>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</si>
  <si>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</si>
  <si>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</si>
  <si>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</si>
  <si>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</si>
  <si>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</si>
  <si>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</si>
  <si>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</si>
  <si>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</si>
  <si>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</si>
  <si>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</si>
  <si>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</si>
  <si>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</si>
  <si>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</si>
  <si>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</si>
  <si>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</si>
  <si>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</si>
  <si>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</si>
  <si>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</si>
  <si>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</si>
  <si>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</si>
  <si>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</si>
  <si>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</si>
  <si>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</si>
  <si>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</si>
  <si>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</si>
  <si>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</si>
  <si>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</si>
  <si>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</si>
  <si>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</si>
  <si>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</si>
  <si>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</si>
  <si>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</si>
  <si>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</si>
  <si>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</si>
  <si>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</si>
  <si>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</si>
  <si>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</si>
  <si>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</si>
  <si>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</si>
  <si>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</si>
  <si>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</si>
  <si>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</si>
  <si>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</si>
  <si>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</si>
  <si>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</si>
  <si>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</si>
  <si>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</si>
  <si>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</si>
  <si>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</si>
  <si>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</si>
  <si>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</si>
  <si>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</si>
  <si>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</si>
  <si>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</si>
  <si>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Sum of Quantity</t>
  </si>
  <si>
    <t>Sum of Amount</t>
  </si>
  <si>
    <t>Row Labels</t>
  </si>
  <si>
    <t>Grand Total</t>
  </si>
  <si>
    <t>Count of TX ID</t>
  </si>
  <si>
    <t>Average of Rating C</t>
  </si>
  <si>
    <t>Average of Days to Deliver</t>
  </si>
  <si>
    <t>Order Count</t>
  </si>
  <si>
    <t>Avg.Rating</t>
  </si>
  <si>
    <t>Avg.Delivery Rate</t>
  </si>
  <si>
    <t>Column Labels</t>
  </si>
  <si>
    <t>Female</t>
  </si>
  <si>
    <t>Male</t>
  </si>
  <si>
    <t>Other</t>
  </si>
  <si>
    <t>Unknown</t>
  </si>
  <si>
    <t>6-10</t>
  </si>
  <si>
    <t>More than 10</t>
  </si>
  <si>
    <t>(blank)</t>
  </si>
  <si>
    <t>Jan</t>
  </si>
  <si>
    <t>Feb</t>
  </si>
  <si>
    <t>Mar</t>
  </si>
  <si>
    <t>Count of County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</si>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</sst>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5"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5"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165" fontId="0" fillId="0" borderId="0" xfId="1" applyNumberFormat="1" applyFont="1" applyBorder="1"/>
    <xf numFmtId="165" fontId="0" fillId="0" borderId="5" xfId="1" applyNumberFormat="1" applyFont="1" applyBorder="1"/>
    <xf numFmtId="0" fontId="0" fillId="0" borderId="6" xfId="0" applyBorder="1"/>
    <xf numFmtId="165" fontId="0" fillId="0" borderId="7" xfId="1" applyNumberFormat="1" applyFont="1" applyBorder="1"/>
    <xf numFmtId="165" fontId="0" fillId="0" borderId="8" xfId="1" applyNumberFormat="1" applyFont="1" applyBorder="1"/>
    <xf numFmtId="0" fontId="2" fillId="3" borderId="9" xfId="0" applyFont="1" applyFill="1" applyBorder="1"/>
    <xf numFmtId="0" fontId="2" fillId="0" borderId="9" xfId="0" applyFont="1" applyBorder="1"/>
    <xf numFmtId="0" fontId="2" fillId="0" borderId="0" xfId="0" applyFont="1"/>
    <xf numFmtId="165" fontId="0" fillId="0" borderId="0" xfId="0" applyNumberFormat="1"/>
    <xf numFmtId="0" fontId="0" fillId="0" borderId="0" xfId="0" applyNumberFormat="1"/>
  </cellXfs>
  <cellStyles count="2">
    <cellStyle name="Normal" xfId="0" builtinId="0"/>
    <cellStyle name="Percent" xfId="1" builtinId="5"/>
  </cellStyles>
  <dxfs count="10">
    <dxf>
      <font>
        <color theme="0"/>
      </font>
      <fill>
        <patternFill patternType="solid">
          <fgColor theme="4"/>
          <bgColor theme="1"/>
        </patternFill>
      </fill>
      <border>
        <left style="thin">
          <color auto="1"/>
        </left>
        <right style="thin">
          <color auto="1"/>
        </right>
        <top style="thin">
          <color auto="1"/>
        </top>
        <bottom style="thin">
          <color auto="1"/>
        </bottom>
      </border>
    </dxf>
    <dxf>
      <font>
        <color theme="0"/>
      </font>
      <fill>
        <patternFill>
          <fgColor theme="4"/>
          <bgColor theme="1"/>
        </patternFill>
      </fill>
      <border diagonalUp="0" diagonalDown="0">
        <left/>
        <right/>
        <top/>
        <bottom/>
        <vertical/>
        <horizontal/>
      </border>
    </dxf>
    <dxf>
      <fill>
        <patternFill>
          <bgColor theme="1"/>
        </patternFill>
      </fill>
    </dxf>
    <dxf>
      <numFmt numFmtId="165" formatCode="0.0%"/>
    </dxf>
    <dxf>
      <numFmt numFmtId="0" formatCode="General"/>
    </dxf>
    <dxf>
      <numFmt numFmtId="0" formatCode="General"/>
    </dxf>
    <dxf>
      <numFmt numFmtId="0" formatCode="General"/>
    </dxf>
    <dxf>
      <numFmt numFmtId="166" formatCode="d\-mmm\-yy"/>
    </dxf>
    <dxf>
      <numFmt numFmtId="166" formatCode="d\-mmm\-yy"/>
    </dxf>
    <dxf>
      <fill>
        <patternFill>
          <bgColor theme="1"/>
        </patternFill>
      </fill>
    </dxf>
  </dxfs>
  <tableStyles count="7" defaultTableStyle="TableStyleMedium2" defaultPivotStyle="PivotStyleLight16">
    <tableStyle name="Slicer Style 1" pivot="0" table="0" count="1" xr9:uid="{FB921D55-E1A0-4B3A-9771-5BAA4B0A8E62}">
      <tableStyleElement type="wholeTable" dxfId="9"/>
    </tableStyle>
    <tableStyle name="Slicer Style 2" pivot="0" table="0" count="1" xr9:uid="{89FE9F64-9BC4-4DC5-8FEF-0C763DB46FCA}">
      <tableStyleElement type="headerRow" dxfId="2"/>
    </tableStyle>
    <tableStyle name="Slicer Style 3" pivot="0" table="0" count="1" xr9:uid="{5484A3D6-6C75-4FAB-8A3B-A1832F7197F2}"/>
    <tableStyle name="Slicer Style 4" pivot="0" table="0" count="1" xr9:uid="{0DF67B5E-66BA-4741-AA9E-33AF83D17D98}"/>
    <tableStyle name="Slicer Style 5" pivot="0" table="0" count="1" xr9:uid="{A5E7992F-B587-4BA7-959B-9989726FE5A1}"/>
    <tableStyle name="Slicer Style 6" pivot="0" table="0" count="1" xr9:uid="{3570E271-BBFA-4355-B242-BB105FEA36B5}">
      <tableStyleElement type="wholeTable" dxfId="1"/>
    </tableStyle>
    <tableStyle name="Slicer Style 7" pivot="0" table="0" count="1" xr9:uid="{AD463D20-D756-4925-B978-F6C07D3E8DEA}">
      <tableStyleElement type="wholeTable" dxfId="0"/>
    </tableStyle>
  </tableStyles>
  <colors>
    <mruColors>
      <color rgb="FF549E39"/>
      <color rgb="FFFFD700"/>
      <color rgb="FFCA0692"/>
      <color rgb="FFCCCCFF"/>
    </mruColors>
  </colors>
  <extLst>
    <ext xmlns:x14="http://schemas.microsoft.com/office/spreadsheetml/2009/9/main" uri="{46F421CA-312F-682f-3DD2-61675219B42D}">
      <x14:dxfs count="3">
        <dxf>
          <font>
            <color theme="0"/>
          </font>
        </dxf>
        <dxf>
          <fill>
            <patternFill>
              <bgColor theme="1"/>
            </patternFill>
          </fill>
          <border diagonalDown="1">
            <diagonal style="thin">
              <color auto="1"/>
            </diagonal>
          </border>
        </dxf>
        <dxf>
          <fill>
            <patternFill>
              <bgColor theme="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2"/>
          </x14:slicerStyleElements>
        </x14:slicerStyle>
        <x14:slicerStyle name="Slicer Style 4">
          <x14:slicerStyleElements>
            <x14:slicerStyleElement type="selectedItemWithData" dxfId="1"/>
          </x14:slicerStyleElements>
        </x14:slicerStyle>
        <x14:slicerStyle name="Slicer Style 5">
          <x14:slicerStyleElements>
            <x14:slicerStyleElement type="selectedItemWithData" dxfId="0"/>
          </x14:slicerStyleElements>
        </x14:slicerStyle>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[Project.xlsx]Pivot!PivotTable4</c:name>
    <c:fmtId val="30"/>
  </c:pivotSource>
  <c:chart>
    <c:title>
      <c:tx>
        <c:rich>
          <a:bodyPr/>
          <a:lstStyle/>
          <a:p>
            <a:pPr>
              <a:defRPr sz="1800" b="1">
                <a:solidFill>
                  <a:sysClr val="windowText" lastClr="000000"/>
                </a:solidFill>
              </a:defRPr>
            </a:pPr>
            <a:r>
              <a:rPr lang="en-IN" sz="1800" b="1">
                <a:solidFill>
                  <a:sysClr val="windowText" lastClr="000000"/>
                </a:solidFill>
              </a:rPr>
              <a:t>Last 13 Week Trend</a:t>
            </a:r>
          </a:p>
        </c:rich>
      </c:tx>
      <c:overlay val="0"/>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8"/>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9"/>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10"/>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11"/>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12"/>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13"/>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14"/>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15"/>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16"/>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17"/>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18"/>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19"/>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20"/>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21"/>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22"/>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23"/>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24"/>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25"/>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26"/>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27"/>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28"/>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29"/>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30"/>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31"/>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32"/>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delete val="1"/>
          <c:extLst>
            <c:ext xmlns:c15="http://schemas.microsoft.com/office/drawing/2012/chart" uri="{CE6537A1-D6FC-4f65-9D91-7224C49458BB}"/>
          </c:extLst>
        </c:dLbl>
      </c:pivotFmt>
      <c:pivotFmt>
        <c:idx val="33"/>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s>
    <c:plotArea>
      <c:layout/>
      <c:lineChart>
        <c:grouping val="standard"/>
        <c:varyColors val="0"/>
        <c:ser>
          <c:idx val="1"/>
          <c:order val="1"/>
          <c:tx>
            <c:strRef>
              <c:f>Pivot!$C$12</c:f>
              <c:strCache>
                <c:ptCount val="1"/>
                <c:pt idx="0">
                  <c:v>Sum of Amount</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Pivot!$A$13:$A$26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Pivot!$C$13:$C$26</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979C-4F99-AF16-C069E1938BD0}"/>
            </c:ext>
          </c:extLst>
        </c:ser>
        <c:dLbls>
          <c:showLegendKey val="0"/>
          <c:showVal val="0"/>
          <c:showCatName val="0"/>
          <c:showSerName val="0"/>
          <c:showPercent val="0"/>
          <c:showBubbleSize val="0"/>
        </c:dLbls>
        <c:marker val="1"/>
        <c:smooth val="0"/>
        <c:axId val="1016826160"/>
        <c:axId val="1016824720"/>
      </c:lineChart>
      <c:lineChart>
        <c:grouping val="standard"/>
        <c:varyColors val="0"/>
        <c:ser>
          <c:idx val="0"/>
          <c:order val="0"/>
          <c:tx>
            <c:strRef>
              <c:f>Pivot!$B$12</c:f>
              <c:strCache>
                <c:ptCount val="1"/>
                <c:pt idx="0">
                  <c:v>Sum of Quantity</c:v>
                </c:pt>
              </c:strCache>
            </c:strRef>
          </c:tx>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cat>
            <c:strRef>
              <c:f>Pivot!$A$13:$A$26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Pivot!$B$13:$B$26</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979C-4F99-AF16-C069E1938BD0}"/>
            </c:ext>
          </c:extLst>
        </c:ser>
        <c:dLbls>
          <c:showLegendKey val="0"/>
          <c:showVal val="0"/>
          <c:showCatName val="0"/>
          <c:showSerName val="0"/>
          <c:showPercent val="0"/>
          <c:showBubbleSize val="0"/>
        </c:dLbls>
        <c:marker val="1"/>
        <c:smooth val="0"/>
        <c:axId val="1427748304"/>
        <c:axId val="1427728624"/>
      </c:lineChart>
      <c:catAx>
        <c:axId val="101682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016824720"/>
        <c:crosses val="autoZero"/>
        <c:auto val="1"/>
        <c:lblAlgn val="ctr"/>
        <c:lblOffset val="100"/>
        <c:noMultiLvlLbl val="0"/>
      </c:catAx>
      <c:valAx>
        <c:axId val="1016824720"/>
        <c:scaling>
          <c:orientation val="minMax"/>
        </c:scaling>
        <c:delete val="0"/>
        <c:axPos val="l"/>
        <c:title>
          <c:tx>
            <c:rich>
              <a:bodyPr/>
              <a:lstStyle/>
              <a:p>
                <a:pPr>
                  <a:defRPr/>
                </a:pPr>
                <a:r>
                  <a:rPr lang="en-IN"/>
                  <a:t>Total Revenue</a:t>
                </a:r>
              </a:p>
            </c:rich>
          </c:tx>
          <c:overlay val="0"/>
        </c:title>
        <c:numFmt formatCode="[$$-409]#,##0" sourceLinked="1"/>
        <c:majorTickMark val="none"/>
        <c:minorTickMark val="none"/>
        <c:tickLblPos val="nextTo"/>
        <c:spPr>
          <a:noFill/>
          <a:ln>
            <a:noFill/>
          </a:ln>
          <a:effectLst/>
        </c:spPr>
        <c:txPr>
          <a:bodyPr rot="-60000000" vert="horz"/>
          <a:lstStyle/>
          <a:p>
            <a:pPr>
              <a:defRPr/>
            </a:pPr>
            <a:endParaRPr lang="en-US"/>
          </a:p>
        </c:txPr>
        <c:crossAx val="1016826160"/>
        <c:crosses val="autoZero"/>
        <c:crossBetween val="between"/>
      </c:valAx>
      <c:valAx>
        <c:axId val="1427728624"/>
        <c:scaling>
          <c:orientation val="minMax"/>
        </c:scaling>
        <c:delete val="0"/>
        <c:axPos val="r"/>
        <c:title>
          <c:tx>
            <c:rich>
              <a:bodyPr/>
              <a:lstStyle/>
              <a:p>
                <a:pPr>
                  <a:defRPr/>
                </a:pPr>
                <a:r>
                  <a:rPr lang="en-IN"/>
                  <a:t>Quantity</a:t>
                </a:r>
              </a:p>
            </c:rich>
          </c:tx>
          <c:overlay val="0"/>
        </c:title>
        <c:numFmt formatCode="General" sourceLinked="1"/>
        <c:majorTickMark val="none"/>
        <c:minorTickMark val="none"/>
        <c:tickLblPos val="nextTo"/>
        <c:spPr>
          <a:noFill/>
          <a:ln>
            <a:noFill/>
          </a:ln>
          <a:effectLst/>
        </c:spPr>
        <c:txPr>
          <a:bodyPr rot="-60000000" vert="horz"/>
          <a:lstStyle/>
          <a:p>
            <a:pPr>
              <a:defRPr/>
            </a:pPr>
            <a:endParaRPr lang="en-US"/>
          </a:p>
        </c:txPr>
        <c:crossAx val="1427748304"/>
        <c:crosses val="max"/>
        <c:crossBetween val="between"/>
      </c:valAx>
      <c:catAx>
        <c:axId val="1427748304"/>
        <c:scaling>
          <c:orientation val="minMax"/>
        </c:scaling>
        <c:delete val="1"/>
        <c:axPos val="b"/>
        <c:numFmt formatCode="General" sourceLinked="1"/>
        <c:majorTickMark val="none"/>
        <c:minorTickMark val="none"/>
        <c:tickLblPos val="nextTo"/>
        <c:crossAx val="1427728624"/>
        <c:crosses val="autoZero"/>
        <c:auto val="1"/>
        <c:lblAlgn val="ctr"/>
        <c:lblOffset val="100"/>
        <c:noMultiLvlLbl val="0"/>
      </c:catAx>
      <c:spPr>
        <a:noFill/>
      </c:spPr>
    </c:plotArea>
    <c:plotVisOnly val="1"/>
    <c:dispBlanksAs val="gap"/>
    <c:showDLblsOverMax val="0"/>
    <c:extLst/>
  </c:chart>
  <c:spPr>
    <a:solidFill>
      <a:schemeClr val="bg2"/>
    </a:solidFill>
    <a:ln>
      <a:solidFill>
        <a:schemeClr val="bg1">
          <a:lumMod val="95000"/>
        </a:schemeClr>
      </a:solidFill>
    </a:ln>
  </c:spPr>
  <c:txPr>
    <a:bodyPr/>
    <a:lstStyle/>
    <a:p>
      <a:pPr>
        <a:defRPr sz="1050" b="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[Project.xlsx]Pivot!PivotTable7</c:name>
    <c:fmtId val="13"/>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IN" sz="1800" b="1"/>
              <a:t>Distribution of Items Per Order</a:t>
            </a:r>
          </a:p>
        </c:rich>
      </c:tx>
      <c:layout>
        <c:manualLayout>
          <c:xMode val="edge"/>
          <c:yMode val="edge"/>
          <c:x val="0.18933268267527228"/>
          <c:y val="3.828827215390015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6350">
            <a:solidFill>
              <a:schemeClr val="bg1">
                <a:lumMod val="95000"/>
              </a:schemeClr>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087847903138563E-2"/>
          <c:y val="0.26374409345159494"/>
          <c:w val="0.88391217727712679"/>
          <c:h val="0.53146826090714139"/>
        </c:manualLayout>
      </c:layout>
      <c:barChart>
        <c:barDir val="col"/>
        <c:grouping val="clustered"/>
        <c:varyColors val="0"/>
        <c:ser>
          <c:idx val="0"/>
          <c:order val="0"/>
          <c:tx>
            <c:strRef>
              <c:f>Pivot!$B$55</c:f>
              <c:strCache>
                <c:ptCount val="1"/>
                <c:pt idx="0">
                  <c:v>Total</c:v>
                </c:pt>
              </c:strCache>
            </c:strRef>
          </c:tx>
          <c:spPr>
            <a:solidFill>
              <a:schemeClr val="accent1"/>
            </a:solidFill>
            <a:ln w="6350">
              <a:solidFill>
                <a:schemeClr val="bg1">
                  <a:lumMod val="9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Pivot!$A$56:$A$63</c:f>
              <c:strCache>
                <c:ptCount val="7"/>
                <c:pt idx="0">
                  <c:v>1</c:v>
                </c:pt>
                <c:pt idx="1">
                  <c:v>2</c:v>
                </c:pt>
                <c:pt idx="2">
                  <c:v>3</c:v>
                </c:pt>
                <c:pt idx="3">
                  <c:v>4</c:v>
                </c:pt>
                <c:pt idx="4">
                  <c:v>5</c:v>
                </c:pt>
                <c:pt idx="5">
                  <c:v>6-10</c:v>
                </c:pt>
                <c:pt idx="6">
                  <c:v>More than 10</c:v>
                </c:pt>
              </c:strCache>
            </c:strRef>
          </c:cat>
          <c:val>
            <c:numRef>
              <c:f>Pivot!$B$56:$B$63</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6F9C-4E90-AFE8-3EDF84648E3D}"/>
            </c:ext>
          </c:extLst>
        </c:ser>
        <c:dLbls>
          <c:dLblPos val="outEnd"/>
          <c:showLegendKey val="0"/>
          <c:showVal val="1"/>
          <c:showCatName val="0"/>
          <c:showSerName val="0"/>
          <c:showPercent val="0"/>
          <c:showBubbleSize val="0"/>
        </c:dLbls>
        <c:gapWidth val="59"/>
        <c:overlap val="-27"/>
        <c:axId val="1427770864"/>
        <c:axId val="1427762224"/>
      </c:barChart>
      <c:catAx>
        <c:axId val="142777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27762224"/>
        <c:crosses val="autoZero"/>
        <c:auto val="1"/>
        <c:lblAlgn val="ctr"/>
        <c:lblOffset val="100"/>
        <c:noMultiLvlLbl val="0"/>
      </c:catAx>
      <c:valAx>
        <c:axId val="142776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2777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[Project.xlsx]Pivot!PivotTable9</c:name>
    <c:fmtId val="11"/>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IN" sz="1800" b="1"/>
              <a:t>Top Products Sold </a:t>
            </a:r>
          </a:p>
        </c:rich>
      </c:tx>
      <c:layout>
        <c:manualLayout>
          <c:xMode val="edge"/>
          <c:yMode val="edge"/>
          <c:x val="0.29802777777777772"/>
          <c:y val="6.7300082323368416E-3"/>
        </c:manualLayout>
      </c:layout>
      <c:overlay val="1"/>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22222222222219E-2"/>
          <c:y val="0.17783586733535403"/>
          <c:w val="0.72095275590551178"/>
          <c:h val="0.80106679350623999"/>
        </c:manualLayout>
      </c:layout>
      <c:barChart>
        <c:barDir val="bar"/>
        <c:grouping val="stacked"/>
        <c:varyColors val="0"/>
        <c:ser>
          <c:idx val="0"/>
          <c:order val="0"/>
          <c:tx>
            <c:strRef>
              <c:f>Pivot!$B$68:$B$69</c:f>
              <c:strCache>
                <c:ptCount val="1"/>
                <c:pt idx="0">
                  <c:v>Female</c:v>
                </c:pt>
              </c:strCache>
            </c:strRef>
          </c:tx>
          <c:spPr>
            <a:solidFill>
              <a:schemeClr val="accent1"/>
            </a:solidFill>
            <a:ln>
              <a:noFill/>
            </a:ln>
            <a:effectLst/>
          </c:spPr>
          <c:invertIfNegative val="0"/>
          <c:cat>
            <c:strRef>
              <c:f>Pivot!$A$70:$A$90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Pivot!$B$70:$B$90</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47BF-415F-B1C2-61C98ECBBE52}"/>
            </c:ext>
          </c:extLst>
        </c:ser>
        <c:ser>
          <c:idx val="1"/>
          <c:order val="1"/>
          <c:tx>
            <c:strRef>
              <c:f>Pivot!$C$68:$C$69</c:f>
              <c:strCache>
                <c:ptCount val="1"/>
                <c:pt idx="0">
                  <c:v>Male</c:v>
                </c:pt>
              </c:strCache>
            </c:strRef>
          </c:tx>
          <c:spPr>
            <a:solidFill>
              <a:schemeClr val="accent2"/>
            </a:solidFill>
            <a:ln>
              <a:noFill/>
            </a:ln>
            <a:effectLst/>
          </c:spPr>
          <c:invertIfNegative val="0"/>
          <c:cat>
            <c:strRef>
              <c:f>Pivot!$A$70:$A$90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Pivot!$C$70:$C$90</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8-47BF-415F-B1C2-61C98ECBBE52}"/>
            </c:ext>
          </c:extLst>
        </c:ser>
        <c:ser>
          <c:idx val="2"/>
          <c:order val="2"/>
          <c:tx>
            <c:strRef>
              <c:f>Pivot!$D$68:$D$69</c:f>
              <c:strCache>
                <c:ptCount val="1"/>
                <c:pt idx="0">
                  <c:v>Other</c:v>
                </c:pt>
              </c:strCache>
            </c:strRef>
          </c:tx>
          <c:spPr>
            <a:solidFill>
              <a:schemeClr val="accent3"/>
            </a:solidFill>
            <a:ln>
              <a:noFill/>
            </a:ln>
            <a:effectLst/>
          </c:spPr>
          <c:invertIfNegative val="0"/>
          <c:cat>
            <c:strRef>
              <c:f>Pivot!$A$70:$A$90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Pivot!$D$70:$D$90</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9-47BF-415F-B1C2-61C98ECBBE52}"/>
            </c:ext>
          </c:extLst>
        </c:ser>
        <c:ser>
          <c:idx val="3"/>
          <c:order val="3"/>
          <c:tx>
            <c:strRef>
              <c:f>Pivot!$E$68:$E$69</c:f>
              <c:strCache>
                <c:ptCount val="1"/>
                <c:pt idx="0">
                  <c:v>Unknown</c:v>
                </c:pt>
              </c:strCache>
            </c:strRef>
          </c:tx>
          <c:spPr>
            <a:solidFill>
              <a:schemeClr val="accent4"/>
            </a:solidFill>
            <a:ln>
              <a:noFill/>
            </a:ln>
            <a:effectLst/>
          </c:spPr>
          <c:invertIfNegative val="0"/>
          <c:cat>
            <c:strRef>
              <c:f>Pivot!$A$70:$A$90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Pivot!$E$70:$E$90</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A-47BF-415F-B1C2-61C98ECBBE52}"/>
            </c:ext>
          </c:extLst>
        </c:ser>
        <c:dLbls>
          <c:showLegendKey val="0"/>
          <c:showVal val="0"/>
          <c:showCatName val="0"/>
          <c:showSerName val="0"/>
          <c:showPercent val="0"/>
          <c:showBubbleSize val="0"/>
        </c:dLbls>
        <c:gapWidth val="25"/>
        <c:overlap val="100"/>
        <c:axId val="1427784784"/>
        <c:axId val="1427786224"/>
      </c:barChart>
      <c:catAx>
        <c:axId val="1427784784"/>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27786224"/>
        <c:crosses val="autoZero"/>
        <c:auto val="1"/>
        <c:lblAlgn val="ctr"/>
        <c:lblOffset val="100"/>
        <c:noMultiLvlLbl val="0"/>
      </c:catAx>
      <c:valAx>
        <c:axId val="142778622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2778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[Project.xlsx]Pivot!PivotTable11</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5354135710747896"/>
              <c:y val="5.5279159756771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9153046062407038E-2"/>
              <c:y val="0.12714206744057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6.4388311045071811E-2"/>
              <c:y val="-0.13266998341625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4.4576523031203567E-2"/>
              <c:y val="-0.149253731343283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9153046062407038E-2"/>
              <c:y val="0.12714206744057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354135710747896"/>
              <c:y val="5.5279159756771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4576523031203567E-2"/>
              <c:y val="-0.149253731343283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4388311045071811E-2"/>
              <c:y val="-0.13266998341625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5678081808036445"/>
              <c:y val="0.1052387110177538"/>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37594002419746"/>
                  <c:h val="0.26950432885230674"/>
                </c:manualLayout>
              </c15:layout>
            </c:ext>
          </c:extLst>
        </c:dLbl>
      </c:pivotFmt>
      <c:pivotFmt>
        <c:idx val="12"/>
        <c:spPr>
          <a:solidFill>
            <a:schemeClr val="accent1"/>
          </a:solidFill>
          <a:ln w="19050">
            <a:solidFill>
              <a:schemeClr val="lt1"/>
            </a:solidFill>
          </a:ln>
          <a:effectLst/>
        </c:spPr>
        <c:dLbl>
          <c:idx val="0"/>
          <c:layout>
            <c:manualLayout>
              <c:x val="-0.17307701043660934"/>
              <c:y val="-7.4205517019405508E-17"/>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5641038583201392"/>
              <c:y val="-0.14991185301083793"/>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602576520581726"/>
                  <c:h val="0.18716494848403115"/>
                </c:manualLayout>
              </c15:layout>
            </c:ext>
          </c:extLst>
        </c:dLbl>
      </c:pivotFmt>
      <c:pivotFmt>
        <c:idx val="14"/>
        <c:spPr>
          <a:solidFill>
            <a:schemeClr val="accent1"/>
          </a:solidFill>
          <a:ln w="19050">
            <a:solidFill>
              <a:schemeClr val="lt1"/>
            </a:solidFill>
          </a:ln>
          <a:effectLst/>
        </c:spPr>
        <c:dLbl>
          <c:idx val="0"/>
          <c:layout>
            <c:manualLayout>
              <c:x val="0.14423084203050779"/>
              <c:y val="-0.15365964933610887"/>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794889357404279"/>
                  <c:h val="0.20204399499742967"/>
                </c:manualLayout>
              </c15:layout>
            </c:ext>
          </c:extLst>
        </c:dLbl>
      </c:pivotFmt>
      <c:pivotFmt>
        <c:idx val="15"/>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5678081808036445"/>
              <c:y val="0.1052387110177538"/>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37594002419746"/>
                  <c:h val="0.26950432885230674"/>
                </c:manualLayout>
              </c15:layout>
            </c:ext>
          </c:extLst>
        </c:dLbl>
      </c:pivotFmt>
      <c:pivotFmt>
        <c:idx val="17"/>
        <c:spPr>
          <a:solidFill>
            <a:schemeClr val="accent1"/>
          </a:solidFill>
          <a:ln w="19050">
            <a:solidFill>
              <a:schemeClr val="lt1"/>
            </a:solidFill>
          </a:ln>
          <a:effectLst/>
        </c:spPr>
        <c:dLbl>
          <c:idx val="0"/>
          <c:layout>
            <c:manualLayout>
              <c:x val="-0.17307701043660934"/>
              <c:y val="-7.4205517019405508E-17"/>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5641038583201392"/>
              <c:y val="-0.14991185301083793"/>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602576520581726"/>
                  <c:h val="0.18716494848403115"/>
                </c:manualLayout>
              </c15:layout>
            </c:ext>
          </c:extLst>
        </c:dLbl>
      </c:pivotFmt>
      <c:pivotFmt>
        <c:idx val="19"/>
        <c:spPr>
          <a:solidFill>
            <a:schemeClr val="accent1"/>
          </a:solidFill>
          <a:ln w="19050">
            <a:solidFill>
              <a:schemeClr val="lt1"/>
            </a:solidFill>
          </a:ln>
          <a:effectLst/>
        </c:spPr>
        <c:dLbl>
          <c:idx val="0"/>
          <c:layout>
            <c:manualLayout>
              <c:x val="0.14423084203050779"/>
              <c:y val="-0.15365964933610887"/>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794889357404279"/>
                  <c:h val="0.20204399499742967"/>
                </c:manualLayout>
              </c15:layout>
            </c:ext>
          </c:extLst>
        </c:dLbl>
      </c:pivotFmt>
      <c:pivotFmt>
        <c:idx val="2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5678081808036445"/>
              <c:y val="0.1052387110177538"/>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37594002419746"/>
                  <c:h val="0.26950432885230674"/>
                </c:manualLayout>
              </c15:layout>
            </c:ext>
          </c:extLst>
        </c:dLbl>
      </c:pivotFmt>
      <c:pivotFmt>
        <c:idx val="22"/>
        <c:spPr>
          <a:solidFill>
            <a:schemeClr val="accent1"/>
          </a:solidFill>
          <a:ln w="19050">
            <a:solidFill>
              <a:schemeClr val="lt1"/>
            </a:solidFill>
          </a:ln>
          <a:effectLst/>
        </c:spPr>
        <c:dLbl>
          <c:idx val="0"/>
          <c:layout>
            <c:manualLayout>
              <c:x val="-0.17307701043660934"/>
              <c:y val="-7.4205517019405508E-17"/>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25641038583201392"/>
              <c:y val="-0.14991185301083793"/>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602576520581726"/>
                  <c:h val="0.18716494848403115"/>
                </c:manualLayout>
              </c15:layout>
            </c:ext>
          </c:extLst>
        </c:dLbl>
      </c:pivotFmt>
      <c:pivotFmt>
        <c:idx val="24"/>
        <c:spPr>
          <a:solidFill>
            <a:schemeClr val="accent1"/>
          </a:solidFill>
          <a:ln w="19050">
            <a:solidFill>
              <a:schemeClr val="lt1"/>
            </a:solidFill>
          </a:ln>
          <a:effectLst/>
        </c:spPr>
        <c:dLbl>
          <c:idx val="0"/>
          <c:layout>
            <c:manualLayout>
              <c:x val="0.14423084203050779"/>
              <c:y val="-0.15365964933610887"/>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794889357404279"/>
                  <c:h val="0.20204399499742967"/>
                </c:manualLayout>
              </c15:layout>
            </c:ext>
          </c:extLst>
        </c:dLbl>
      </c:pivotFmt>
    </c:pivotFmts>
    <c:plotArea>
      <c:layout>
        <c:manualLayout>
          <c:layoutTarget val="inner"/>
          <c:xMode val="edge"/>
          <c:yMode val="edge"/>
          <c:x val="0.19332888821365241"/>
          <c:y val="0.20839872303431034"/>
          <c:w val="0.64673967632731488"/>
          <c:h val="0.75624037598364902"/>
        </c:manualLayout>
      </c:layout>
      <c:doughnutChart>
        <c:varyColors val="1"/>
        <c:ser>
          <c:idx val="0"/>
          <c:order val="0"/>
          <c:tx>
            <c:strRef>
              <c:f>Pivot!$J$72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3C-4C0A-A5D4-92E59AD7BC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3C-4C0A-A5D4-92E59AD7BC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3C-4C0A-A5D4-92E59AD7BC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3C-4C0A-A5D4-92E59AD7BC5E}"/>
              </c:ext>
            </c:extLst>
          </c:dPt>
          <c:dLbls>
            <c:dLbl>
              <c:idx val="0"/>
              <c:layout>
                <c:manualLayout>
                  <c:x val="0.15678081808036445"/>
                  <c:y val="0.1052387110177538"/>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37594002419746"/>
                      <c:h val="0.26950432885230674"/>
                    </c:manualLayout>
                  </c15:layout>
                </c:ext>
                <c:ext xmlns:c16="http://schemas.microsoft.com/office/drawing/2014/chart" uri="{C3380CC4-5D6E-409C-BE32-E72D297353CC}">
                  <c16:uniqueId val="{00000001-4E3C-4C0A-A5D4-92E59AD7BC5E}"/>
                </c:ext>
              </c:extLst>
            </c:dLbl>
            <c:dLbl>
              <c:idx val="1"/>
              <c:layout>
                <c:manualLayout>
                  <c:x val="-0.17307701043660934"/>
                  <c:y val="-7.4205517019405508E-17"/>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E3C-4C0A-A5D4-92E59AD7BC5E}"/>
                </c:ext>
              </c:extLst>
            </c:dLbl>
            <c:dLbl>
              <c:idx val="2"/>
              <c:layout>
                <c:manualLayout>
                  <c:x val="-0.25641038583201392"/>
                  <c:y val="-0.14991185301083793"/>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602576520581726"/>
                      <c:h val="0.18716494848403115"/>
                    </c:manualLayout>
                  </c15:layout>
                </c:ext>
                <c:ext xmlns:c16="http://schemas.microsoft.com/office/drawing/2014/chart" uri="{C3380CC4-5D6E-409C-BE32-E72D297353CC}">
                  <c16:uniqueId val="{00000005-4E3C-4C0A-A5D4-92E59AD7BC5E}"/>
                </c:ext>
              </c:extLst>
            </c:dLbl>
            <c:dLbl>
              <c:idx val="3"/>
              <c:layout>
                <c:manualLayout>
                  <c:x val="0.14423084203050779"/>
                  <c:y val="-0.15365964933610887"/>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794889357404279"/>
                      <c:h val="0.20204399499742967"/>
                    </c:manualLayout>
                  </c15:layout>
                </c:ext>
                <c:ext xmlns:c16="http://schemas.microsoft.com/office/drawing/2014/chart" uri="{C3380CC4-5D6E-409C-BE32-E72D297353CC}">
                  <c16:uniqueId val="{00000007-4E3C-4C0A-A5D4-92E59AD7BC5E}"/>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Pivot!$I$73:$I$77</c:f>
              <c:strCache>
                <c:ptCount val="4"/>
                <c:pt idx="0">
                  <c:v>Female</c:v>
                </c:pt>
                <c:pt idx="1">
                  <c:v>Male</c:v>
                </c:pt>
                <c:pt idx="2">
                  <c:v>Other</c:v>
                </c:pt>
                <c:pt idx="3">
                  <c:v>Unknown</c:v>
                </c:pt>
              </c:strCache>
            </c:strRef>
          </c:cat>
          <c:val>
            <c:numRef>
              <c:f>Pivot!$J$73:$J$77</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4E3C-4C0A-A5D4-92E59AD7BC5E}"/>
            </c:ext>
          </c:extLst>
        </c:ser>
        <c:dLbls>
          <c:showLegendKey val="0"/>
          <c:showVal val="0"/>
          <c:showCatName val="0"/>
          <c:showSerName val="0"/>
          <c:showPercent val="0"/>
          <c:showBubbleSize val="0"/>
          <c:showLeaderLines val="0"/>
        </c:dLbls>
        <c:firstSliceAng val="30"/>
        <c:holeSize val="55"/>
      </c:doughnutChart>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[Project.xlsx]Pivot!PivotTable5</c:name>
    <c:fmtId val="13"/>
  </c:pivotSource>
  <c:chart>
    <c:title>
      <c:tx>
        <c:rich>
          <a:bodyPr rot="0" vert="horz"/>
          <a:lstStyle/>
          <a:p>
            <a:pPr>
              <a:defRPr/>
            </a:pPr>
            <a:r>
              <a:rPr lang="en-IN"/>
              <a:t>Order Fulfillment: Days to Deliver</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549E39"/>
          </a:solidFill>
          <a:effectLst/>
          <a:scene3d>
            <a:camera prst="orthographicFront"/>
            <a:lightRig rig="threePt" dir="t"/>
          </a:scene3d>
          <a:sp3d>
            <a:bevelT w="190500"/>
          </a:sp3d>
        </c:spPr>
        <c:dLbl>
          <c:idx val="0"/>
          <c:delete val="1"/>
          <c:extLst>
            <c:ext xmlns:c15="http://schemas.microsoft.com/office/drawing/2012/chart" uri="{CE6537A1-D6FC-4f65-9D91-7224C49458BB}"/>
          </c:extLst>
        </c:dLbl>
      </c:pivotFmt>
      <c:pivotFmt>
        <c:idx val="6"/>
        <c:spPr>
          <a:effectLst/>
        </c:spPr>
        <c:dLbl>
          <c:idx val="0"/>
          <c:delete val="1"/>
          <c:extLst>
            <c:ext xmlns:c15="http://schemas.microsoft.com/office/drawing/2012/chart" uri="{CE6537A1-D6FC-4f65-9D91-7224C49458BB}"/>
          </c:extLst>
        </c:dLbl>
      </c:pivotFmt>
      <c:pivotFmt>
        <c:idx val="7"/>
        <c:spPr>
          <a:effectLst/>
        </c:spP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Pivot!$E$162</c:f>
              <c:strCache>
                <c:ptCount val="1"/>
                <c:pt idx="0">
                  <c:v>Total</c:v>
                </c:pt>
              </c:strCache>
            </c:strRef>
          </c:tx>
          <c:spPr>
            <a:effectLst/>
          </c:spPr>
          <c:cat>
            <c:strRef>
              <c:f>Pivot!$D$163:$D$178</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Pivot!$E$163:$E$178</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smooth val="0"/>
          <c:extLst>
            <c:ext xmlns:c16="http://schemas.microsoft.com/office/drawing/2014/chart" uri="{C3380CC4-5D6E-409C-BE32-E72D297353CC}">
              <c16:uniqueId val="{00000000-E901-4C1B-8945-998ADFAB23D9}"/>
            </c:ext>
          </c:extLst>
        </c:ser>
        <c:dLbls>
          <c:showLegendKey val="0"/>
          <c:showVal val="0"/>
          <c:showCatName val="0"/>
          <c:showSerName val="0"/>
          <c:showPercent val="0"/>
          <c:showBubbleSize val="0"/>
        </c:dLbls>
        <c:marker val="1"/>
        <c:smooth val="0"/>
        <c:axId val="2016701056"/>
        <c:axId val="2008666224"/>
      </c:lineChart>
      <c:catAx>
        <c:axId val="201670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008666224"/>
        <c:crosses val="autoZero"/>
        <c:auto val="1"/>
        <c:lblAlgn val="ctr"/>
        <c:lblOffset val="100"/>
        <c:noMultiLvlLbl val="0"/>
      </c:catAx>
      <c:valAx>
        <c:axId val="2008666224"/>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a:pPr>
            <a:endParaRPr lang="en-US"/>
          </a:p>
        </c:txPr>
        <c:crossAx val="2016701056"/>
        <c:crosses val="autoZero"/>
        <c:crossBetween val="between"/>
      </c:valAx>
      <c:spPr>
        <a:solidFill>
          <a:schemeClr val="bg2"/>
        </a:solidFill>
      </c:spPr>
    </c:plotArea>
    <c:plotVisOnly val="1"/>
    <c:dispBlanksAs val="gap"/>
    <c:showDLblsOverMax val="0"/>
    <c:extLst/>
  </c:chart>
  <c:spPr>
    <a:solidFill>
      <a:schemeClr val="bg2"/>
    </a:solidFill>
    <a:ln>
      <a:solidFill>
        <a:schemeClr val="bg1">
          <a:lumMod val="95000"/>
        </a:schemeClr>
      </a:solidFill>
    </a:ln>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[Project.xlsx]Pivot!PivotTable8</c:name>
    <c:fmtId val="29"/>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IN" sz="1800" b="1">
                <a:solidFill>
                  <a:sysClr val="windowText" lastClr="000000"/>
                </a:solidFill>
              </a:rPr>
              <a:t>Customer Satisfaction </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threePt" dir="t"/>
          </a:scene3d>
          <a:sp3d>
            <a:bevelT w="190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threePt" dir="t"/>
          </a:scene3d>
          <a:sp3d>
            <a:bevelT w="190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threePt" dir="t"/>
          </a:scene3d>
          <a:sp3d>
            <a:bevelT w="190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threePt" dir="t"/>
          </a:scene3d>
          <a:sp3d>
            <a:bevelT w="190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threePt" dir="t"/>
          </a:scene3d>
          <a:sp3d>
            <a:bevelT w="1905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lightRig rig="threePt" dir="t"/>
          </a:scene3d>
          <a:sp3d>
            <a:bevelT w="1905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cene3d>
            <a:camera prst="orthographicFront"/>
            <a:lightRig rig="threePt" dir="t"/>
          </a:scene3d>
          <a:sp3d>
            <a:bevelT w="1905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threePt" dir="t"/>
          </a:scene3d>
          <a:sp3d>
            <a:bevelT w="1905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Pivot!$E$182:$E$183</c:f>
              <c:strCache>
                <c:ptCount val="1"/>
                <c:pt idx="0">
                  <c:v>1</c:v>
                </c:pt>
              </c:strCache>
            </c:strRef>
          </c:tx>
          <c:spPr>
            <a:solidFill>
              <a:schemeClr val="accent1"/>
            </a:solidFill>
            <a:ln>
              <a:noFill/>
            </a:ln>
            <a:effectLst/>
          </c:spPr>
          <c:invertIfNegative val="0"/>
          <c:cat>
            <c:strRef>
              <c:f>Pivot!$D$184:$D$187</c:f>
              <c:strCache>
                <c:ptCount val="3"/>
                <c:pt idx="0">
                  <c:v>Jan</c:v>
                </c:pt>
                <c:pt idx="1">
                  <c:v>Feb</c:v>
                </c:pt>
                <c:pt idx="2">
                  <c:v>Mar</c:v>
                </c:pt>
              </c:strCache>
            </c:strRef>
          </c:cat>
          <c:val>
            <c:numRef>
              <c:f>Pivot!$E$184:$E$187</c:f>
              <c:numCache>
                <c:formatCode>General</c:formatCode>
                <c:ptCount val="3"/>
                <c:pt idx="0">
                  <c:v>7</c:v>
                </c:pt>
                <c:pt idx="1">
                  <c:v>8</c:v>
                </c:pt>
                <c:pt idx="2">
                  <c:v>6</c:v>
                </c:pt>
              </c:numCache>
            </c:numRef>
          </c:val>
          <c:extLst>
            <c:ext xmlns:c16="http://schemas.microsoft.com/office/drawing/2014/chart" uri="{C3380CC4-5D6E-409C-BE32-E72D297353CC}">
              <c16:uniqueId val="{00000000-BBD1-4FF6-9068-7C0199C9F0FB}"/>
            </c:ext>
          </c:extLst>
        </c:ser>
        <c:ser>
          <c:idx val="1"/>
          <c:order val="1"/>
          <c:tx>
            <c:strRef>
              <c:f>Pivot!$F$182:$F$183</c:f>
              <c:strCache>
                <c:ptCount val="1"/>
                <c:pt idx="0">
                  <c:v>2</c:v>
                </c:pt>
              </c:strCache>
            </c:strRef>
          </c:tx>
          <c:spPr>
            <a:solidFill>
              <a:schemeClr val="accent2"/>
            </a:solidFill>
            <a:ln>
              <a:noFill/>
            </a:ln>
            <a:effectLst/>
            <a:scene3d>
              <a:camera prst="orthographicFront"/>
              <a:lightRig rig="threePt" dir="t"/>
            </a:scene3d>
            <a:sp3d>
              <a:bevelT w="190500"/>
            </a:sp3d>
          </c:spPr>
          <c:invertIfNegative val="0"/>
          <c:cat>
            <c:strRef>
              <c:f>Pivot!$D$184:$D$187</c:f>
              <c:strCache>
                <c:ptCount val="3"/>
                <c:pt idx="0">
                  <c:v>Jan</c:v>
                </c:pt>
                <c:pt idx="1">
                  <c:v>Feb</c:v>
                </c:pt>
                <c:pt idx="2">
                  <c:v>Mar</c:v>
                </c:pt>
              </c:strCache>
            </c:strRef>
          </c:cat>
          <c:val>
            <c:numRef>
              <c:f>Pivot!$F$184:$F$187</c:f>
              <c:numCache>
                <c:formatCode>General</c:formatCode>
                <c:ptCount val="3"/>
                <c:pt idx="0">
                  <c:v>37</c:v>
                </c:pt>
                <c:pt idx="1">
                  <c:v>51</c:v>
                </c:pt>
                <c:pt idx="2">
                  <c:v>39</c:v>
                </c:pt>
              </c:numCache>
            </c:numRef>
          </c:val>
          <c:extLst>
            <c:ext xmlns:c16="http://schemas.microsoft.com/office/drawing/2014/chart" uri="{C3380CC4-5D6E-409C-BE32-E72D297353CC}">
              <c16:uniqueId val="{00000001-BBD1-4FF6-9068-7C0199C9F0FB}"/>
            </c:ext>
          </c:extLst>
        </c:ser>
        <c:ser>
          <c:idx val="2"/>
          <c:order val="2"/>
          <c:tx>
            <c:strRef>
              <c:f>Pivot!$G$182:$G$183</c:f>
              <c:strCache>
                <c:ptCount val="1"/>
                <c:pt idx="0">
                  <c:v>3</c:v>
                </c:pt>
              </c:strCache>
            </c:strRef>
          </c:tx>
          <c:spPr>
            <a:solidFill>
              <a:schemeClr val="accent3"/>
            </a:solidFill>
            <a:ln>
              <a:noFill/>
            </a:ln>
            <a:effectLst/>
            <a:scene3d>
              <a:camera prst="orthographicFront"/>
              <a:lightRig rig="threePt" dir="t"/>
            </a:scene3d>
            <a:sp3d>
              <a:bevelT w="190500"/>
            </a:sp3d>
          </c:spPr>
          <c:invertIfNegative val="0"/>
          <c:cat>
            <c:strRef>
              <c:f>Pivot!$D$184:$D$187</c:f>
              <c:strCache>
                <c:ptCount val="3"/>
                <c:pt idx="0">
                  <c:v>Jan</c:v>
                </c:pt>
                <c:pt idx="1">
                  <c:v>Feb</c:v>
                </c:pt>
                <c:pt idx="2">
                  <c:v>Mar</c:v>
                </c:pt>
              </c:strCache>
            </c:strRef>
          </c:cat>
          <c:val>
            <c:numRef>
              <c:f>Pivot!$G$184:$G$187</c:f>
              <c:numCache>
                <c:formatCode>General</c:formatCode>
                <c:ptCount val="3"/>
                <c:pt idx="0">
                  <c:v>150</c:v>
                </c:pt>
                <c:pt idx="1">
                  <c:v>182</c:v>
                </c:pt>
                <c:pt idx="2">
                  <c:v>163</c:v>
                </c:pt>
              </c:numCache>
            </c:numRef>
          </c:val>
          <c:extLst>
            <c:ext xmlns:c16="http://schemas.microsoft.com/office/drawing/2014/chart" uri="{C3380CC4-5D6E-409C-BE32-E72D297353CC}">
              <c16:uniqueId val="{00000002-BBD1-4FF6-9068-7C0199C9F0FB}"/>
            </c:ext>
          </c:extLst>
        </c:ser>
        <c:ser>
          <c:idx val="3"/>
          <c:order val="3"/>
          <c:tx>
            <c:strRef>
              <c:f>Pivot!$H$182:$H$183</c:f>
              <c:strCache>
                <c:ptCount val="1"/>
                <c:pt idx="0">
                  <c:v>4</c:v>
                </c:pt>
              </c:strCache>
            </c:strRef>
          </c:tx>
          <c:spPr>
            <a:solidFill>
              <a:schemeClr val="accent4"/>
            </a:solidFill>
            <a:ln>
              <a:noFill/>
            </a:ln>
            <a:effectLst/>
            <a:scene3d>
              <a:camera prst="orthographicFront"/>
              <a:lightRig rig="threePt" dir="t"/>
            </a:scene3d>
            <a:sp3d>
              <a:bevelT w="190500"/>
            </a:sp3d>
          </c:spPr>
          <c:invertIfNegative val="0"/>
          <c:cat>
            <c:strRef>
              <c:f>Pivot!$D$184:$D$187</c:f>
              <c:strCache>
                <c:ptCount val="3"/>
                <c:pt idx="0">
                  <c:v>Jan</c:v>
                </c:pt>
                <c:pt idx="1">
                  <c:v>Feb</c:v>
                </c:pt>
                <c:pt idx="2">
                  <c:v>Mar</c:v>
                </c:pt>
              </c:strCache>
            </c:strRef>
          </c:cat>
          <c:val>
            <c:numRef>
              <c:f>Pivot!$H$184:$H$187</c:f>
              <c:numCache>
                <c:formatCode>General</c:formatCode>
                <c:ptCount val="3"/>
                <c:pt idx="0">
                  <c:v>312</c:v>
                </c:pt>
                <c:pt idx="1">
                  <c:v>373</c:v>
                </c:pt>
                <c:pt idx="2">
                  <c:v>351</c:v>
                </c:pt>
              </c:numCache>
            </c:numRef>
          </c:val>
          <c:extLst>
            <c:ext xmlns:c16="http://schemas.microsoft.com/office/drawing/2014/chart" uri="{C3380CC4-5D6E-409C-BE32-E72D297353CC}">
              <c16:uniqueId val="{00000003-BBD1-4FF6-9068-7C0199C9F0FB}"/>
            </c:ext>
          </c:extLst>
        </c:ser>
        <c:ser>
          <c:idx val="4"/>
          <c:order val="4"/>
          <c:tx>
            <c:strRef>
              <c:f>Pivot!$I$182:$I$183</c:f>
              <c:strCache>
                <c:ptCount val="1"/>
                <c:pt idx="0">
                  <c:v>5</c:v>
                </c:pt>
              </c:strCache>
            </c:strRef>
          </c:tx>
          <c:spPr>
            <a:solidFill>
              <a:schemeClr val="accent5"/>
            </a:solidFill>
            <a:ln>
              <a:noFill/>
            </a:ln>
            <a:effectLst/>
            <a:scene3d>
              <a:camera prst="orthographicFront"/>
              <a:lightRig rig="threePt" dir="t"/>
            </a:scene3d>
            <a:sp3d>
              <a:bevelT w="190500"/>
            </a:sp3d>
          </c:spPr>
          <c:invertIfNegative val="0"/>
          <c:cat>
            <c:strRef>
              <c:f>Pivot!$D$184:$D$187</c:f>
              <c:strCache>
                <c:ptCount val="3"/>
                <c:pt idx="0">
                  <c:v>Jan</c:v>
                </c:pt>
                <c:pt idx="1">
                  <c:v>Feb</c:v>
                </c:pt>
                <c:pt idx="2">
                  <c:v>Mar</c:v>
                </c:pt>
              </c:strCache>
            </c:strRef>
          </c:cat>
          <c:val>
            <c:numRef>
              <c:f>Pivot!$I$184:$I$187</c:f>
              <c:numCache>
                <c:formatCode>General</c:formatCode>
                <c:ptCount val="3"/>
                <c:pt idx="0">
                  <c:v>224</c:v>
                </c:pt>
                <c:pt idx="1">
                  <c:v>247</c:v>
                </c:pt>
                <c:pt idx="2">
                  <c:v>250</c:v>
                </c:pt>
              </c:numCache>
            </c:numRef>
          </c:val>
          <c:extLst>
            <c:ext xmlns:c16="http://schemas.microsoft.com/office/drawing/2014/chart" uri="{C3380CC4-5D6E-409C-BE32-E72D297353CC}">
              <c16:uniqueId val="{00000005-BBD1-4FF6-9068-7C0199C9F0FB}"/>
            </c:ext>
          </c:extLst>
        </c:ser>
        <c:dLbls>
          <c:showLegendKey val="0"/>
          <c:showVal val="0"/>
          <c:showCatName val="0"/>
          <c:showSerName val="0"/>
          <c:showPercent val="0"/>
          <c:showBubbleSize val="0"/>
        </c:dLbls>
        <c:gapWidth val="57"/>
        <c:axId val="1295743648"/>
        <c:axId val="1826564992"/>
      </c:barChart>
      <c:catAx>
        <c:axId val="129574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6564992"/>
        <c:crosses val="autoZero"/>
        <c:auto val="1"/>
        <c:lblAlgn val="ctr"/>
        <c:lblOffset val="100"/>
        <c:noMultiLvlLbl val="0"/>
      </c:catAx>
      <c:valAx>
        <c:axId val="1826564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574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[Project.xlsx]Pivot!PivotTable10</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20752141060222132"/>
              <c:y val="0.1000769822940722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710695765105481"/>
                  <c:h val="0.27949300794675497"/>
                </c:manualLayout>
              </c15:layout>
            </c:ext>
          </c:extLst>
        </c:dLbl>
      </c:pivotFmt>
      <c:pivotFmt>
        <c:idx val="3"/>
        <c:spPr>
          <a:solidFill>
            <a:schemeClr val="accent1"/>
          </a:solidFill>
          <a:ln w="19050">
            <a:solidFill>
              <a:schemeClr val="lt1"/>
            </a:solidFill>
          </a:ln>
          <a:effectLst/>
        </c:spPr>
        <c:dLbl>
          <c:idx val="0"/>
          <c:layout>
            <c:manualLayout>
              <c:x val="0.1614077868294144"/>
              <c:y val="-4.236996356979626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0.11939759692668174"/>
              <c:y val="0.13115540118686089"/>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4026964190029877"/>
                  <c:h val="0.18184430179483915"/>
                </c:manualLayout>
              </c15:layout>
            </c:ext>
          </c:extLst>
        </c:dLbl>
      </c:pivotFmt>
      <c:pivotFmt>
        <c:idx val="5"/>
        <c:spPr>
          <a:solidFill>
            <a:schemeClr val="accent4"/>
          </a:solidFill>
          <a:ln w="19050">
            <a:solidFill>
              <a:schemeClr val="lt1"/>
            </a:solidFill>
          </a:ln>
          <a:effectLst/>
        </c:spPr>
        <c:dLbl>
          <c:idx val="0"/>
          <c:layout>
            <c:manualLayout>
              <c:x val="-0.21492949656030746"/>
              <c:y val="-3.410059676044335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08121043693066"/>
                  <c:h val="0.27949300794675497"/>
                </c:manualLayout>
              </c15:layout>
            </c:ext>
          </c:extLst>
        </c:dLbl>
      </c:pivotFmt>
      <c:pivotFmt>
        <c:idx val="6"/>
        <c:spPr>
          <a:solidFill>
            <a:schemeClr val="accent5"/>
          </a:solidFill>
          <a:ln w="19050">
            <a:solidFill>
              <a:schemeClr val="lt1"/>
            </a:solidFill>
          </a:ln>
          <a:effectLst/>
        </c:spPr>
        <c:dLbl>
          <c:idx val="0"/>
          <c:layout>
            <c:manualLayout>
              <c:x val="-0.14820994661524226"/>
              <c:y val="-8.525149190110824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05789717461785"/>
                  <c:h val="0.27949300794675497"/>
                </c:manualLayout>
              </c15:layout>
            </c:ext>
          </c:extLst>
        </c:dLbl>
      </c:pivotFmt>
      <c:pivotFmt>
        <c:idx val="7"/>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14077868294144"/>
              <c:y val="-4.236996356979626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0752141060222132"/>
              <c:y val="0.1000769822940722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710695765105481"/>
                  <c:h val="0.27949300794675497"/>
                </c:manualLayout>
              </c15:layout>
            </c:ext>
          </c:extLst>
        </c:dLbl>
      </c:pivotFmt>
      <c:pivotFmt>
        <c:idx val="10"/>
        <c:spPr>
          <a:solidFill>
            <a:schemeClr val="accent1"/>
          </a:solidFill>
          <a:ln w="19050">
            <a:solidFill>
              <a:schemeClr val="lt1"/>
            </a:solidFill>
          </a:ln>
          <a:effectLst/>
        </c:spPr>
        <c:dLbl>
          <c:idx val="0"/>
          <c:layout>
            <c:manualLayout>
              <c:x val="-0.11939759692668174"/>
              <c:y val="0.13115540118686089"/>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4026964190029877"/>
                  <c:h val="0.18184430179483915"/>
                </c:manualLayout>
              </c15:layout>
            </c:ext>
          </c:extLst>
        </c:dLbl>
      </c:pivotFmt>
      <c:pivotFmt>
        <c:idx val="11"/>
        <c:spPr>
          <a:solidFill>
            <a:schemeClr val="accent1"/>
          </a:solidFill>
          <a:ln w="19050">
            <a:solidFill>
              <a:schemeClr val="lt1"/>
            </a:solidFill>
          </a:ln>
          <a:effectLst/>
        </c:spPr>
        <c:dLbl>
          <c:idx val="0"/>
          <c:layout>
            <c:manualLayout>
              <c:x val="-0.21492949656030746"/>
              <c:y val="-3.410059676044335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208121043693066"/>
                  <c:h val="0.27949300794675497"/>
                </c:manualLayout>
              </c15:layout>
            </c:ext>
          </c:extLst>
        </c:dLbl>
      </c:pivotFmt>
      <c:pivotFmt>
        <c:idx val="12"/>
        <c:spPr>
          <a:solidFill>
            <a:schemeClr val="accent1"/>
          </a:solidFill>
          <a:ln w="19050">
            <a:solidFill>
              <a:schemeClr val="lt1"/>
            </a:solidFill>
          </a:ln>
          <a:effectLst/>
        </c:spPr>
        <c:dLbl>
          <c:idx val="0"/>
          <c:layout>
            <c:manualLayout>
              <c:x val="-0.14820994661524226"/>
              <c:y val="-8.525149190110824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05789717461785"/>
                  <c:h val="0.27949300794675497"/>
                </c:manualLayout>
              </c15:layout>
            </c:ext>
          </c:extLst>
        </c:dLbl>
      </c:pivotFmt>
      <c:pivotFmt>
        <c:idx val="13"/>
        <c:spPr>
          <a:solidFill>
            <a:schemeClr val="accent1"/>
          </a:solidFill>
          <a:ln w="19050">
            <a:solidFill>
              <a:schemeClr val="lt1"/>
            </a:solidFill>
          </a:ln>
          <a:effectLst/>
        </c:spP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2699108460576414"/>
              <c:y val="-4.2369734754152052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06023085388593"/>
                  <c:h val="0.22495143465419778"/>
                </c:manualLayout>
              </c15:layout>
            </c:ext>
          </c:extLst>
        </c:dLbl>
      </c:pivotFmt>
      <c:pivotFmt>
        <c:idx val="16"/>
        <c:spPr>
          <a:solidFill>
            <a:schemeClr val="accent1"/>
          </a:solidFill>
          <a:ln w="19050">
            <a:solidFill>
              <a:schemeClr val="lt1"/>
            </a:solidFill>
          </a:ln>
          <a:effectLst/>
        </c:spPr>
        <c:dLbl>
          <c:idx val="0"/>
          <c:layout>
            <c:manualLayout>
              <c:x val="9.8820887392936402E-2"/>
              <c:y val="2.544386467209921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710695765105481"/>
                  <c:h val="0.27949300794675497"/>
                </c:manualLayout>
              </c15:layout>
            </c:ext>
          </c:extLst>
        </c:dLbl>
      </c:pivotFmt>
      <c:pivotFmt>
        <c:idx val="17"/>
        <c:spPr>
          <a:solidFill>
            <a:schemeClr val="accent1"/>
          </a:solidFill>
          <a:ln w="19050">
            <a:solidFill>
              <a:schemeClr val="lt1"/>
            </a:solidFill>
          </a:ln>
          <a:effectLst/>
        </c:spPr>
        <c:dLbl>
          <c:idx val="0"/>
          <c:layout>
            <c:manualLayout>
              <c:x val="-0.11656007781812561"/>
              <c:y val="0.1177081392131283"/>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fld id="{296E65E3-633E-4EE2-8900-2491D690CA64}" type="CATEGORYNAME">
                  <a:rPr lang="en-US"/>
                  <a:pPr>
                    <a:defRPr sz="900" b="0" i="0" u="none" strike="noStrike" kern="1200" baseline="0">
                      <a:solidFill>
                        <a:schemeClr val="bg1"/>
                      </a:solidFill>
                      <a:latin typeface="+mn-lt"/>
                      <a:ea typeface="+mn-ea"/>
                      <a:cs typeface="+mn-cs"/>
                    </a:defRPr>
                  </a:pPr>
                  <a:t>[CATEGORY NAME]</a:t>
                </a:fld>
                <a:r>
                  <a:rPr lang="en-US" baseline="0"/>
                  <a:t> </a:t>
                </a:r>
                <a:fld id="{1E3776FA-9B5C-4BB1-837F-1E16E266D11D}"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4594441830548975"/>
                  <c:h val="0.15511051439736617"/>
                </c:manualLayout>
              </c15:layout>
              <c15:dlblFieldTable/>
              <c15:showDataLabelsRange val="0"/>
            </c:ext>
          </c:extLst>
        </c:dLbl>
      </c:pivotFmt>
      <c:pivotFmt>
        <c:idx val="18"/>
        <c:spPr>
          <a:solidFill>
            <a:schemeClr val="accent1"/>
          </a:solidFill>
          <a:ln w="19050">
            <a:solidFill>
              <a:schemeClr val="lt1"/>
            </a:solidFill>
          </a:ln>
          <a:effectLst/>
        </c:spPr>
        <c:dLbl>
          <c:idx val="0"/>
          <c:layout>
            <c:manualLayout>
              <c:x val="-0.18088184817818764"/>
              <c:y val="-3.410067113380729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fld id="{0E298323-F7F5-45CF-93A6-AC0D1B31DA0C}" type="CATEGORYNAME">
                  <a:rPr lang="en-US"/>
                  <a:pPr>
                    <a:defRPr sz="900" b="0" i="0" u="none" strike="noStrike" kern="1200" baseline="0">
                      <a:solidFill>
                        <a:schemeClr val="bg1"/>
                      </a:solidFill>
                      <a:latin typeface="+mn-lt"/>
                      <a:ea typeface="+mn-ea"/>
                      <a:cs typeface="+mn-cs"/>
                    </a:defRPr>
                  </a:pPr>
                  <a:t>[CATEGORY NAME]</a:t>
                </a:fld>
                <a:r>
                  <a:rPr lang="en-US" baseline="0"/>
                  <a:t> </a:t>
                </a:r>
                <a:fld id="{C2DAE784-C8FE-4501-BC6C-920C382EEB1E}"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17650720117031"/>
                  <c:h val="0.27949285920002709"/>
                </c:manualLayout>
              </c15:layout>
              <c15:dlblFieldTable/>
              <c15:showDataLabelsRange val="0"/>
            </c:ext>
          </c:extLst>
        </c:dLbl>
      </c:pivotFmt>
      <c:pivotFmt>
        <c:idx val="19"/>
        <c:spPr>
          <a:solidFill>
            <a:schemeClr val="accent1"/>
          </a:solidFill>
          <a:ln w="19050">
            <a:solidFill>
              <a:schemeClr val="lt1"/>
            </a:solidFill>
          </a:ln>
          <a:effectLst/>
        </c:spPr>
        <c:dLbl>
          <c:idx val="0"/>
          <c:layout>
            <c:manualLayout>
              <c:x val="-0.14821010715184141"/>
              <c:y val="6.2753768049649591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05789717461785"/>
                  <c:h val="0.27949300794675497"/>
                </c:manualLayout>
              </c15:layout>
            </c:ext>
          </c:extLst>
        </c:dLbl>
      </c:pivotFmt>
      <c:pivotFmt>
        <c:idx val="20"/>
        <c:spPr>
          <a:solidFill>
            <a:schemeClr val="accent1"/>
          </a:solidFill>
          <a:ln w="19050">
            <a:solidFill>
              <a:schemeClr val="lt1"/>
            </a:solidFill>
          </a:ln>
          <a:effectLst/>
        </c:spP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2699108460576414"/>
              <c:y val="-4.2369734754152052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06023085388593"/>
                  <c:h val="0.22495143465419778"/>
                </c:manualLayout>
              </c15:layout>
            </c:ext>
          </c:extLst>
        </c:dLbl>
      </c:pivotFmt>
      <c:pivotFmt>
        <c:idx val="23"/>
        <c:spPr>
          <a:solidFill>
            <a:schemeClr val="accent1"/>
          </a:solidFill>
          <a:ln w="19050">
            <a:solidFill>
              <a:schemeClr val="lt1"/>
            </a:solidFill>
          </a:ln>
          <a:effectLst/>
        </c:spPr>
        <c:dLbl>
          <c:idx val="0"/>
          <c:layout>
            <c:manualLayout>
              <c:x val="9.8820887392936402E-2"/>
              <c:y val="2.544386467209921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710695765105481"/>
                  <c:h val="0.27949300794675497"/>
                </c:manualLayout>
              </c15:layout>
            </c:ext>
          </c:extLst>
        </c:dLbl>
      </c:pivotFmt>
      <c:pivotFmt>
        <c:idx val="24"/>
        <c:spPr>
          <a:solidFill>
            <a:schemeClr val="accent1"/>
          </a:solidFill>
          <a:ln w="19050">
            <a:solidFill>
              <a:schemeClr val="lt1"/>
            </a:solidFill>
          </a:ln>
          <a:effectLst/>
        </c:spPr>
        <c:dLbl>
          <c:idx val="0"/>
          <c:layout>
            <c:manualLayout>
              <c:x val="-0.11656007781812561"/>
              <c:y val="0.1177081392131283"/>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fld id="{296E65E3-633E-4EE2-8900-2491D690CA64}" type="CATEGORYNAME">
                  <a:rPr lang="en-US"/>
                  <a:pPr>
                    <a:defRPr sz="900" b="0" i="0" u="none" strike="noStrike" kern="1200" baseline="0">
                      <a:solidFill>
                        <a:schemeClr val="bg1"/>
                      </a:solidFill>
                      <a:latin typeface="+mn-lt"/>
                      <a:ea typeface="+mn-ea"/>
                      <a:cs typeface="+mn-cs"/>
                    </a:defRPr>
                  </a:pPr>
                  <a:t>[CATEGORY NAME]</a:t>
                </a:fld>
                <a:r>
                  <a:rPr lang="en-US" baseline="0"/>
                  <a:t> </a:t>
                </a:r>
                <a:fld id="{1E3776FA-9B5C-4BB1-837F-1E16E266D11D}"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4594441830548975"/>
                  <c:h val="0.15511051439736617"/>
                </c:manualLayout>
              </c15:layout>
              <c15:dlblFieldTable/>
              <c15:showDataLabelsRange val="0"/>
            </c:ext>
          </c:extLst>
        </c:dLbl>
      </c:pivotFmt>
      <c:pivotFmt>
        <c:idx val="25"/>
        <c:spPr>
          <a:solidFill>
            <a:schemeClr val="accent1"/>
          </a:solidFill>
          <a:ln w="19050">
            <a:solidFill>
              <a:schemeClr val="lt1"/>
            </a:solidFill>
          </a:ln>
          <a:effectLst/>
        </c:spPr>
        <c:dLbl>
          <c:idx val="0"/>
          <c:layout>
            <c:manualLayout>
              <c:x val="-0.18088184817818764"/>
              <c:y val="-3.410067113380729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fld id="{0E298323-F7F5-45CF-93A6-AC0D1B31DA0C}" type="CATEGORYNAME">
                  <a:rPr lang="en-US"/>
                  <a:pPr>
                    <a:defRPr sz="900" b="0" i="0" u="none" strike="noStrike" kern="1200" baseline="0">
                      <a:solidFill>
                        <a:schemeClr val="bg1"/>
                      </a:solidFill>
                      <a:latin typeface="+mn-lt"/>
                      <a:ea typeface="+mn-ea"/>
                      <a:cs typeface="+mn-cs"/>
                    </a:defRPr>
                  </a:pPr>
                  <a:t>[CATEGORY NAME]</a:t>
                </a:fld>
                <a:r>
                  <a:rPr lang="en-US" baseline="0"/>
                  <a:t> </a:t>
                </a:r>
                <a:fld id="{C2DAE784-C8FE-4501-BC6C-920C382EEB1E}"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17650720117031"/>
                  <c:h val="0.27949285920002709"/>
                </c:manualLayout>
              </c15:layout>
              <c15:dlblFieldTable/>
              <c15:showDataLabelsRange val="0"/>
            </c:ext>
          </c:extLst>
        </c:dLbl>
      </c:pivotFmt>
      <c:pivotFmt>
        <c:idx val="26"/>
        <c:spPr>
          <a:solidFill>
            <a:schemeClr val="accent1"/>
          </a:solidFill>
          <a:ln w="19050">
            <a:solidFill>
              <a:schemeClr val="lt1"/>
            </a:solidFill>
          </a:ln>
          <a:effectLst/>
        </c:spPr>
        <c:dLbl>
          <c:idx val="0"/>
          <c:layout>
            <c:manualLayout>
              <c:x val="-0.14821010715184141"/>
              <c:y val="6.2753768049649591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05789717461785"/>
                  <c:h val="0.27949300794675497"/>
                </c:manualLayout>
              </c15:layout>
            </c:ext>
          </c:extLst>
        </c:dLbl>
      </c:pivotFmt>
      <c:pivotFmt>
        <c:idx val="27"/>
        <c:spPr>
          <a:solidFill>
            <a:schemeClr val="accent1"/>
          </a:solidFill>
          <a:ln w="19050">
            <a:solidFill>
              <a:schemeClr val="lt1"/>
            </a:solidFill>
          </a:ln>
          <a:effectLst/>
        </c:spP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0.12699108460576414"/>
              <c:y val="-4.2369734754152052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06023085388593"/>
                  <c:h val="0.22495143465419778"/>
                </c:manualLayout>
              </c15:layout>
            </c:ext>
          </c:extLst>
        </c:dLbl>
      </c:pivotFmt>
      <c:pivotFmt>
        <c:idx val="30"/>
        <c:spPr>
          <a:solidFill>
            <a:schemeClr val="accent1"/>
          </a:solidFill>
          <a:ln w="19050">
            <a:solidFill>
              <a:schemeClr val="lt1"/>
            </a:solidFill>
          </a:ln>
          <a:effectLst/>
        </c:spPr>
        <c:dLbl>
          <c:idx val="0"/>
          <c:layout>
            <c:manualLayout>
              <c:x val="9.8820887392936402E-2"/>
              <c:y val="2.544386467209921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710695765105481"/>
                  <c:h val="0.27949300794675497"/>
                </c:manualLayout>
              </c15:layout>
            </c:ext>
          </c:extLst>
        </c:dLbl>
      </c:pivotFmt>
      <c:pivotFmt>
        <c:idx val="31"/>
        <c:spPr>
          <a:solidFill>
            <a:schemeClr val="accent1"/>
          </a:solidFill>
          <a:ln w="19050">
            <a:solidFill>
              <a:schemeClr val="lt1"/>
            </a:solidFill>
          </a:ln>
          <a:effectLst/>
        </c:spPr>
        <c:dLbl>
          <c:idx val="0"/>
          <c:layout>
            <c:manualLayout>
              <c:x val="-0.11656007781812561"/>
              <c:y val="0.1177081392131283"/>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fld id="{296E65E3-633E-4EE2-8900-2491D690CA64}" type="CATEGORYNAME">
                  <a:rPr lang="en-US"/>
                  <a:pPr>
                    <a:defRPr/>
                  </a:pPr>
                  <a:t>[CATEGORY NAME]</a:t>
                </a:fld>
                <a:r>
                  <a:rPr lang="en-US"/>
                  <a:t> </a:t>
                </a:r>
                <a:fld id="{1E3776FA-9B5C-4BB1-837F-1E16E266D11D}" type="PERCENTAGE">
                  <a:rPr lang="en-US"/>
                  <a:pPr>
                    <a:defRPr/>
                  </a:pPr>
                  <a:t>[PERCENTAGE]</a:t>
                </a:fld>
                <a:endParaRPr lang="en-US"/>
              </a:p>
            </c:rich>
          </c:tx>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4594441830548975"/>
                  <c:h val="0.15511051439736617"/>
                </c:manualLayout>
              </c15:layout>
              <c15:dlblFieldTable/>
              <c15:showDataLabelsRange val="0"/>
            </c:ext>
          </c:extLst>
        </c:dLbl>
      </c:pivotFmt>
      <c:pivotFmt>
        <c:idx val="32"/>
        <c:spPr>
          <a:solidFill>
            <a:schemeClr val="accent1"/>
          </a:solidFill>
          <a:ln w="19050">
            <a:solidFill>
              <a:schemeClr val="lt1"/>
            </a:solidFill>
          </a:ln>
          <a:effectLst/>
        </c:spPr>
        <c:dLbl>
          <c:idx val="0"/>
          <c:layout>
            <c:manualLayout>
              <c:x val="-0.18088184817818764"/>
              <c:y val="-3.410067113380729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fld id="{0E298323-F7F5-45CF-93A6-AC0D1B31DA0C}" type="CATEGORYNAME">
                  <a:rPr lang="en-US"/>
                  <a:pPr>
                    <a:defRPr/>
                  </a:pPr>
                  <a:t>[CATEGORY NAME]</a:t>
                </a:fld>
                <a:r>
                  <a:rPr lang="en-US"/>
                  <a:t> </a:t>
                </a:r>
                <a:fld id="{C2DAE784-C8FE-4501-BC6C-920C382EEB1E}" type="PERCENTAGE">
                  <a:rPr lang="en-US"/>
                  <a:pPr>
                    <a:defRPr/>
                  </a:pPr>
                  <a:t>[PERCENTAGE]</a:t>
                </a:fld>
                <a:endParaRPr lang="en-US"/>
              </a:p>
            </c:rich>
          </c:tx>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17650720117031"/>
                  <c:h val="0.27949285920002709"/>
                </c:manualLayout>
              </c15:layout>
              <c15:dlblFieldTable/>
              <c15:showDataLabelsRange val="0"/>
            </c:ext>
          </c:extLst>
        </c:dLbl>
      </c:pivotFmt>
      <c:pivotFmt>
        <c:idx val="33"/>
        <c:spPr>
          <a:solidFill>
            <a:schemeClr val="accent1"/>
          </a:solidFill>
          <a:ln w="19050">
            <a:solidFill>
              <a:schemeClr val="lt1"/>
            </a:solidFill>
          </a:ln>
          <a:effectLst/>
        </c:spPr>
        <c:dLbl>
          <c:idx val="0"/>
          <c:layout>
            <c:manualLayout>
              <c:x val="-0.14821010715184141"/>
              <c:y val="6.2753768049649591E-2"/>
            </c:manualLayout>
          </c:layout>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05789717461785"/>
                  <c:h val="0.27949300794675497"/>
                </c:manualLayout>
              </c15:layout>
            </c:ext>
          </c:extLst>
        </c:dLbl>
      </c:pivotFmt>
      <c:pivotFmt>
        <c:idx val="34"/>
        <c:spPr>
          <a:solidFill>
            <a:schemeClr val="accent1"/>
          </a:solidFill>
          <a:ln w="19050">
            <a:solidFill>
              <a:schemeClr val="lt1"/>
            </a:solidFill>
          </a:ln>
          <a:effectLst/>
        </c:spPr>
        <c:dLbl>
          <c:idx val="0"/>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6090166435884274"/>
          <c:y val="0.14718044770962521"/>
          <c:w val="0.32502561394149077"/>
          <c:h val="0.51347970702672785"/>
        </c:manualLayout>
      </c:layout>
      <c:pieChart>
        <c:varyColors val="1"/>
        <c:ser>
          <c:idx val="0"/>
          <c:order val="0"/>
          <c:tx>
            <c:strRef>
              <c:f>Pivot!$R$44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DF-4185-BBC1-AB7A9BA0FE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DF-4185-BBC1-AB7A9BA0FE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DF-4185-BBC1-AB7A9BA0FE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DF-4185-BBC1-AB7A9BA0FE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DF-4185-BBC1-AB7A9BA0FE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9DF-4185-BBC1-AB7A9BA0FEBE}"/>
              </c:ext>
            </c:extLst>
          </c:dPt>
          <c:dLbls>
            <c:dLbl>
              <c:idx val="0"/>
              <c:layout>
                <c:manualLayout>
                  <c:x val="0.12699108460576414"/>
                  <c:y val="-4.2369734754152052E-2"/>
                </c:manualLayout>
              </c:layout>
              <c:showLegendKey val="0"/>
              <c:showVal val="0"/>
              <c:showCatName val="1"/>
              <c:showSerName val="0"/>
              <c:showPercent val="1"/>
              <c:showBubbleSize val="0"/>
              <c:extLst>
                <c:ext xmlns:c15="http://schemas.microsoft.com/office/drawing/2012/chart" uri="{CE6537A1-D6FC-4f65-9D91-7224C49458BB}">
                  <c15:layout>
                    <c:manualLayout>
                      <c:w val="0.15906023085388593"/>
                      <c:h val="0.22495143465419778"/>
                    </c:manualLayout>
                  </c15:layout>
                </c:ext>
                <c:ext xmlns:c16="http://schemas.microsoft.com/office/drawing/2014/chart" uri="{C3380CC4-5D6E-409C-BE32-E72D297353CC}">
                  <c16:uniqueId val="{00000001-C9DF-4185-BBC1-AB7A9BA0FEBE}"/>
                </c:ext>
              </c:extLst>
            </c:dLbl>
            <c:dLbl>
              <c:idx val="1"/>
              <c:layout>
                <c:manualLayout>
                  <c:x val="9.8820887392936402E-2"/>
                  <c:y val="2.544386467209921E-2"/>
                </c:manualLayout>
              </c:layout>
              <c:showLegendKey val="0"/>
              <c:showVal val="0"/>
              <c:showCatName val="1"/>
              <c:showSerName val="0"/>
              <c:showPercent val="1"/>
              <c:showBubbleSize val="0"/>
              <c:extLst>
                <c:ext xmlns:c15="http://schemas.microsoft.com/office/drawing/2012/chart" uri="{CE6537A1-D6FC-4f65-9D91-7224C49458BB}">
                  <c15:layout>
                    <c:manualLayout>
                      <c:w val="0.24710695765105481"/>
                      <c:h val="0.27949300794675497"/>
                    </c:manualLayout>
                  </c15:layout>
                </c:ext>
                <c:ext xmlns:c16="http://schemas.microsoft.com/office/drawing/2014/chart" uri="{C3380CC4-5D6E-409C-BE32-E72D297353CC}">
                  <c16:uniqueId val="{00000003-C9DF-4185-BBC1-AB7A9BA0FEBE}"/>
                </c:ext>
              </c:extLst>
            </c:dLbl>
            <c:dLbl>
              <c:idx val="2"/>
              <c:layout>
                <c:manualLayout>
                  <c:x val="-0.11656007781812561"/>
                  <c:y val="0.1177081392131283"/>
                </c:manualLayout>
              </c:layout>
              <c:tx>
                <c:rich>
                  <a:bodyPr/>
                  <a:lstStyle/>
                  <a:p>
                    <a:fld id="{296E65E3-633E-4EE2-8900-2491D690CA64}" type="CATEGORYNAME">
                      <a:rPr lang="en-US"/>
                      <a:pPr/>
                      <a:t>[CATEGORY NAME]</a:t>
                    </a:fld>
                    <a:r>
                      <a:rPr lang="en-US"/>
                      <a:t> </a:t>
                    </a:r>
                    <a:fld id="{1E3776FA-9B5C-4BB1-837F-1E16E266D11D}"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layout>
                    <c:manualLayout>
                      <c:w val="0.44594441830548975"/>
                      <c:h val="0.15511051439736617"/>
                    </c:manualLayout>
                  </c15:layout>
                  <c15:dlblFieldTable/>
                  <c15:showDataLabelsRange val="0"/>
                </c:ext>
                <c:ext xmlns:c16="http://schemas.microsoft.com/office/drawing/2014/chart" uri="{C3380CC4-5D6E-409C-BE32-E72D297353CC}">
                  <c16:uniqueId val="{00000005-C9DF-4185-BBC1-AB7A9BA0FEBE}"/>
                </c:ext>
              </c:extLst>
            </c:dLbl>
            <c:dLbl>
              <c:idx val="3"/>
              <c:layout>
                <c:manualLayout>
                  <c:x val="-0.18088184817818764"/>
                  <c:y val="-3.4100671133807298E-2"/>
                </c:manualLayout>
              </c:layout>
              <c:tx>
                <c:rich>
                  <a:bodyPr/>
                  <a:lstStyle/>
                  <a:p>
                    <a:fld id="{0E298323-F7F5-45CF-93A6-AC0D1B31DA0C}" type="CATEGORYNAME">
                      <a:rPr lang="en-US"/>
                      <a:pPr/>
                      <a:t>[CATEGORY NAME]</a:t>
                    </a:fld>
                    <a:r>
                      <a:rPr lang="en-US"/>
                      <a:t> </a:t>
                    </a:r>
                    <a:fld id="{C2DAE784-C8FE-4501-BC6C-920C382EEB1E}"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layout>
                    <c:manualLayout>
                      <c:w val="0.23017650720117031"/>
                      <c:h val="0.27949285920002709"/>
                    </c:manualLayout>
                  </c15:layout>
                  <c15:dlblFieldTable/>
                  <c15:showDataLabelsRange val="0"/>
                </c:ext>
                <c:ext xmlns:c16="http://schemas.microsoft.com/office/drawing/2014/chart" uri="{C3380CC4-5D6E-409C-BE32-E72D297353CC}">
                  <c16:uniqueId val="{00000007-C9DF-4185-BBC1-AB7A9BA0FEBE}"/>
                </c:ext>
              </c:extLst>
            </c:dLbl>
            <c:dLbl>
              <c:idx val="4"/>
              <c:layout>
                <c:manualLayout>
                  <c:x val="-0.14821010715184141"/>
                  <c:y val="6.2753768049649591E-2"/>
                </c:manualLayout>
              </c:layout>
              <c:showLegendKey val="0"/>
              <c:showVal val="0"/>
              <c:showCatName val="1"/>
              <c:showSerName val="0"/>
              <c:showPercent val="1"/>
              <c:showBubbleSize val="0"/>
              <c:extLst>
                <c:ext xmlns:c15="http://schemas.microsoft.com/office/drawing/2012/chart" uri="{CE6537A1-D6FC-4f65-9D91-7224C49458BB}">
                  <c15:layout>
                    <c:manualLayout>
                      <c:w val="0.22505789717461785"/>
                      <c:h val="0.27949300794675497"/>
                    </c:manualLayout>
                  </c15:layout>
                </c:ext>
                <c:ext xmlns:c16="http://schemas.microsoft.com/office/drawing/2014/chart" uri="{C3380CC4-5D6E-409C-BE32-E72D297353CC}">
                  <c16:uniqueId val="{00000009-C9DF-4185-BBC1-AB7A9BA0FEBE}"/>
                </c:ext>
              </c:extLst>
            </c:dLbl>
            <c:dLbl>
              <c:idx val="5"/>
              <c:delete val="1"/>
              <c:extLst>
                <c:ext xmlns:c15="http://schemas.microsoft.com/office/drawing/2012/chart" uri="{CE6537A1-D6FC-4f65-9D91-7224C49458BB}"/>
                <c:ext xmlns:c16="http://schemas.microsoft.com/office/drawing/2014/chart" uri="{C3380CC4-5D6E-409C-BE32-E72D297353CC}">
                  <c16:uniqueId val="{0000000B-C9DF-4185-BBC1-AB7A9BA0FEBE}"/>
                </c:ext>
              </c:extLst>
            </c:dLbl>
            <c:spPr>
              <a:no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Pivot!$Q$45:$Q$51</c:f>
              <c:strCache>
                <c:ptCount val="6"/>
                <c:pt idx="0">
                  <c:v>App</c:v>
                </c:pt>
                <c:pt idx="1">
                  <c:v>Instagram</c:v>
                </c:pt>
                <c:pt idx="2">
                  <c:v>Partner App</c:v>
                </c:pt>
                <c:pt idx="3">
                  <c:v>Target.com</c:v>
                </c:pt>
                <c:pt idx="4">
                  <c:v>Website</c:v>
                </c:pt>
                <c:pt idx="5">
                  <c:v>(blank)</c:v>
                </c:pt>
              </c:strCache>
            </c:strRef>
          </c:cat>
          <c:val>
            <c:numRef>
              <c:f>Pivot!$R$45:$R$51</c:f>
              <c:numCache>
                <c:formatCode>0.0%</c:formatCode>
                <c:ptCount val="6"/>
                <c:pt idx="0">
                  <c:v>0.36166666666666669</c:v>
                </c:pt>
                <c:pt idx="1">
                  <c:v>0.10333333333333333</c:v>
                </c:pt>
                <c:pt idx="2">
                  <c:v>0.10916666666666666</c:v>
                </c:pt>
                <c:pt idx="3">
                  <c:v>0.18875</c:v>
                </c:pt>
                <c:pt idx="4">
                  <c:v>0.23708333333333334</c:v>
                </c:pt>
                <c:pt idx="5">
                  <c:v>0</c:v>
                </c:pt>
              </c:numCache>
            </c:numRef>
          </c:val>
          <c:extLst>
            <c:ext xmlns:c16="http://schemas.microsoft.com/office/drawing/2014/chart" uri="{C3380CC4-5D6E-409C-BE32-E72D297353CC}">
              <c16:uniqueId val="{0000000C-C9DF-4185-BBC1-AB7A9BA0FEB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317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sz="1800" b="1">
                <a:solidFill>
                  <a:sysClr val="windowText" lastClr="000000"/>
                </a:solidFill>
              </a:defRPr>
            </a:pPr>
            <a:r>
              <a:rPr lang="en-IN" sz="1800" b="1">
                <a:solidFill>
                  <a:sysClr val="windowText" lastClr="000000"/>
                </a:solidFill>
              </a:rPr>
              <a:t>Sales Quantity by Cal County</a:t>
            </a:r>
            <a:endParaRPr lang="en-US" sz="1800" b="1" i="0" u="none" strike="noStrike" baseline="0">
              <a:solidFill>
                <a:sysClr val="windowText" lastClr="000000"/>
              </a:solidFill>
              <a:latin typeface="Calibri"/>
            </a:endParaRPr>
          </a:p>
        </cx:rich>
      </cx:tx>
    </cx:title>
    <cx:plotArea>
      <cx:plotAreaRegion>
        <cx:plotSurface>
          <cx:spPr>
            <a:solidFill>
              <a:schemeClr val="bg2"/>
            </a:solidFill>
            <a:ln w="0">
              <a:solidFill>
                <a:schemeClr val="bg1"/>
              </a:solidFill>
            </a:ln>
          </cx:spPr>
        </cx:plotSurface>
        <cx:series layoutId="regionMap" uniqueId="{E06DE871-5297-42FC-A67B-350B8299F557}">
          <cx:tx>
            <cx:txData>
              <cx:f>_xlchart.v5.6</cx:f>
              <cx:v>Sum of Quantity</cx:v>
            </cx:txData>
          </cx:tx>
          <cx:spPr>
            <a:ln w="6350">
              <a:solidFill>
                <a:schemeClr val="tx1"/>
              </a:solidFill>
            </a:ln>
          </cx:spPr>
          <cx:dataId val="0"/>
          <cx:layoutPr>
            <cx:geography cultureLanguage="en-US" cultureRegion="IN" attribution="Powered by Bing">
              <cx:geoCache provider="{E9337A44-BEBE-4D9F-B70C-5C5E7DAFC167}">
                <cx:binary>3F1bc5xIsv4rDj8fNHWDgo2djRigu3WXLMnyeF6IHqnNvQqo4vrrTyLJXjVqeVGEFedsMzMxYUNW
J3yVWXmrrH/edf+4yzbr6kOXZ0L94677/WOkdfGP335Td9EmX6uDPL6rpJLf9MGdzH+T377Fd5vf
7qt1G4vwN4Iw++0uWld603381z9htHAjT+XdWsdSfKo3VX+1UXWm1U/u7bz1YX2fx8KPla7iO41/
/+its/ibrES8/rh9j/z+8Uzey7sPnqyF7j9+2Agd6/6mLza/f9wahXz88Nv0x14w9iED3nV9D8QM
HzAHOaaDLefhsj5+yKQIn24bmKADkxGTOZh+/9nzdQ6Usxl6YGd9f19tlILXevj/lHzrHeBD/PGf
PsDd+CHGLx8CCL9//Cxivbn/cK3XeqM+foiVfPhSVe/J8S0/Xz98lt+2sfvXPyd/AR9q8jfP4J1+
1f90axvB/4CuJ7NarX89vNQ5IMgh1MImerhgfmzDSw4QsqnlMHMb3vkc7cZ3Qj8D4AnFniH8RwZS
c/8eEPMDGzGb2BZ9lGD+EmLCCeMWYP+oNx4F+A0c7YZ4OsAMjKckewayv8k+nEtYKH69JIOi5ibj
nGD7FZgZiDqjAPME5zcxtRvpl0PMwPol0Z6h/UdWxOIdoKb2geVQE3Q2e4Tankg0dg44XKbJ2VSk
53K0G+fJG80AeUKxbwjn63tZ/XphBoQpKGREbABwez1GAC0hDkXOw3qNJwDPZugVgLfp5wC8TbFn
AHsSrMhxUVb6PZZm+wCN6ppSvluQCTnAlNkmxyDiz9fmt/K1G+2do8zAfCfdniF/C5+7foAeHIlf
6VFRWIdtMKnRa6CD9gb5xshCE9DfwNJuvKcDzIB6SrJnKN9sonX+DpLN0AHmloVMgh8l25nqcXJA
KMPMAgd6vCZ6fD5fu5Ge0M8AekKxZzi7tX4PoxvcZxMDjug1S4zgA9MEkDGZADybod34bpPPgHeb
YM/QPV8X7yDDYIQRBxxjwO5BRBEEuLZtMZBh2wHw7YlHNZef3dhuUc+Aduv5PUMWIp7rZlOt1bvY
2NixCCacP8L7IvSFDix7DI4xiHluGV9vYWo3xi/fawbQL4n2DO1F9sGXFbhU74I2J45lkqcgmPNi
QQbHynEwGNvWw3SY6Os3sbYb85dDzMD8JdGeYX62qe4gMu/96sQF5QcUWY5lW0/xsGmQBBIXzMYO
x5ztAnw+X7vRntDPgHpCsWc4LyG9I95DsK0DTrFlmvgVS3sMhtkm/IMnGYz5HO1GeEI/A+EJxZ4h
fFPFkGXrf70ogzPFKeEmN59ykDsyGKMZhiGNtb1Sv4Gl3RhPB5gB8pRkz1BeZRshfj3GoydFAEKH
vEgwQwzMsTGn5sTKns3Jbmi3yWcAu02wZ7Ae1vnfMrvXvx7ZUXptCzP2Ell2gC1MEeQmH4Mk28L7
FpZ2Q/xihBkov6DZM6CP8mJTxevs1wNNCVjQxDYZxC4frqm/jM0DExZqEyJjuyyut3C2G+8XI8zA
+wXNvuEt+vexumxEQGPzpxTk1J3CNmhtx7JsexLEPprJzysIP6eeg+7z5/cM2dO1Upt3WIpBYTNI
LdvOY2QavYx7QWAEbjPbAkPseWBkPke70Z3Qz8B3QrFnCJ9sqnfAl5oHlD/ErB/V8Jh72Iprgsc0
piUx2Nzb+M7lZze6W9QzsN16fs+QvczWd5v3KRywHT6GsR7LA17KLj4AnQ0rNPmRl3ouwfP52o3x
hH4GyhOKPcP5BAqE3yN2bR2AcEJugpk/YJyKsAX3IHUxFeG5DO3Gd/t9ZsC7TbBn6J6u0/co7wL1
CxLKERT5PFwvEhPkwMEmtmw+SUzM5Wc3tlvUM6Dden7PkL2ps3X1HtiC4FI05vyf9POOtZc4YDRj
E7yn55p5Pke70Z3Qz8B3QrFnCJ9K9eEPEW6yzXvoZ3YApR+E2t/18zT5AO4RYRRq/EDMx2sSt3wj
c7sR3zXIDNh3ke0Z9mfre8gpv0MExDqAjDIEKvnTboqpdEPOCVlQ0Mcw+MvPpXs+R7uxntDPgHlC
sXcIQzLiHQDmBw5nkIhAT2nkqVxDwaZJMTjGziTscbaeydBr+D4nnwXvc4I9RLeQ77IfikNSmIH8
2k/Bj6kEg2/sWIzbBMyzh2sqx1U8l7PXkd4aYSbYWzT7hvdGwObG+F3Sx84BHkOYnD8FraeAEwrb
ZrhFqTPxpM7ewtQrWL8YYg7YL4j2DW35LkCDxQUbYn6Ug4xwTl1mQmyInqDp2jyTn1cwfk49B97n
z+8fsnpTbd6hRIBaBxa3OKfoqZhvmnuCQlzLtJhFp7scz2CHx1yeXkV4e4R5KG/T7BnS55tm/S6b
WWFvhEU47J54srB34IwwbFZmziQ2Mp+j3ShP6GdgPKHYM4QvqjV4z+9gYlPIIkP82rZe29wI+5lN
2P5mTZ3m+RztRnhCPwPhCcWeIXyZ1dD74h0QBhOaWhxKcZ8q9qYrMXjJkFyEnhN0UrE3n6PdCE/o
ZyA8odgzhK9iqK1X8f37iLFjI5PSpxzjyyQj1OdC5T0kKCbm1puY2o3zyyFmQP2SaM/Qvl7fVdBj
Quj3qAexD0wOm9IZbJh4uF7I9NhHZvwHEs87Ap5v42036jvGmAH7Dqp9wz1WadzL+tdr8rHnBMUQ
K/neWmRaBQThMAsaFZgQ9NyOk1y/gadX0J6OMAfrKc2+Ib0WH9wNFGG/h4RbYHaRcbfjKyln8LAY
IggqPSeW9/WbuHoF7ZdjzMH7JdWeIf61/nv96+UairExlIBBNfZrW+NgWytkn23wp7flei4/u1He
op6B79bze4bso9RUYl3dv0/gE4qvoQsBtiEf/XBNPWnMYfsrQ1BNtA3x2xnbDfYr48yA/RXKPZwA
frwJ30OXQ6U2hiwWVGtPg6AcSvKpDbPiScu/xH42T6/Dvj3ETMS3ifYQ7CVEVO5idSe/f/Nf0L4R
dkFyGyEOFSWPdvkOC41BA0vTpjvE/AdHc5aY1+F+OcxMyF8S7iHsx3Jd1u+VrAYhZwQA3qnhwWIj
DtQQOs5jMHVShDKq2Tcw9zr+00Fmoj8l2zPsb2ro6Zm/S384qFKwYe0GZB+Bf5HTRAfUJhjbZGK+
vYWn3Xi/GGEG2C9o9gzpUZBO61h9uPg7VsV7rOcmNCIhFuQ9QNeP1w7AoRkRgjY0O7T8G1nbjftr
7zgD/tdI93AWnEH74ffA/6FqhXMImL8SfYNONcSGQge2Q8fPZup15LeHmIn5NtH+oQ0dA9119ff6
XSoN2QGs6mOd2etdDyzHhg5j0Lr54fpuVD729gWZext7r2K/Y5h5+O8g3Ms54EEl+XvEaCB/AvXD
sEfgtf4m+GCsI4dU+CSL9oj9bLZ+hvz2ILNx3ybbT9SrepjjNb2tGz+UuUD9KWboezf+qf8OAXdo
GgtWwLT84Qn0mVz9FPPnY8yH/DnVviEerd+lPSxsxIUOzhCOoa+FYQnY8RDFA9tvot5nc/QK0tv0
c1Deptg3hONN9S5KHLqeWAh8MfsxK/pyuyY6gJuw0Nu7XfTZfL2C8zb9HJy3KfYNZ5mt3634FIqa
xgLF3Q4a6G3mAMgvkmezOXoF4W36OQhvU+wdwkK+R8NfaBbKqGNBv9DXClAfYu4Wg+0FE10NBb/z
OHoN4S36WQhvUfwXIPxzFrdeeTxI54/vX3hHBP2N5x9BAB0ON7Is8LN2Sy5sCLEwoA4J012O1vMj
mx43fO3iaTeyz2m33vHxFX/+Uf7rjjiCs5lErLJ1/R4lhxw6liBoIWa9tqUa2iKgcUcmn+zbehtX
u3HcMcYOOLf+Cg702kG1b4iPTbnfowkGlC9QQqC175NIvvCSYDMAlLJAfHxqN8/m6BWkt+m3IN19
atn1NsWeIfxVZu8R7oTzbzg0noKWj5P0NWS04AbH0Fbu+xLwGO+ay8huWLeoZ4C69fz/BaSvn1L3
46w/f63Xi4dTAp8dVPfzuw8fB842nJA+bWTesa79aNh4dP/7R9hfR03Qsc8W4HGg7W3QYAt9B26b
ZgMu9u8fDQxVKTa0PoGtXASyW9Cb++OHdvN0C1ZiE86xY9AaAzYHmCDbAs7ain7/CMYZB42AxoYp
NpjgDKpTlawfbkHoHHQBNLuCGkYMZNaPIxwvZdaHUvz4Jk9//iDq/FLGQisY2IEEWvH43MivCb3g
TaiKsvF4nhpUN/Px/t36auy6Ap/gf9SA4r42a+s8pGI4LWEXQ6FcaUcl840ubIbBHYKaNK5BrCjz
bR1wedajXNWLOk56N9Imys7sOka5dkkIvxF6CvUGWwRGzRJnEWpBhEuH1sw6t9VJHX5p69wo/AGF
zMjdlBtOcaRYhQvXaUyr+1QnnLg8MmS45GZleHUnvhBUxx5l9FALbrtKNdotG9S4VVzlbh0aahnU
6CYR5KwSVraQeeIHPboSfVy5GHfMlUFxUsj8RJTBKW67214VsdtxGbhFka/q4ijLw8Dtw4K4sZXE
Xsp16GYdb93YjlO3DobQbbrhS86dS4ya2s1C6hq1St2iE4ULVUmF3+b2cSX6e9Lpzo/r5k/dmdTF
YXaSx8j0c9lfKin6ZWs1lmfVTu0FTak9yofOT7WV+agXw6I3K9OFXnYLZNa9n9S49Fq7uTdYd5IZ
cejVVVB5eYDvu66QXm2qZYLKw9gsMy/H2Wlik8KLq+q2NvvcS8r2VNVp7TVxQxaDpNcGQ8uS12QZ
pIGXG3nuBlVQHLEoDd2OyfOEyKuybL2AFyexNXhRlwi3sUsX83LR19nfrC9at4oaX1PkNlnqZxEz
vKYIj1mQL6rCtlwRDNQlukvcKpPp0u65sTSoPsuNAS/TrEpOUT+scBh+qYVIvFQ68Yr2NPYNK7zs
eBW7zNEeLvVxUzeJW6LqSyh7mImpedL3+FqH3cLqssZNOnyYiuQqFM1pbFI/5XHtWtYQLwKzz9yC
GcFhlQaRhzrnEpmSL+ySbmSG1SGG/cmeKeS5iYVeRTRfCpp+ho6+t3lSurIoL4yoKDzupMRlmZN4
dpYskyy/bbnt91nk1oh+RUUtfZ6Yq6bNrrvUPBJh2btWEOVuZEem16ukgYlOopOiqLBPnQEdRm37
RXBC/YToL13Q3mKmbphKczeshpWInItEmZ6R2C4z9d8dD4SrRNt6NU8Lv0yxL22c+1TX10EypK5M
cL2QfXgUKhYelrq8qq3ha2qHf5Wmir0u7hPXSeJykTQMewzVn5sYWS5OWexLKzo2DHmMuLMWg125
KCyJRyS+dkxrGVfsplBoZVB52aK4dbuYXjOObN+OUO7SzjgPI3YW88LwaBovuzj7EjMuVgL36zwc
usO0Dw/rpmKuEdmOJ4xU+DTP5FJr8TURZQPfJ5YgZYN94qDe9h2MViEaqtPYSpd5y2GSkowtoHWY
5VpGu8xUf4Ex21RZ1LiyKs8Lzj/LMoiOq5xmCwt3mzR2rhIWc9eiReDirOtdNfTf2iZP3KbJhB+E
hHnE5rZXKI1XGW+lF2T1tRWkMHXgDCQ3xYaECRD3XtlL02MyOkzDbm1FWiy0JcSis5yz2izPsME2
qe6oL7uMuVXaw4TSfDkY6FvVspNQxof9IL8KHpKFFZVHnKatV3T4BFVls7Q7o/FJbV2xjrCjUOeh
OySgSjBJznCaH/dDtOp1cgItTD8lVXCSZ8lRpMvrICq/6c5Rvmir014GF5ZR3BR2lLi070sXRaF1
4oBeBN0oQXIzuuCybldJKr8IqXuPtw7IrApcM2irRRta2oub9tZRunZraYBMiwIGj9OvHdUUxLFb
pnWN3Nym0nM6ki/TPvpC2k1b9bnLzSReiJ6dRFb+tevhi2Knvs5aTRZBI2+rhDseVcYtYeYmCrXp
9ilH7kDNI6TkHRT7/DVU6FuDYTIUwropKgCshSShb8L5xKAiRLksc37ZJOkipAF2jbA13Cxrzk0j
vYJX9ds6uhhyxpYmK20vbAziDhk/haAH9SMbHdUyjb06sLsj1prXpAj+jLgzrKos3uStat2AtZ2L
20EcqrT5TIUcPIt3g9t2VeMo9/kxvFvr750s+ioOo6dTlH/88V83Mod/H87l/fdfjocw//tPq40c
rUA1fWi0kn489e+zfUer5MdBvxNb5/Ek51cMoZ/efN1Kem7wmJDA/5mB9Dwk8BhOeDA7Hqh+mEhQ
2Tt2HkJw0qcJ9ggM+N1EIpA2HnfOgjNsQ0hjrAZ4MpEYBCDxuDsejXEMOEQUfKbvJhKBniYwIBQS
2pCKgMaQbzGRMPzGtoXkwJlX0LzMAkOMQnEa2PDPLSQ9UFgN6ro7Fy11Fk0bRIUracJTMBLa5pNl
mP1x0jUiXSCU6q9asuZzylRXusoR5ZdnX2+HwTa2w5tyAzXO0EsPToGAQ3JHv+E5N0z0RepEdXNO
SoHPw3QQgVtz0ORe12jpuE3L6q+8KYzYrXJbl16ZVLC0B4PizINmAuLe0RpdwBhR7ZMsw58H07Dx
qrfMYIN7A3fLn3M8GswvOIa97mCxOiasDgRNOI55BNj2+px2Zhj6VjdknxuILdOl5qBg3abvcOLH
PLDdgVt9DCoC0VXeVD32q0bq+6hTCnuxUZi+giPMG1fnEdh+vDLTcBHKJLpMa+c4V06kfJB751ZF
5UmatWa3iJVhncVgreSrn7/VSxigKSWsiwSOp4UC5IeXfmY2835UREWmzoUOnFsZgoHtspTA1ChE
3V2C9nCuiwBnf/78Z8e59txah/ZbcLQip3DID3T0IXRk69nPmqgLWaFCcS7sAZ/jNKrPhaq82A6i
25//EojPi18CfwV6b0IvdIfbk3lWCNYPZRXJc7tAbF22sspWgbZ74qZFtEBlnQ0ehUVbegk12/w/
TZpxUmy/KEwU6NfM4DAjaLk+/XnIS8RRKPL4nJepuc6T2lyn2ciDOeRqYVVSuj0C6FdtVrbELVPJ
Nzpz1FHr9Oy0s2iFPNomMvUSLvLPtCrA4orsvt8URlP4yBhy7pmOZNWhSa2hflT0j8etXz4y+tyv
Go/qmPLPR7UB1SzgWYHvvw0UsmpTmGZgnOE6yNdxpVXoYiPVgo3LtAiP2yhO/w5tpzjthjJaWpJ1
sUdww79pPgzS66OQg+2RNJu4ovy+MYuIH/8cYma+ABlcJphEY8UN1FqZU+fPquwYVZGmZwkri8Cx
fe1EwwrcF+osdVPXXtWV6FOT92btRlHEvQqLlSJVscpYQbw0K/OrIjPzzuVZC45dksujXmntFmZZ
fLZUavtBKQKvlkkSu7GmCSy4iRLnbWGoi9IY6CIMsZO4xhCI3CNNlB+als6uSBJehr2gnZvVvDzX
QXmjSW5Q32oIfMi4J6AbWA3eKWrt5DSLTPtrgGp2HIGrezqEXeN4LYpYDme09/GRYY+2Stvbg49b
0/CHpLsrVKmva2TwyG1zMNsCVdZHLCDkpoxwm64CbuDYHaI0+BtqWqrGjUVp/FXnPPeLQpGjVIri
CJdOdh83hQVyT/P0OnaCjrtNycJjcNNqr4fvsMKMOBdlm3cL1lblEvxR3CwyOEM19Jo2tEuvIVGw
yBWt/LpwLqLACJGPsdSHsNSQ1hMosVxb8+zPLkfRCamc4tqk2lzVTmKQpbLyYW1bsloo1CXDsgHj
f2l0HVoTlbXfVFgUpjcQjWpXhKQJl51OJAhH2y76sKntZSWDyM80zQ8FPOpCO6lKwofOG+4mKkkM
jwctd7k0wSxiOgs8qg2RryoLbDJW9+hTSzHzY1WhzE1gJukl1a2jVh3l3amVDkMWfKrbUoOv2cdZ
L6r7KIgIGb6q1uh4HrlOBapc3pE+TzSt3FrXdYHOdarztDt24nJYNU6tg6O8iuPCTUgmrxE36FHS
U1p7NWAArnuJnA7gym3bF0EA66HO0rZcWGkbIq/KNA4uohJZXIJbwtvI77vM0aeW0hRmVBtIrMDH
grVwaRlRElw0IDpW6JV2YcOEo6kCBzGLK8fNSli8gkXXxJZnBJCGAZs2QILBkbxBnnuRU7fBss14
li9UAFbB0hRhPnj2YILGFCRltZdHlZG5jepDdali8MEXMoztb0bd8Bj5SBK9ipld22DkBmFwLCjX
YGd7olPl0B8q2LxaRYsijHi+CFQzlEunUiJe9pmV94dIqbzwTNJnscc7cINXVVzGhgewki9GkQ/g
h1IrzX34DxkXWYIMBZ9ciC9Jnjv5Ea0cnS3SSFtXQ60pXSaGJPgkaiPFBcRlSKRXQdUU4hoWY3qc
hANJl3UBHCykzsJhYeNucDw7gTjBWW73MLUNEJXKDzCujytqmpkfBjSsfS4agDPmCuwTMSR02GQp
pCx9GxgAD7fPwWfCKGaHYcxTyyNpWlI/lnHgD3WQmq7RVoVzmQRtwjwal8ng5kUyGCcoyNgSF0Fo
ArsQmFngPhrkURTjNlykDotad3zOxU7sCJg+IS29ro2NwdVdbPwFIRzZG24MckTO8SDiIXbthhn0
ps9aUp9bhdNLXzilPjNrAUtSqHgKBE5O4WsFcYTF1wFnIjou+zzrlqo1h/gE61DfsISYa7ML8sC1
MUzeZS06ThcKIhbAfI2T3M9omSrPboNFjOPya9a2YFkkYdJcK9Nq/y6qiB42vA2DhZ1C9NIVdgDj
mJlMuqWoGnw+dAVln5Q28Q3WBjzRWoayPY173i0akifxYdUR0h6BX6rIRWxw51agcpycSVKqFc9U
pC67nmnbQ2UL2EStAMakAqV7AiuYc0ttBLM7By1Z+XBiWSePtHICcplUdZpeEVs47KhjSVuf6U6P
xmfUd5dmaljdQrY5/LSUw9C44EvqYYUgaAMvP7Legn4CvoocnzNTwFvUpQmfKkplOnhO2oDoFFmY
xp9ExUHkqxqsghDugU4lWkQXJWZ9BcHGIkIAd1t1NYScIohnxqguu2UHvZjoom9KMioNECYP3ggU
SOfg0U7WIr8N4Di+Y7uJY9uF+E0K86IPrXUrKLDRVUl/RXWH1EkIZm5yIguRJtc2rBYrJRA+L52w
/Apbjq3SjVgUk2Nph059EkQybPy+4mULBm5PVwWBz+ohXvZ3aZaal12tkDwsUd+kX1orD9VhHhj5
t35wRh0Sl1nkgx9g00VM+kgtCyt3vhgoyCFEUoSlyxmoub5qo6tYanXi5Gli+iapSAhqz2SwHEXE
AU/caMJFRgSIyWAE1DliQuJyk4NC7o/hOCOQjXbU2IvENOCLds3QLGCRacsTXNXE8gIn0w2stLRB
YHqXyV+V0zg3Rg9m+vHg6ArfayV65eYQEm+O4pbAUF2Oo8FjEGQIjwqApfWM1LGWg2wafdb1PLtO
GlW6NleHLO8a83BoLQAnRVgNqyJLpTwTVsdODY2YXESlyJuTsG+LyLNNlUc3YImoe+QIUCOgOlXj
ppFqleu0ELCEVaAvr7OwxPGfWA7UbtwBLLD+c6Gp4cBgKqgWETfS8NgIivbvKERG42VcWelR7CD8
qVNGAIGCulTxIh5qmKQx0QlERNJsMM9zq8gytywaZJ0xHLHO68G6UYs2KgC11hZx6FYDz0F3KJUt
cEe7ym8yYlerwS5h9qesC7nfQ5haeUGhrPJLa/b4JokqmGuw0jm3MNdzdSkcgUHBksJJlnYeWRCH
q78Su25t7KZpwz+bRJSt35qhZmcsyOzmqgyUU8HiDjN6UcQU0ATHoe9OY6pTecqrIqKXpEOZdRR0
0oH36jojPEsro2j9XAWgM8Aaq/VZlgXAf+Wk4VJFdhr5bYfQUV8ykPvesjjEaYOInz1YpU8Znifb
+TFH8TyW8Ty0MSdGchbfVVLJb3oaJNka6P95JOVFvmlsIfXMiH+Rb/ojg7jQ/fp5BGZMUz2SfY+n
jI0NxmMkbVjSbUY5+CY/4ilQgMkhNIIoZJcoJnDre8oJ9mBBRRe0uGFjvS6kmP4dT4GUExySBPvn
oZEodEQh5G3xlBe+M5xbCk3RQKeAyQFN4yeupd2FpVPbUX2RxLo4tjOHQdamO7FFVnpmXd1aee6X
iU4PheTZsImkKo1Pdd+DjTfEHpgX2ScnKoSr0/6TDtmxVLlclpmKXTz0EBeAAO4qzhrmsiJahmkT
HYHxibywCJgL6iGMPKcpxTLnBcR9IeXz1Yl66RoWB3sBLIDEK4hix01nDMdmIboo8Hq7j49ryHX0
JDAOtVF9Cx0xQEgCBaseS3COcOocZXXY3BbQLP2EQAD7zKYCbP/4uqhpVCzsvEfLAtux31QG8nnj
CF/SgfpZFhOXWA6oC+ycpLzSizLEEEkmeml2xbltQrC7odJZNtnQuUagwaSIRHtYteocK+V4WpRf
qzY87XG7iFDvE0XOEAtP2kFHrk6K2o1BFbqJbXttDYk7AQi7YWDoBfxY+C1opfVXPyRNsCzNckxs
GGCuRgofOlV9FaX02k6QqI8KKzL0pxiL8hC8Gk+UkXVYmr0S15ZGTuVGdcAbl/KArShuIW9jBua3
NKjbo7HZy6oWaeoPubjsE3VuseJYZNF5iciJrY2lVO2xkVu+HEDVlMJFyeCZcXHfCnIVa+fru6iY
/zblYULB18+VRxGLzVR3PFJ91x1QHQYbcCnko8emhaAjnukO6AU+5rHhfPiHiCsoqu+6w4YGaXBB
+ywTtnBYHPTa91isDQd/wMEPsHcfOlCDZnlbLPZFxAJ69xCIulFw44FPPDbHfB4ACyveJgm1swsD
l1/DWINJBTlJ3JtHGc6Fm0DGUlX1gpu5ixrIxdDw1OnL89aG9ErQ5uVRHpcPGWOvGpOgoYmWCLKi
7ZgetSFR4jVhf4p04FuGBN8E69t4TKhmkFmNxhRrY1SHWarWudWFbo3ZfUBi5RVGHnqh2Z10kKlN
x5StnYIgghZeWH1junhM7KLayPwqNzsfVm/t8TEBzHpkeXpMCgvIDpPeNH0C+eK6g8QxrN9/0jGV
DGbVvUTWMYTpIAM4ppvDBhLPOWSgzQhCVwJy0oODvzRjkjoZ09VRZLRuNqawkzGZPYxp7XxMcPPg
iIZ62Y+J7xIMG5dALnyIwjPNxUkBOfII3smVY9o8J+SqjVO/CcN8kUJmPcDkJugzDXqozl3orQWB
2DERX6QG5CohN5/TPvYCu/hij2l7C/VhHXpmU8bhtSZJ8Rd4E7f9wNoTbauLgkJ+J8MthAzK6i+o
NDiKRbrKi9ZyWW1Kl7Wgk2saEDcK7LMoJLe0VNSt4/bCgLapizStB5+YQ7gYHLDWw8oxVoasr6gR
3ZtZIFfguXgY/JETaa11twanbckKa616Kld1hVZZrUJIV7e5vHVwJK4zlBXpJg6H+7aLrgaKQD3W
hYR8YBXZ9rrCyXkA8/sIaYEOO03kBakC54LlgTruncBjDmjWlluHuoKUK4pQ7EXM6c9pMoChFMu8
XUHM50srWp/HeXRGO7kBO5AcIhk6pVtZdjQ8RiF/tSn1X6jnwGT47XlSa6so548cTmSvdug5oPqu
58aDDaC6BgppGGw0hQKcZ3oOSisJbGMZW6pvm0hQlQPHoMBxKOPJvRCHf5ZygmbNGFoXQLgcdjLB
Lkf+FhMJ9OwkfAx9n6F+F2L9UKYLh0GPRfbP1ZwsTKh16AN1gTJ6k0p1TZR5kjP1Ke2KxG0bFh2H
COKWmB0mfZ/4eZoGy6CxWk93deCisgC/sG9rHyIZV4gNUMdRcOy2TFuQD8efNCohX+HAWILLaJEl
BT5ywoq4RZRdV1wk7iCk7WLZnRklkm4uksJrh8bwjM4MfIhHJYusIYZb6bY8RyK/gcof84w3gzhN
CNGutEgJNgaIGMn4iikwb+xGtp4VRZDnrsRNJGywfYwcamcqdVQW5jKwdbhQKYQ7OMs3EBS/hYAi
JHuJefi/7J3ZcqU49vVf5XsBOgCBELcMZz7HPp7TN4SdaSNGgQRC8PTfIrOrKrOqu/9R93XREdXh
tM8ASHuv9Vtbglj31lI5Udar87JqB4ufv8MwBBwCSiaWYkpbuS+dk5OTb5q/SRIPYb4TIsuTSY8w
CJaxxDdS1UlbmypxF9Wl3Vy+TQuWeTPIb+MwHZwBaEto4wNJne2VZLezFXTR3KbWchoH52A89uqX
dC/s0ovC2beTMPBPMpe3RWNM5GkGa9A4NxWVdZTbY+owG5eEBCoa8lztA+nZEWTCOzefvGto8a/G
ba+qZVAJalLHhcOdjdsLN1KBdjaEYivrMjGkdSVBNFWTE0mbndyC7+ex8CJf8qRk7Z2pFJacZXTS
nsDXYArFMg0hOFOoDGneD/o+H2wSZ074nFuijETRbXu7PKgqePDC5c2x8nbbzFU0YNkrNQ8T4XKw
TRAaQdF0u8nWbkyH/oBjoBSuX78NSQNyJ3Na+7bzhvaeZT1eWCpsB+Jm8eTXQkxi72rrFjf4WygA
esgybw+8cl6AP5wlhNLEYh6cv4l8mGn80ME8b9RguqhXLNtBu3xv8IhGAm8lrlYkpJjGe9/N1bFh
9kGX5ZduCY9L76BWFHwrJuvUz3MXKZvZmyEHLSCqDKySUpehXPD46AeeZ+89D9iuJVCLS6u5B6rE
oUSNzz0J9lU/5DvmiwMq1hrbIG02TLV7mvuPktv8oIeWRlW53ONvTqde+xrikRDpkFMZfxcKtYTi
64TrxTNkjm2a0cTJvGclShnrZRwBr7XtQbmjiY0VBBGfiz6qVT3Ei1HiJbezfNdyLm9L6ofRRPrE
tLOzYWPzxNyljPKBQ5spnUi5osAF6to0q8sROlEFoGce3D2YGg4siPJEuuPeXgBB9IzvAyertxTv
JeopmSMsi0PEoC+oclgi0bc7b+h3pUWTUiwDdPwBfVBtOXjSvCGGjmii2eNBEuYqGTwHSjD+w/L8
2zIPI6H0o2PKoy/HgyDzJfTkvQ5AyS2q2XIrq6K2yZaorZyLNuNjIfw2qmd+23jjtcqnJ1aZs2qW
F5VBrqrgY0eNKJ/g9Rw8Y+9mpR4GRu2oH1s7soUgUVibU6X6NLCl2DQzU5ErzTmT5Fq1c52ayUkD
tzu449hGsxo/PT97LXLnBobaBf7fbV8GqNG0es8y30RjtbzUHNUFEBKWQux8VQ0YxGzO0D+53YPg
3tFYnUh1jbsGhu9cPZGx9HeFR1uyRUzKTbmAVeEXIvmnVbFXrtb+n1wtbLlR/UXm+PFbv2/hYKdD
33bAZMAOhj7x0xaO7BKyaQzHoviA5iFY/N6qhDgrFqgJguahz9ZBUz+3KmtjAX0E6t66v4d/Zw8H
4vuXPTzAqaQe5gXjLYCyXX/+k1dvpiyH5J15N9XSBfN+oaIh75qTIbuBnEqa5mzBvtuxLKhja+T3
s5d7UYXOOGld8FZORosI7naVjuHgJcpv7J09VWXCDJHxqMWbMy/AQf3ibemVSRoC/EEqegTJCjU7
K2/LHhping1p1ygPDCd0TDaDQCxCqhJ0KRmsvkpHk9XolMuhTjgdjmPbhWA9i2ft0GtB2i2tGxkL
k7R62RY9Gi5tNzYWQXFd8OQKKgDvKj8qagGLZrDyOISyGhVyeQtLeaW0t3GCuUvxyLq3rj3U59Fb
xAbmRZu4WS3gG/afJMvfxhJNUWMF6TB/TMb1E3inqbZIntRNewYj99y1ORZ3NnU7T8EtlmTq4qpz
eEQEOpCFhTJ2tDmSpShTVy4fI8s2o9BHJ5y2DjA2jLrZKqJSCXvTLR0Nh7CrYqnJxxDCzJ6wQoV2
5C7k1M7LbvFheo55BmEjGGLdFA9sBD9Y192uAXdiRPlQh1YClvHaSfvILeC8Dfhc6TdXjUs6Nh44
CVPIdjtYDtsw2h0cv3lvFcdGH2QnW4cnOGBt7NVZSw/oxuXVMXaXvZayBjKoiMjbq7UMc7dtnHZG
QVHZLxBqQhFRXX11fbIxXIJQdsevoeKbwA1zsML4cTFOH73nqLhUJowabXbDzC9em7HUmsy86Qf+
OVlUolucv1A7fBgWc3W08wpO4mCL5UuhyzCmvgI8mHvfCtccJjufX2veV7DxO5AJpMX6CVfcB3xc
+vIKe2AXSGad4Nc/zAU+FtQ1lIA5u8kMQFR0N1iF/WTkQxX5FQ3BUs72bgk+nVJ4MLuGJz3A6Wg6
z01qOG9VHpKtbxUw0oEkdI6P3lnL2BL8a171S1yP87JhE+rScs63rqW+FJPYCTw2cctaE8F5jLpA
LdicV6oSqr6ZvAwlinU7Z9aLHOwD7YgDDLd89DOew7d0AxRn2BoBQkCn39VBFaDoEYfWByjI4aqO
PfMjTqtPxYebrvHetMpOtMa2XM3lBcXKsSNQ66gIjy0s4MglRMcl9jTJCx6Vg562vYG8P3DiRG6I
bG/FviyBSJt6BSLzL6Qi3f1iUb4is4AfXP8xsPi9QaVth9NLz71i3/Fwv5j+mOWsO2ZCvVCTbQEN
3VuU7jlhN1aortymH523XJpG7iqBe3Oh85J0TjsmICjutBbbCqZTPhZbWfIwrUzYRnh66KvSas/d
crzLmOaAHupNY6YjHVSV/rO1/djasNL/9+4UXvrwn0Q4/NJPOxtOcFrH4dhrLIz+3Jy66FvRE2LK
aYC9ap2H+RsQaf8LfSkSveGPDpRCn/tNhMMhJKB7oLr7PsG5UaH3d3Y2xEz+urOtR8YxvDu4BQC0
ft3ZdGcUoAZObpTxbNStej/NXp84JSHQMfqNIO6IznB+DrCYJir3vkrCTgPKpsRffcvSQCMeJD8O
k7Cj1m6xE9oyYks3Jkbpi5HYoLxQiliI8X0O2y+8yFOY6XeVV27beTi4xL3rO7SvZT+PUdi5Cuq5
e2obYAG5FTyqKhRxHTYDHMXscRHlsw9cAq3EYmJqmhs/JzfORNOwF4eg7veVv5D9opGsGCuXxZqb
LdDK1GXdJ0yEu3HK/UObZ1swv++smKNQLU8GtkNUuY0bEaAJEfUa4O1dhqwBZMSg40+TM75WRnsx
r/jOHUFjdyqAsMbBuAxoJeKiI5eq6Q915ZFokvKz19yJjCXQDNTspmgkmu68vyl93R1MM8AGLNDQ
Bo2o4HRKbLV2nl0UFXaCbmqhUe8tn8zV1UV7wdelwJfbZQ2/ujAZI67kB4dQfy5FvfdDcNKZ281b
3ip2owrTpEEw4aqNHCh7PuRxhcce4EHLI3QbdFtoCJ5UwqP1TJBf7Zw426Ur86jPixr6AMkjIEXY
ehqSp/ZclztCTJ1aReFuS77CggvQN2pgTaOCh8OdOYljZuhwnio2Hra9jTcB4pfN4G4HQZq0JeUJ
ZsNxGcqbqnX2w5wvSdGwz2wpaVQGjZdaqiDJPM5l6mTBvK3GvE7tkjN8Ec4Md6MPt0NJoYIaOW5D
FwZxk0vQf0Ar7qDVMQR/fJ7i8PFyZ9tZliAhQCJFiHWtMbsuahZ80t5QikyQTTcstwZsNhOLZpF3
qQVgAw5sVRx8dIPb3OUPs6tuwcq3KbfYHImhexe1An7AKSChPvQOXYguI3dWyHVZv6LCbV8n5ZeP
LeiUSPGw3c0jiF7X5AhGZK1z4zMIJrxbUFLhe4+ItMYdm6Ao8smDvhOMxbeqQd7BLoMs1Xlj7eyh
3Ix+nWZZiwYSPnXUhK2MUEE3EfrtMbLKiSWya+qY6pJeF8dcSzPe0ampUoXCqIhrt76Abxt2QCA+
h3Z5HxzNN0PnIPcU1vJcwM6OiaFJLXu6p/OEXdAK9JZlrXfnWuNTEYrBSuxhxNbEXeM4KEm6r8iA
pcFiVQBCyhqVHO+3VjE/ONbkoJLJaYyS6NCiWEynaXYQBxvhqakZ2zgELLBFadG21gEJpl1ByKNG
5xrDzXto+vIQlO3tFKjYsoKz8l+zwD2OguoXKD4fEx1OxrOsqIWIm7BpnE4jWKZdGA4lClXo5Xll
n1y8Gu/4UWvvswf6EztLfbYn24l0GDwtDORmUS4MmnfzTQXAOUF77UU5X8G6n1CFAzXkmiRtw7C1
Fg7wFs39xMzCRLpAoy/xz1sFLyFQxN/MMy6h0zc3o5Xf1yZ7tcX4pfOwPDC700lQyWMxOW+mohSa
GAEpqJCHc0bkKwoC3NWTqS4VpLLFaSAf6DPq4ucRBxskgeXdhgYpOdEE7Z75Pv7lYJdocmtkLAZx
HEt7B0qgjbWXITsm+psiHOaoBAkWWSZMBiM/VEZRpekiAahHv8DEa/xUtObcusNX4QX7dvRfAAf4
+6JxolIu70AaAe4Js8OHrjcceT2AIEtS0+DCS6wyobDQok9xFSJco4Wzs3q6m6ce5VcB/LOYrkgx
nmpXQaQq6veBhbugJRcn77aW129zAHu4prGpHfx//42zoohVMX6qIrgFATykWsz7YS25x7Wd8qor
ICsLe8EY12Q+8qG+NqjWnYI/1KjeOW13wVrOj6jr62KIQbhI5NZUEDWo/TNApEUdM1sZQPxuDAH3
IxtRgmMfs+atYq5ikPyqOs5pe2cjbvdPbfQjTrsS6/+9Nlona/57iu5f5fv1V3+vkHDiErRxmwIj
WDts/Oh3xGEd9U+RNEAfDxV/PRzxD5sS0xRQs0DBB1v+va75rUJaB1LCTfz+x2BX+n+rQPrOTf9M
r0NZwP5A8bghJEDhCfxaIKFyghwMFu1mtjRFsNWFJcijtmXlno68vYFudC54wC/Ul9tsof61n6sw
WnL7jmTeXSXHD2FDwjeG70utjzxwNpqMp8p1Y0svh7p1Tqx1ksVdW1PPvM8dOdk1Io9kbC6uxzZZ
HpwUh7E+W1da8sdgbp99M8SQaT+Yx1AtMShw7b5CgJFbFrZ2TvbYa57kDEjLs69YOC/jDFohtC8m
gM0XUsC8bNn60omnIn/0+yKy8InSWk7vYTGcs7DaDJK8krze6mE4tBndDCQ8aq+/ZJxfQmE24eLF
Oe8uo4u4mujP0rjPOL94xx3nEkK0tiAel3DahOWkegyTXi0Jsh5fwkLdIrByzqc51oJtsfWlpKYX
6XYgOj+VDN20AXAY83EEjcbeVmK5oN5zWeq9pcJE+wpxsWVrlTBLuiWinbyfFXC1zBQ3uR/skOVB
AUsfwZXtllndITvz3rrmYrH2wrP+pCnQ9GU8NHLeAQmD/Nl9BmWH+ChytVkIW9W7CzjcAmZ1O7ip
LVKj07kaA3Cmc3/ss+qNCO8u7GjMgWOsXDvW/uGUu02ywP2USxurwLorQwPoNXvymvkRHXBKWxQG
PUeitUKMmWd2HwdNfy5YPW3o1JtrPY9ZIgr6BqREbrvebFnnj3FuumfX7XjUTOa99b/zJTK3+1TN
4bSAG2ay3JVhy/eDkLK8gUdkiqj8LmhCxC42oTPh6hu19y1hbwUCH5HFursKVc2hRSEYq77CFlY7
5Gz8RSd6hhtTG+j8ITDOJCNLeec67rZybRX50NXL1lErLgqFtYBk37rY1NGPBlHZwaQYmF0i4zp5
O0DTCPrQ+b7w5n5NJJgoA7C8AY3cxYhigWjN1SNDA59WdFw3LvdasBmJ8vJzQicfobZ9sNzsq4DD
xGbvZnH9jSerS6+qKakmvQouH8XinVk5PFsTfu8sx0FDHANg2ndjhToVtUYjrq5A3ncciqTTaogy
nzrxwr0qKTvvPQdeB+8KmwKSBGOivPBSSJ1HgSm/hdaIXd8bm1hr3idoKT7yLnxtZ/fR9+kH3j+E
ZQHwb55JjaZhRonXkC7x2xKiRZUVke6cXVfLhLDiBqmIA2umJ8/Mn2NgH8qQHZBKReLWGlNEEJ+K
xU3Dpu4vczb1m0YjneyOFj2LOrtvO9SPeVip1F3Lk9Ej8A+d9mUqF3zLffPNEkxEtplkEiBxsykr
s8+selvaYRGHi/6yCA6DYjA3hR28c23ejYetXhpAWohr7QjVPn6z3uVQViK3dzesQ7XfE3ebCfdl
6FGbYpmKe4ViIR+BmtPiZc4J/rjlfS2yHiA6AiDg+9+tUSbKpXNsMjtBbOSZ5GtGGCnMBYJo7MHQ
J6Plxt4g4SzI7oFPpElsGKCI5OK6myx7ITUqj6zLAtxfZNNXVh+F4YRHtKhmdJN4LOXEFN4e+Wzg
aWx1Bvti9GUE+2RCtdzvi2KheG/60IFSMA1IiBmMBWvIfuL2hQ8atLR9GCa2RLUVhlFhwe4fbfgR
3L6f8uHot/wBsDWCtCVNWllqVN0TkivGOhUjoM12ruAmeZBMmy5I6u8UGudVuwHQBTbNErBoMBfA
RgYc6Jo3FBu+wmytzaytvQJuc4vZBe0KvZnRhYU3XyHwwpBZwTjE44r4H53mh04DuOm/1yJIrr7h
tME39ddKZKWifqpEsNeHMP3XrZ560Ep+r0RQpIQ+WIHvczr8lVX6oxLx13PnbKTDEG77BZj6MS8E
JAFDdmwlMf9WKbK6IL8E0daDMtazRynoThfHhq9azk8uRJszNLWaiRvbrvMd7IAtz6GWQzw/joGe
QQS66oT7SGyJvcDLMuNtW3po19vmXXquSJSldvDq/DQkco7ziRLsEryPIRQscFAnN+EDs6Kgp0sC
cbm57fPwmfsL7E5JSGzs5YiIwkn63o6JEO2/xbf93D1nLBfx0rPzImegNqLSu7EeDvk6fqHy/MPC
CoxE8IIzdb3H3AfFOBTsGk5BhYeqAMEg31zfgwrt50+68btoQmIQGZlAx5VezrQNMF0BUQqHkJew
Fs/U6GNYOacpqB8svzkPMBJiUPOPrczQ+DhIP2XTMVi8O8yk2Di59cUtTJz3+QawRACqrDt1gXhx
Gb0QjmkC3MfqYWBk4qZ4G2pYkK3BwmsFQ4q5GTzC04ilXRqKeFA/p4y1Y6q1nhGAa24kHA6kschO
cBdzSKbxMtWwS/NlcrZ+NWxK2sPU12XsV04bW+5ySzL61R26h2rEABFMgIhI3t4aj25m3uwLJCmi
LFC3dAweeZ/laefNL7QA4FVMfpdAUaziui3EhhQzwv1uAPltuUrTBhuH1wfj1B98aUDiD+4j5ajw
ZO1mMXTsm1IH7qXOgp1h+X1/8TgqWLAGEzvSuSwxScHeFIEGr9WDkh+WMh3IoEHNsxdOobyMfetG
tSi2oPPaqGrE1yqgIikHLJpu72xqBgbehrg3zLtiBjTaNOW7lOQDx7F+QB3Md3nvXdb8gNF9jsyn
btJyrr0n4leISs0MLXBWxKLtD41P97XvIJTDN5LlsOGR10pnYzDSIqfzln2nuVp/HNJJW9eim76F
SzXJ2LfB/GImw3bpPRR2oBw8C3MwenAPIV29dDcDJ8Mw9wPTenbuikoIad6QJHoobJFo1aT2yhfj
1sV9FD4LoknMV+gCMlSfFiHGlVQBKhX4yQFkBWAacJ5QAPv1XaiRiHYzEiHvum9Desq0cqJmxT3q
vMRzEdRjyoDnbMiKhVA86RtrRUVsRBKOM+iRDBQJWXGSAVwJWwGTNf267+DKRXzA4BBrAR3ggWfA
aI0bIfCklCusAij5NgO9whvbTroVaKEgW+qWvg4gXZS4Fp7XRRIQDGNNtjdUXExWw/4DKBO64pun
apAaQGgar+nSoFIVBgZZVdKtpM3kr3xR7+cJX6wtQIhyeXVXNEeeynKvgOsUoseAjQy3gW6yt3ll
ety5P2cr5dMC9zGdt2sdbkE3409WXn1UIx4ZtxW4twELqRAo50oPhQi4IldRP6Bg+AxXxCg3uO/I
Sh2JNk89xGsjqwPSoPO+PVmu8c8OeCWraPqL0chtIVlZppgJkSVmBZzGLBNxLgE98Umftawwb2gF
ouqwuOcSd7Pv5c5e1iVPMfCmRNUBBbialytGDGGuygJnRzV6iTuQV6SXI9RGPFh86bMIzSDSnCuq
pTHZIxH94O04rteKc1UIP4J37K+NR441iC87sx+yFShwXH3IVsSAfC/R1fdyHWNE5EsVwphKqWpp
GauxPI6YlgOhTJPGBSuTtaDoC/WFhRjTcvqnJvhRE/j/syaA5vl9rLIa/hOcgN/9vSyACrEeZoC9
38EkrzW//ntZ4P4LEQv/N1Jw9Wn+KAuc1fEJfUDOtv8LnIBzsRyIdQhO/IAP/x6cYK/wwS8KBTQT
9Fr4m1gykBP5U1kQNsEStuCXbmpdIH0cy17Yh9o43qGFW1LGJW0e5zLH6oqylaGWTkq/ASuAkpa3
GBLjDOWDQbFbMXOvUfzOGbq/jlMU02tljDwjgrvD09TMlwCls19QPJKZiPoV/TUG1utIY7OW2wvW
lAYiOXCJEHtYaLYoGz4Jy4d4+h4FWCt3pJjcVK7V/MK8zViWDE0cKn3Y3l/mtfZXtTenkDHRD6Ax
8ChAK2/tFTAiIibdYsfzNETe2k9INBZ16CTD2mmA40r8YnqnaPrKtRfxneAr4KAi1mhTKEKCEUZb
7Ilh8H7RySAK+0Jzb8uCbomziWz42vUQaAbu2gdBmtiptTOa1x4Jlsk7BvS8N2ie7LWLws7+pVj7
qsarthUaLWj77cZZey+poYuyvPuWY1xcYtCgdcLHFrH2bNk4fNDMXS4o9d+Kzs+OkJuRxfddjJnK
aQoVxrlzYS0lHpLccbFm/gSM/+00VUfH7zWWANRikGflsMFEgXjxggKLVyA29UzsuEawO2UcK1Ee
LoCu3VZhxBvDUDIY7hsGVjDJamuOB3CvkVQVh6uDtPlsF1na2qo4YhestyychnvX18sTOFGeCBsJ
zUrV9hkUHUD8qaq+CAmiC1o4fcGe2dwp6fS3nLrFnjnSYPZchpV8rsUBCUp0eJbnladsars1QGxO
o1xqzPZp7OzdsMJiSLxZ/b517Svmhzkp51P3aM/44rcZc+mrVYb5p8ewezZr3GUa5jGtkICZG4Cp
ag3F6DUeoySiucjLDHDHDfIzPXI0Cnkaew3WWP14kWvUJltDN4GtgYqtQZxgjeR4yOZ4a0inb2wM
mVhjO8jvIHmeR9Ua6WnXcA9dYz6Lt07tWqM/wRoCEt/zQG5xH5DvASFEhcQaGoJ7pZ9C5Nf3FHRU
xNdwEdQnBBqQNzJr8Ajx5sSsUaR/FvMfizmM6f/e4CUf9f+74Jb/T2Y8fvH3lZz8Cw89WjXn34G6
n1Zybz2PDh2c91u25beVfJ1OZNtA0L7P/bTddezjv6VmnEGNfDTOPoKvT7AL/L00HbaYX9ZxqNbo
MKE14xxz4uGcjV/buyEbS1UvrXvbwnuxq+IU5FVM9Jz+9M3c/tgYfp5ngtO5fnkhfBIXuwXgdnSz
GDyD4RS/vhBGUlSQh6vpFgJWtR+QgPbS73pogYiocPMKcfwABssgbsJ5PPVV9xi4EoFtEL3xhMEO
aSWd6qilHyZ4hjCdZR4gIPvdmsuRL5PCsL2GcdBWq4fOVX3f4QVjt6tvhV2ATQlaRGl7t08Ygswx
gf0Lf5Yd+8bEIeiBGOrikmBuHXxnaCkZ1RuMchqSEcmYRFUGJqL3bLHgHHpjGOFjvnCvFjE6uHtU
kHdWA6nX8i9DYWt0N0UZYaDRHhHny5Q1OdYQ5xG8TY0JeRpT21aaZ9TDFUnpDeYtPYdMfmD45Wve
zF/k2kdB9wUqNhe3Pia30aApNkhI7WiYya3iEldIykdB813BvDyuOT+C2XhvJ15tdGN3WDaQpKmF
6RJrXI1gVLIbZ1henaZZV2+otQwL81xjBkJHkp5Wr2PgPEqVn4Vpxkg4813Qj1tUEzu0ThZoA4yv
mDxSAB/GpAru+vfW3GFg5ICZaUH4Gg5oYYhJxh67lBq9KsINkTCwkrh+5RbNyyfDrL7Ipv7Z0iNY
pRawQw/izwnmiwvd3cxADCfuFJvKqW8RWS83hExbTGY753mWR4PjbcN1YiefKjTJ1NdJ10MRBU8A
LOROtMuckEU9FRTScI74ckSG+l5N497xK51IYn+FvwElc5qf6qLwMVxkuXENcGzFobDJRX5zaveb
O9Ug+TAVUtThHnkNB1jftAUVcm0wiwbzPukpIFDaad1+XcoOs+AUjxsqHgDUlYnXB9VuGskWKETs
kmwD0xdBatxiEBe9iaeO4f1bW4pcbhZmYZge5pViwKhtqgKynCsR3UcYv03sYNo4bFodXmkOde2D
T56d2M7QOHjk22SH+8KHpbOgj8S4q04/VT5ZfejJsZfIL1ZOzjhFUpXunqARcoB0DGuXzPo3YKF3
TmV9sBCXqQfqBSV4JQ806jE1gEefEjFVzt5qfDAUkz4xDOFMLFRYflHB9FW6WJOq0xdaBio1eXfO
CzuLVWeAoq6TC9SpKxH7GtRumoYXDOZBj4P5l7q0MeBBnCuKR5a01S3gNEwktfYLBoCiDuE8XcwM
uEcX3+iEcTvlVBJk1Z07jBLZGjF8VABGYzPCh6fdC2YPIjSy557ETAlrN9PgzZT26+LPVRzUMGbm
+rX27vWkQESMh05gHKsFYLGVsbtBx8pDb0BXRdKJeDsNrVc6HPTJ0uktCcphYztgcnLtvbaeg7ke
YkoyS0rEyrrt6LQ3s5i+SFGCzZi9JwxEY+fOwuiah7U8ypkns51wMU71/1pGf831rKsotovVlIQa
CHQZiPEvapxSinjZTOdb+FhB5G2zg7kX5305RNZb+wwvaw//O8qOgBrHpNyS/f9exlcw64+q/98v
HwbYdwBI+bAnf315mY2+tui43Orgrcv2oQ1bz7xaoon+/uu4MFkDx11H99lrAvwn0TEcsGcVmCBx
6xQnTG/DwMaPMN8jfPx/vM6vu9+Pz4PvE3ugg2GACJL8+jo9JBp/dLh9S/2jpMgUomn3nv/3Z/lu
1v75S/v5w/zpRUZu28pF2vBWb9QTkiip3tnfMAQVUZ9zg3ssupMpqK6Nu3u8sKSOLvpcbJ5UmqXX
8jBFOxT3pyHBP0zEBv9Ln/73+3PXL/PP72/N0eO0AAKo/Xtk9qcvu8YULNDBtnML9O2SXe3UPjvP
+QGDoyBmJHN0+OJsTXzpN9PO9+PmCF76CiZog4ToP07BD2phfU7/eyF5fpNF+1eXYP2l34tIzF3w
YGTjXOu15Ft/9LscQBA3xIlKiPOEGBj3J14B1xXjv1HcAWhYByX8wSuw9XTMEFEKHNGCC/93XAJU
rL/cQ76NNwZwlK7TLddRcH+ecQlt06fUgj5IGv7UE6SRakypi9quB9a5IAXV062DPJc/Y9SzCZ8w
yzqP7NGIpAnpQ8m8MxHDvinLtNcswxjGoGnDtFh7snrtzgTatNxCRG8AOhAig1da7xjjBeWsdYjm
xyDTqOP81s4iWgflTg0YK9sgEnC1W1Q4YqT3U4VsN9PzTejXgCRbknQc8497Ix7m2XpCpOiRCH+M
bHeBOiqnPbXmG16wgxOAEeTqq1yQl67aKcpL+64r3duQYS6tVi0MDIh22VCddYfabMzaz1mC6eau
s0EgKU9c2ZDUd83N/2fvPLYcN9Kt+yr/C0ALLmCmJGgzk8n0ZoKVFt7bwNPfHdUqdal19d/Vc000
URUrkwQjPnPOPlBu3po8nQOBGiOQVfwJ1m0Jej3sQON6m0jvIfxWmPiYcrthTQ8rD9Ncaet4ii4M
Vv4W8whOrItlcNe6wTh4LGLF/B0v2rF+inX/RbNdJgE5Tqaq2/SieMwSMHdtujz07bQdB6M+GeG0
Kerqm1MrGNvk1h9qhYgoLuuoOBiFfMy64UKrxm+9FbjQNelSzVjsTJMRkDsUQmYx2b7ptHptxVDM
ZMW+HsnWGsigd23KWq4X2WRrRr35Kmak2vvMo6tUT1aFLjXIU/CYSjT5mLzdj1hGIMoMuetDFGTd
bKC/Nw++Y+2Hob0O87YEFJnIq7hpm5q73xmKXS9yyh2Rgxvr23XXCUhRELCtCoFLXI7oQcP3jE11
ls8ag5w5SMv5LXLQvfKamIcUPAN56hSPDg2D9qa3UYqTowe3nllro/O/ZJZ5V0j6Wevr3bA1h9i5
zCdrX1NB3MUYzU5mX1QXhhmpnb2fBks77Flv0247MKfz0Q28ojB2pZb0bCka5zQk3g5x3UFrukdd
iL0+mI/T2BsIWjo96DvTOFm1mV7WJZbSCKjsJhbFsgrHlIpnVowycOTgQgz9VM8WmgWzcvdJNu58
Fg1yio5FhnFmbsw3NoMiwMiWXLsWx7gv7K30iu3Qd2hUQOitxVS+y67ammPyXFHfI+CDxRfzeaaI
gK5tG8Xq/H8hT/9y2eo2pw0aB7xRro9a6s+XbW3NY8bG27jOC/i2n9SoU/F/1Cf/yz/BitKxQNty
Epo/ppa/XGWyjuYuTRwsU937kJ1lfV/6/0yu/3VHqSLr7++oTf7/gqrFF//Xe0r9xZ/3FPgPMD84
zy2b7u7PY2vjN0CVOhwPYGPMjf/tPLD835TIDdyQCd2MYQj/6+c95f1GzWszucbpzCL0v9tmY8//
z3vK43W4DNHVUe/xun9+BpsonIVmjPji7epxUsbYEYesxnhm5aZde4Yjin2Whu5Z2HXPNydvVr2r
ueg3UP532lgelwjHANjklnbMfmJt5QYtNqh1zeW8XWxE9oUi/tG4t+veHqpNE/rjulGG3xTnL6RE
RtmzFzPCdh983MF0PuXWWXB8uziHKVqjfYuXuE/mp3DCyTOm9V1bxTiytcTfG3r0UeJEni39AgX5
qdLRN2EzM9ASpcZWCuSCNU7mfEp2UlmbKzzObDxfwt489k7dQWIc7vQxyrdRA+VymDDGIqt/dxiP
73tln26hPm5R2305lfMFHjsNEJajUMJ17c/Wc2lW5bEe8gpWj/dmjvENR3x14Mf88MviOhNokK3R
XWuxU1WPM+6qDRfNLjOAaggIGuiEt1GFnjZkO7eI4svJjc2saBtVXu9s+BtuO91OThbtmXV72M8E
2MVpWYI00ZzNoM3XLsqdVQLTI4HtMSrIB+dBhTAeKVKpECApLJB8nA6W07/CGQS0ZoELGVgeLAog
4unykTyGyTvPHQPbup8XVNC0bf4lh+D3MsQC9+6Ybrp0AMw5o7W2l3zeFQmagiZJ/UPdyPjGyswH
FMHYqKGH7k0vRoGZWS+L7q7qAt3QcD84eXTC4lcfF71oocZp2b4W1WaihDDYpdIIe+yGWaqvMj15
VMt2xO2Dt7I0FnxWBFy2dmrqhQooLlEL5ygNKXE6DGuOfg9hllVpCnxgYHiXO0d7KHmLWWKE6fxU
i+TT5VIPtRT/tNE0WER6iPva8GYXHStV23rRzPyVERCEmcjdSd+u2MGke1NnVe9WXTAPy1YzrRL8
gbeVZRbMqUvxlV06oQuZGEY4ROS7Yim/9bzyUFx6BC0IiU48iwBza+mH4WjPAv2cjOfbPO4v5ajd
o+B47WnpGGT5q2bQLpq5PelW+DCX6YWcCj6t0HyMCiyCcRveQ8S96FPeodqM7K1VM1vJPP9UmvZL
6E4Pjm6gpIryFD88Yx8IqO9o6W6nNj1Fdbs1Q4WOcMfrybBvCQkpV0WY3LSdcQCBtrY97xgBbRic
6aLWxHsk+0c1UotKgQdGUP8te4uImFrHZZ918lkMnrdLI43gmQRhN8ccd3WjsUmSCPVDqK5EpbTP
bVccLX+8yizzEOvL41BiKhnBJqIcmw51KxSrWdlrtPwWD8o78F8E61nerhbH2ylM4AZVubcJe4o4
9mvFFs7efrERe6R1kcLerNdzh63fpIpRJy6nlFFtMns8VwNTMhP913YY5U2kAzQw8FjqvAWcSTeW
dK7Swf/gnlb+RufBdCi+7SZFG4dnYpQ1uxd1xLXxArtHvzP9cpu7xEOYdVesOgxPviHyfYFGwch7
NCdFTxoNz9uwRHeGbr+7Bbr4yPSuIKeFuyjStC0z5lvK6BazT2ZAzXTfTZCsG6PMIf849UZawFOL
xLSVoXSboctv+yW8S5slJYvGuC+TsYSW5CYfdaydHPCPG4hf4IWSJ0q469aP94XwvhfGNJseGQ6G
Fx0DUkOFmXRCw5DcLcVTgbMrulrMSK56Z6w2LFkvhNfe+8qn3yrHPuDs12pJfOQvowUfbnkORxz7
7ti9O73WrJehPdtJfopBAVggAWbQAIZiBFhle8xRUWaRnW+GXtyABLgafMi4jiIMpKAGPJADusYa
rVUUAjEhGkKCcW8BKEhCdqcAC1JFLsiQl/PTLM++gho08rEQ0009pWeeB94E8AcFGIRFsG7rlXVq
1MsdSqyBIVt/VwJPMJzuCMj5wtbnh9JkJ2qLswNsofbtkhUh32rFYXBzh9GhYjP4DtumRPEaSh2m
A2dsMCX1vgTp0Cq2gwvkIUodQE2K+yAUAQIMBCyIOj0sig6hZUBXf/AiFDkCe515wBSTBL7iSlQW
hIlMJ5MHpJuximZG2YpD8aMY+YdUpFOh/H1VtsVJ878FiKm/9UdJBkHN0eGqUZThXLCp1v4YHSgX
hAfGSHd0/oQKzvipJHAxQQgcEMaPFdOPau1nSSYAPaIsdIVLgc3w7L8yg7p/xRz4anQBLck1BNMn
ix/i11lfVmCVm4kFO2HzPkZ9M5ZX/WRKZ50WY10DSk6GZedNXQf2uojmx8pXjMLKR5jMtRCTMtPd
QXqWQdyV2Xrqhx072IBZMdNzvTRZnObOqvLTd6ASCV9UkWyk1oF3BcKKHbZnlq+9VFNxi/nzaRoq
I7vpcV/eYczb+2S7lG6IB4hvcqQn2ikLS28iO6zBaKhFL7Lu43MYxolzjnPpnkXpsRCwQQFYKwc5
YhWIsNDLewfc+DbknJo2NLhhD7u+i5PHgYsYlHs2PWWmH2N1zap9Eqep5Apur+BSH6dB3IrIlriX
ykd9ye8HG/9WFdcfptI3OvGAPACqZdunnGfWe6z4vK1mn5zBRLI4Pw5xItYWBaE2aoFWcAREStZn
17WBuB0gUFe69saw4ydUZB67jAyhlbjLvOk6TUnMkFryafrufTHYX7rNVKXDELASXn/jWhl3H7K6
/cTrE95WZ68SyfUqm5K9vrBHaNQ6qMi9+yY3zG1VZkyEYL+v5tTcx8DlynFsg2JKDlZMry4KHLaQ
mZdVp2flxkwbMOK6PNIU34QmWvjFipn32Oa+yliGmB5pSL6czYMcDRZZg/6pV37gDV0BV12ESOa6
HVOktyiuLsgxvugsAA+Jh4/PWvw7N8TO5oNDnkPtU/jLNtfnAwS7U9TieMTJG9Tt4uyLUi35w/q7
r9geOMnEBEErPqbYn9EalM880uTW+aO7d1Tpz+N1YxM8tuq96tQLOnd7Cc+A4m8EcU6rKDZuw1pj
rsqNimi+FWu8uZ1y+waxqJ6H1GxXVdQfez7BnrEDPM1kNwuUso7eVJultA8FI6y5EU9G15/8PrlP
e0IqEr17LKL4VnGjEeMNJB852oFD21qNcXsr3fAeK+LN0gx8RQwEGbA+o5WfJDIw2vBMPN1e5qGG
UEX7aBstDnS7znZScEkthp+j8kWUEokO4YpuB2Cyl2NVu9cppPNt5QmGVkNprXEOkKtnT5eoTj/h
kh6TwQNZ2CVXTlqjZ9HdC0iexk73QR9LKCMGX4DANtK3Vq+nrfT7a7+1n0ct1td81clnkwV2lwGt
vRwWgkOq22Gp1/3gQtfAEOWqoCUw1GjWsvHBVCFMms3TGaqSriOhKZfmwuXoPotJ3DExmA+jinPK
W/NAm2jhjvAu4xErswO5Z62rGKipSa8TcqEc8qEKcqKimGd7wkBFoZ1h6vDPpgqVclS81FSjy2dD
J1cN2VOTCqHSSaMKSaXSrfyDacihmSzu+ainn9DML5skq05FWhVF8ViokCuTtCspe2OXkH9VkYOF
W0YKJP9MHO2ja8/OjZV66PwTUhEJ9WjerYnZlSkg/im22ECOmKPN/WbJ6K7G5b21zJfG8629rwOx
qH33vAxjSfBijPy0xYqMDr1cQaz9AE/UHXS3v4vLHq9ired7qVeSNKAs5ay1XmvHvusLMO4T8OYt
QSRT0A6sOdO6LqFV6acRReyGzePXuEiGsoLKMjVx8oQMprKs9KFd2jnWjAaGiE7HhuP4g/VvwYAN
3KMeTuKUzAKzStfMrOXNOLDM5nYqKWCkhw7aACGeJeXM55QA5LJkkIhUBjKN66vCnQ6yCF+LcoZd
o9nFxnTxN88WT2vdph+OW9KFEXG3EWW4jWxL7p2ybQ5VbW8zRNNB7Dr51vNo/DgPCc5Lm9fWEzDw
Ndyi4a6iZL+JNUIaRJX4QKAmfcWa29/OWgk/BbjejVOa9dZtjAMJAJdovlB6F6m3o08GGoeHj3hG
KY84yj4zWGnbuO6to1lbiLLRuELMiMp9XJbLw0LwY2BPUtsKNO2Y4vhcsXVxIvbjAXK8iqD0AJYI
4OW5fwz95UJLlgIvFP1NmC03EL8D8AR3nuY6l0tHpxcPKMip/8/1EN/jlJJciEa+rS3qsCHW2nVq
9R9OgyKvgAG9mz1EFtJAMgcjjDizPD73CZqQcNGDrErGXV0vF4CHLqHMBcBTziMyro2VNjoMHtrt
xG1Pvkg/PET/RMMxkHB92lSirUD0CZBentwgbGI1ujRoIPTp0RiytyrTznmb3GUg5dZM85xN2hrO
qrXrrxyuS1ToNgZAGypRYvOSeN2DKddfahIvVuOQnEJ/QJBOmmYwNW24rsLsovSgHKVzGj02pI2i
YX1xaKZWJl9dAjW+gQO8CEsDe9qf6h8b+774CIXpb8hyyEhgyB+HykOPkrCPNzXtZtFrPdDy5MpA
Ngf+IbvIkfytbe5UoY0cYIbxNXvd3h3CSy+UxY5B9RHfPc7DTFulonwqZHuaSyJMHVkUjOFtsjfb
Y9MZF0yvP7Xa+56wYa0cJijkw+zDLv1CoLLthqrfdWRPdDX/d6q0Rz3VCaa5KHB4tYOLPjt784f0
HWD9uh5RVKatewDvoJ4ajwxVpz0uHZGHbsbHU9Cpp4x+5oXnOQlN2mLT/rJ0SGhIde6SNOIPc4CP
Bb7llvWIDVQU54OX7KjcXqnADskMI5tKB12Fc1xEVayHOrl2Gm8V+tOTYfHi9VyhwkwvMqZWO6vo
P2ycHBEBlOsarbTuFujFy0f2NSw7ymgnYnIopWedUD88tNNEO9oBPdXq5lwn/iWobJQ++BgGDUYR
IZl452yiVquZvtRMN44xFeSo1cirQdNuAVsw+1kQoWAzuSvGhl/NKwFTUXeyDklQOVqqemiJUYyP
k0y/Y0Mk22jyrjEe7qpl15FraHq7VpaBMV96WnaPbwpZkk0KEFKtHVZQWI6ESoLdfrc8ZZ+M3j0n
ubRNdgpaqMd8WM0buEEVTTERolDrY3vB1+c+kozV6N8ejdpFXs9+pms33h6n696EpjH2WRB6Vn2D
L7IA+lcmDgJ3WxjaUzxWlb6G8ti1R3QpU8Hcaxq9cVvloyZvJJ9OqYtEC+wQhUO0uJguPT87VhAX
V3NGTAw9527xIxr6ihRVNwUPlpGFmdhVYBfZEBCz+IxffdmU3tjQ/0cGKQ8piVfl3WQ78xbFwTcZ
cE+EYopVQeGlhWw0fOEfYtd+g29+nhMybGIXFlac9AWpdnxDssxGrzqNJC4yGOE6kdSFOhdbx5XG
56c+O2rzwQdL5ceXTQs2OK/tYO7d09gn1/7gXirtMT619M3wZdD59iV4dqqbqn7nboGhkufrrPQe
uiSxj/2gfy04P3dLquOYGb29PQ5nPEXA2lUkFa3EirpmCpyw/GynAt9hrK1BiSzbpnMu7YbMqGwk
Pxr7jyiqac+5e+lPSHmk4LKD0LEfRr7Rqck/KFrW+HberToDaVEHOAWSya42qXZ9I3vNmmRtx9dZ
jSZYyBWpGAfRwu3wvfGkIQ5lRNlfFyL9hAbDWt/ARCWTUxXpJwFkOC/Hk21eO4zqyNEI2laLjqNe
PZFDdOjj5KV3+4far5CyLPqGNIjZce9Q7qype0+yMV8TnJ9+p3EyFtFhke5ySIf8lR/wIVatvUst
uIn7GtVtob3aRTU+FQsrrKpJL2aSUoJuJN1JFsvVNEpMLI7xXI862prsZprKt6z2MGZhZi2k/5KL
6jKx4qeCMLJ/Gvp/rVlUSvffN/Qvw/vbXzcs6u/8bOdN6MKI+dBrsnJXzoBf2nnjN4dWH2wB6ZXe
D1Pgz3aepHDLRz5AQjd/xFX6gZ/tPOx1sl8QZ/6rmWf58hOM/Luu8/+bB66I8b+oSZQSgDGDgaaA
HR8zxP/c8uV92wMwmvVrQsKeQ78UOyeztAugLnhtqFhuBMuC/YAwjnM/7LZVlRjrnlq3VVDPqZyb
VULU3GXb4pq1PfiC3eTsRnYWuTfXV+2icd3pNg3WB6o26o+C76qDhX1xpoMferjJuLLrJNoNXZiv
OCiKtTvZD1PZ7u0kLu+bKMLdXtcfDh60aqgfOHrqtV0gbnSi5iOXXANVR5/cTNOeOw0PHxbm8ka3
vJ2R2vZZs5yL0JkA0E3o3opJCwPNQKma5w1kuP7NHaKPsOB+MGWpbyJZNwev9NkbVNotPr/8rMJu
qLtissCsVi0aXDcI2VquIxjFQETkOZ7hs7S+9dklzk0smpPXoxit4+w5Ma37vvIRdqbmFwrXeQO0
/aEdy03SdIeB7DFUrcY+bPxP0kQB2sekD/vzDRlwV51jvhRldJEu/r2RchOJhXlja+r3tZsy/ORD
6ClS1znkH1CM4k0OHUsvt3v2JvwNXa1IAoLpoK2fvdw2gphJeuKrM76YvOkoJTJazMXIBqAAOuXJ
I7dqhHV0sNLudnCYzs+Ca2lpC1peB3I7o5cV/uXAXRDYNpo2cDYSmdlSaeddht+zLWD2AJjyFWoq
RxewGp30ANXJv4rgUZkNYUK+oixpQ0armogPX+GrGml+55WQFJM/4Fap6Z/yGOBVWXLikv0VBb0o
MhLZ2MxEMCNihcrSYWZNCp4FWk1fRbL6LhRYqzOq49CaJy4e0r6sBfhWYlOTKyCXIbQd2a32eoTV
5cDsgudE6uHgrxszRrmvIMhdxJubo/rk1l8e3USC5qzeoekjJLTso11qN4bihMVyM8TzjmQpD5MX
QGAdGsbBgS5GYtNx7sXGhjomjezatqD/+rnvrIiwfNIhlIkCl22voGUx9DJSOQQ/tnkZ1oDNNG8Y
Vk2j7GG6fltAP0OfvGuy9DaBisaU6mXS23ehcGlGBmJBQlDzWiqD1pmYRkBXE6QRYFvTjuCt7J2j
EGxc3PhogYTojfFB08DsCl5bbZn4Iox6W3cMwKqe+0vO4yGjj1iPpY5JlZwk3uuNStdelw5Llcqs
n/ExXPksOhyPUXlsdSsP+kKvT1sIXNyC+USOlltV6ywdLmaZkbvl59m6lOKzn8TV1MAWLkhxbMLW
hIlWEKxrKmhY9+qlzUVRlA9GtjwaWnfDz5evFqzz/uTDDikx2JpDEC3jRHY4iSsNvsZh0W8733qV
vV9fR7aCbc7afCT5STsA4W8BmSaXY9bc4Q/6iuvs1nNKQYVrF+wyLFrq0OVVljYW+4LJWhsCd0gt
LT8UBUHcOp2AR2bpumElgR2IFGCuYH0lPcZRSMCv06qjZZ6qHHRSnq3mCLiWqevAI/QPMlvTfyR3
v8sZuOL+/p7d5V/l/yK5U+K5Xy5aRGu2YiVCAP4xAf9jbm6SV0IyErQfIcABYc7490XL4AjA508t
w799G6gcUOnxWvwHtamy8/8XFy036n9etEoNqDu8puchuOPl/jQ3JyrNNefB869NkDIUmsZS43xT
yFdLK2NzI2KiuF7ZDbY3OOcAxBaKFbsAjXVS/7It/YyHNnvPWOhJmvLR7KOttOGCrGornxUedzmU
s9VshtG/YRz8rcK81iBaaTvNnQZMK+oSZoLNTgey5ZX0cbW215L8XbTQ3dy0uozS6SZTfC6nbwPm
qntqkL3OWBkM3bSG8YbyCLgX/pSTyaQhQULGqA3+16DLvVREsFIz3lMQYTOs9EPruc8gzg5LO33Q
d1wB7M2FwtQ5L0pf1ivmGMv1r1Z6QaZoZCmGProOCGULS0jk4Vxro7FvgJghRRpZFsA1ozppIRzD
OuOG57fFnRh01fLEZP6KLxyxr4qT1ipimsnoPbY5Wqwh2raKqma0kbtJAa15ANfQgoxBoxhsRDq9
FEDZMBoyXauuiarDq1KEYlsoghvEysOkmG5giZi2oLQP9MkeIa7Bfqt/YFYI9VyjuERKL28KkR06
QAIICtNPWYzeSlc0OWJXETGgTrci+QbyGVK9YXz3pnY0QNFhWLtMFZsuVJS68Qevbhqmy0ox7KSi
2c1g7RbwdoVWTs98nhe9eF0K0ugIpMEQDRYt5RYP7ybFyWshR3cBgvQmvtTMcqBdTLIoWhFiV8XY
lrl7mtMMCOmQd55NZzXGu8TzsCdAk/avTCi0Rzerxh03YnXgfan1ja2TIkA6i38XQojzkYwaM2VX
xdh9FNLesSa38yAf5mhnoJVEH1O25qWb58OTVznenmpJf/5xCvyzR1Sq778/Dk9f49tfU+FQXv0i
7VKJJ7qFIB/H2e/k2D/OQ+M3OA1Kw6XORMizv56HAp8amjDTVOmYBqfUz8YD1ZeOrAspIEeYYf53
yDQFc/vPvsPG88zcwUEoxk/x5+MwHIChijCR10l5tiRYM6ClRB32/sO8mNNKl9g2fbO89Jb8FlAT
xLOcYGJtYa4fA+2UzNdBN/jgcPxrS7cq1CTOux9nV/ngPy5L88Dc/Xvge99o7IcS333Ja/ABHkX1
2piIITWLy4pF2HpEMoA+zDpNehOvc4deBYPVoxM5y9aqnILqr1mboMspfcRzlruPkVzetdAr12Hm
76dmeMiS/tz69olYdrUs8e7IMX6oqhl5/tgz2lFzKK27MLwU4xRq12Ku+J3RR3mgHb3hMHjxFtd2
qAaQ2zLWnhjVrTFVrJh0nnLSnRe1JipdJgFh2RmbBRBomjTbxsu9gITSlWEbn5WfXJOm4rAvbOTd
ohVBMqJfMeoO6srsrEQKg4koJWbVpZZufE28FEtmbpwpdDdzoudHl8F50EyUlBoYTyo4Bc8cg5z2
LvClvfImsiMtY7hzJHuEpRWPBHsgG46S1r7zaaN6hVaqOMNmp+uWB2Oa0IOMHqufQCBwUbkz/ch4
VSJPwPgX5XYQVgz0Gyo0z2F30Mmdns8wfEd0Yx3HVRpFu1m3x7W74FUKhfFgu/W4plD7qlNxleud
D6BiecVyGyOz4sGJw+GBcOPXJP9qQ3FsMP1RCnfkp1CLtm6K9KXcI0/XNnFWo6NyEcnpTEczaV1g
iX6SNjdvzWysEPKtwU39wM73NirsWwPGJxukwwBGak7TcJ8IOB5aEu5BvIOQaKwLOUCz8LXaPUhN
UlQW3qM2tt7KabTt5JtMm7kMyOtYeeF0WHyR0RAAkbCjMvBHYLMj6eEJoMCV7i7n0gy31gD6QkPv
0bbD45LnT7kwv5lnFlBlmmfdqy7LMHuQbvwSFe2ZeVCynntvn5Vka7QlmWhVvA8Rga1zFi7l3B+L
weVpTpfnkasWkdlbLxPS08wLP02gZdYvrEx7YG4Tszqd0VfeqhV2+xB3zALrAcaI7mYXGQusekG5
2Lsvjc/6tB2cq7Z2b6Gl7VCGPRlSm3e4s9fFMLyyJblF/L918WFZiLTmWkdH5izmZeqhg2mckntt
PJlWtM3KzwxdOF5LtHxqq5OoNY7qXekOzwkyaQ9OBvU2/W1Po7uojjd0zDf4wiXjwaxf67TFBjz9
Feyde0d1zHMFmt1q3fuSZtpr9JfFi69I9rixTG1nqK7bp/1m778vfDSBjtscWHrxAIb3ebrQsdO6
i5SchmQ07nmMn13V3dMU4h51bug94MrIdgMb6VyFLJyLzrDXYWS6NNylWOVqcuCpGYLI5vwM+PE2
yzhXYjVpCMdY3zClnbal47/PjCMyxhKhmk8AawkD1ljMLGTjb9pUXIAos89E2+4Y0jLiCMcmvatL
g9Ugs3IA1pCvq0trid6N0jgOEPPhLvvaps9MQGZRykiABbrMvXLrZ/0XG+FlM7hxFrRZDdO5Z+9X
9z7vgO+SCCPydh3a7eVioOczDZbDxiGO+9sWSyyWWVrdxT5h77uoCn7LJGsCxBX0nYtmBzKKgjQu
hrXn2sE/Vz4XNe5ARnN/f+XvhwJ49Gf/12mj+nt/NEHWb0ocxH2PqhuXENf3H5e+TRKKMAT/kvU7
QvX3JgiHuko/E7oHLhVKCFf7z0vfVkWEYWJl+kNy9F80Qf+p5rY9jE8+U0Pya0lhU1PNX6VD/QAA
2K3EdB70I/6NVN5W3e6XN+X3AeevxvV/OeD/bI9jpklL53BqqdRIZX36xVNgINlL06yrz9aET7xb
2aLDGRpbZmmdY50bS/mY5+xmgaHpneI4dp9pCszsxtOFXMeQXE2AFPW6I+a8iQlRDnPGHwlEQYNd
+2LBcMzPodCCvNIOsvMhG1d3vY5JVsZczY17OyfdngBWvuEFGe1JbwTCbo6ELV9rXvaey+xNgz0+
1PUBBvMzsmU2ZUl8HfXdxjPzgxsTkW3M7TdrQ0KxkynIaVJ2SQOtUsOjuiKke9+MXFGDmz6QbdVY
3Zpf7zly9IPuY9+1jPpIbuRX3vFlDmcbvXPxFdYgjryiJqtNnyGmd+2WxI7LsAeE6pVK5ziZ9GOu
/j535RHvSoFupLwfjegYmuZDO1PQm0n/lBWyW8dy+ugc+yjtttw2aX1VxjMzmQbrlUhCsQ6r9g4T
HfJemzSzSFpXRYQCv++sm3witWQZh2cttcCEkBpOyw6p3Oy/U5fETQ+fDHS5CsKBfeFOrY24E/Rs
njXp3tGB0rOWj9ZzOjBCrU3EsqOXrex6eTKKCmESl2c1aLdi0lAOm/n9VPhqkJ29aE1rr8ypPviw
bE55PxnM3rIjtyuRdEZjrwwvuoz6Dyuttj6wmqSYQE/ODcvPvHwKF4aGYeOh5YiMY+uBruxHd7e4
4qNOlDNJtheDa394XREHXpp8ewWbqcj2lqDp/Xuk+992Mq31JvlKGvQ3RpfuY5M4N4PpYRUV59Hs
3o001detjeIKpMEBxxRim7HfJp7S/Vs4le2unza2pvtY54YzetWHMRqAoOc9QSBxq2Rhd9HcN0Hl
MjQvQ1TJNqzqkaaXmThzKi+9M4koQenLttEfnzKdZVgine809V+FkSkIFt5qi1E/ycNU02XBLRCl
Cc4xoT9EJKyXtqhJdbOuo5w5eFzFEw/r/DqmTL9qquGNN/F+uO7ykjkhPnta9jEtv2xjcrZjqz9k
Uc4KEK7WrKlw5KhHGqJ995r3AkMfqWoWr13LQPA3h2io4cc7lQlkTmaH+odDe7LbJsTWhRoM1ENz
L6IJ05WT8ZQzZXzI2LccxDKnZ8ea7pvGpO2sv+BlHhJ1yeVV/Wn0DSUL+g+UvwhVsokUpDZJn2y7
B2Ae5izjH3EzzjsZy/SywN2VaNptO6QsBaY0b6CkF0QKjewjNBdLZOvX1brLhVihllhHVo373bqy
SXBi/EJKKZj6mu+mIrCdusp9jj3xlegsTjjWGgRnxrbIazIo5AXd2ps2DxdTn4C3G16iwWYKvFi3
bWlsgMLdVgZYUkO7BScfOFr0aGbOS+cJRJP6hT9FZyzTZ0nY6NL12wXtGNFln+xBcfW5aZB1uMag
pK8zYG1u13LHI6Bp6/HkEknTNhk4aVwbCBCnVeWzAU89DRmUdi379rFI/GwTmt1XRyCd2cxPWvcl
Bp7E0XG3lk08wzospxwbRTgxt0oHqWkbfZTuoxuN865pmPWmEWw+4dV9fcos67mobLhvC6luYxmB
JUo5t1ZZZddyVZDPsetl1a69nFGMZ2GLbLpt20/P05Q/EhD+gj/DutEHsZy58JptmzdvjUmF0lqf
c+hdN4s8MXKPFKAfdw9ymiDBqwpkNU+2xVL49wyA5VVUxHdJFL0j5NPWUzbkFy07WOZLPcb88n/Y
O7Ptto11677KeQFkoC0ULg9JsBXVy5J8gyHJEvq+LTz9mXC288ve2dkj/3VykxEpNGmSKFR9a625
sHDZXfRcsE/Uxug+jjkSeZZ27If2qTfKGQePlW+DBbZQ8fpWQ8y9Z+2lrAGU/4pN21fzldZJ7V4k
uKEUKGY/XIQzrvL2MfDafmN3LqDpopebOus2thiG/WB04w7TR0lpWKl2Y6FHDHio6Qo79ve4W5z9
CNFqz/jqGsTUbWtHi+67S4ZlJqUFVDFiz5yFcc907akxprvQacTBs/unkkk1x405uPzr2+7Pp3m2
DqYOfwIonWA24MI6/fmmK7K+AjFT99elBFBnXCXyXvCqHQaEyX8L6P+8i1iei+EuUqqB2uLia14G
rZ9u8G1bTp05tuO15DicfqnVNtK+/PVf5789xfL7T09BC1uWjX02XldcmHSCrqLhq13d/X88Celr
5ixkXsxl1/X5SdoIIlhSjOO11dzX5cWk0VR4+Oun+PePhbfq01Mw6Pn8FB3mqNCwp/HaZiZRb+ec
Y9t4Vbgvifovz4SM/Wmc868P5dMz/TLOyaLByQX0yetazSujwAVqHvscT4I/5MeZWOxf/8WWF/7z
Js+QHkx/GLyWRbHf8nI+fUCcZaa56YyRoeeTwQDEFfdhdFL5P+PFfwEOuGj+81njFBdh+ycHDR70
46BBcHThG9DwTosCEAN+9cdBQ//NMiBhcXUKZA6+1j/EFkHpAv+4OCFobDA/QbIshwJHLBCuiULj
kjf9W2KLuyw3/+/rganBs8gyQlHQKWUgQ/HrGSCwOig7rnMJjdRqHvDq0ymIAJmjgVPcRzwUjSCm
QyW14O6JCU1kzG50zaJhycpyDIxTF687Vw/wJknRwh4tm3mj3IHoXe+0xL3aNjjSX4QLrszKOb0p
SSNQLn5LTOvrNJr0vVvWpRJFvbGXCMPsTtjJ6+i1dBm/m0vQgfNRBOBWY2JDWVGRMHIyU7UZyUdE
RvBUfU9M0DyMGTT7nqRIwYSu8yVeMTic2Cly4E8V67JXXXG2NUXBCmHA2I4DUnTZCKQWhFZQDNUr
A5+vIXhykH55wEiw2LYTu9EyT/Z1ou3jmP3Q1BSvutUku4zYGwy7/CEOtTfzXBXqXMLAn0irsBWe
2VRkwb1Ry5u81H1PDbtkvjE68TAO7aOQEFix7Xrn79+/f+b8BoyP/3whHvLqvYlfsj+5FnncH9ci
J/sFL0SO77u6+elaNMRvBiQ7l7vyd7o4j/pxMTIp4CLR+ZbxQJfx8h+Hfsv8TZDgZjSDagok5O8l
hkgg/XI1AqqxIZwy48DMxO2I1/d5sXYBQRSTVqvzZJFi2RopRa7nysVS8KHPc+Fw5qGGmm22ReJg
3pciTceCc2vCVkLY6W1g4gOUxAT3jTG4irYG8y0E2LguveAFyNxdGqQ5czVGwPUszK3lGCAebL09
l0J8RJVk65vDzjQKmsewd1Ny2UKK7sToAiM2nAumiPlBK7KOczc+eAoJBKmgJAmby4rqWLZ13gXZ
jPRE9K7YtNWoto3DsbKrmVVmANzW8OJIm5CMurQHdUwd5tllF5zyOEu3qebhGkTYlRxycdFAJ1Pb
yXOjZXSPY4/DFkYOt9rUE1tT9AB4Yrb2nLGNqsRUHN2ovzdEpHPqwAOK17Rah57SLptEvI0FO+66
dI0d9NCPOUm+Yigl9mkPRn5gsB9cVHaiHvBRBwQfIkw4FmpelLx34Ww+c/4kY0LqaTtgW9m4bUZe
lckiNZ5e4Z3IvxrIA7p2tKtJv3DiotvFkQl2iHHvReO6NxJm9R0jCaoS1L1WYQgr7YIJsCxvXIGB
Bf4dwHYWac6JjFPmFG+vrY/owyrVLoyoJ96scF48D1VImEe30lMXKKPb0WumOK/OTSOaq4jPbqBy
Lz4rg8PzSguNIKzJQ+ujt5aeRjWn9GoSTaiWzqHqlEkdSJ/FB6xF8xGvlXcVk5OtV+UsMd3SaG0F
Vx7+W/yvlMkMhpdemESRjDCf7+yBDfPmn9Xr+8jS+cvV654JT9ypf1+8lof9WLzMhY7M/heWJX0F
YtnJ/bGRsH4TJpArhpaftxGMK7FEeq4LnsJi98fy9GNciWeDnwPiZFWjk2kBKv+NcSX1zb+sXKxb
9NOw0fT4Fy/ll5VLK/JJ1HWbXxdGZdvn1uypalF9rOeQANRIWHeaBiQdSj3e6iH/OpdztCNwcgf5
Bee9+6oGKIJVDyECD1ZdwbXspJPRyuJe6p1RcxqlZqesGNEx7Bg2Tqg4XFcCGmwVwqcMYPIMESWE
QXnVqu6bJojwOd74za60kgpyXMQezgIiEKcJ4MHK8pLz4sdv9JKZQGTNjP3FgNOC33Gh0f2yGAj7
5nXAEj7nKXKbKV+1ydhGY2fAfg73rttdFnOK+zuNgpVTj8+j1B6yTmXrJDXuLKd7CjkH7oAp4a+0
LHEVxmrJZnsdO6OUGZQKX5j+UL3soBPg+bihEvKqxLENvs+8g+u2xF3im8nUj7nuvNtdvsNe8tLa
8ck2oQE25O0maZ4ar+P/9va53jz1Vnwop55+lTR8Klvx5JEPHUsWSuut9by3xmyvmjl+dMrpLbVl
vjFpt9jgF7rWeLGrholpjp16lXSMBWcgm1uVxnck+S/7SrucrTpYQzsyYTqiLTu1zA8JIyjC06QJ
Rx0PqTNmJ3quwxUwBBfkvHFKIhHuEq0X2zrMgB31uLvb6UG02tEk37JCQznKkoYD3cuvKmV7a5xw
8tBUhblTHPAlvm02mn0EOT6TMDejZpPoVHOLIWAm2ptAtzN+6ypz39C8HUh3m8X9tdB76NIFtDfN
q3cNjRgTs3bUn/RgOmBZp46koD3O8Ef0Bma+06wbExARF1qwHqnH5jzK2HtmANc1r4nW3EKyvh5D
/RAmLm2pZrKzk/Ihh1XvLf6OdBYPHR0deh5+aaE6Ct1kgjQzpHV6sTTXeNFW9vMTgawKjEB1DNzq
Uev7dpO144PmUeLEQzN/zrTat4b0Tmmm8kEgMLo1sGy2Wr6Oy+psK+8qtcGMdWREV7IcL/ppGP1J
TuWVO+Yh10ojN0kZm7/r7h0uyZS+jZcuAJOst1VAkqRdRqfJY5+Sl48frI5pufRi1+dao8xhQI/C
jr8rWqqcnLGp9pNB7YVV6idVjWecnfMmT6gYxX50w1w+8lVRzxvXzC8ZWBaI+Gy3Y4s69imcD8FU
vqTTEqmy9DvbOmrqI9UX/2PY3JagNi01JRw3XF/CrsGM8YECBDPdtT+aWX/2Wu+CQ8dlBZBjAfCs
nFaLfAF3Y6Xy+jbq25fMXsJu6iDL+Wj35OS4M+FznYCIoAOuG6k+zLb5SufhaSy7m6zSzt2QpFvu
0xsMumeAFtOauBXgrWI0V8liue29CCR6131UOJao76LOJZvcl7huvuIWAedVUtdplgwnp1EKYhoU
NkBkkEzn7CdW3ZpcVMOgKxNvnSEZmguieSzIJ6DVdOi2fb+N5uHYBUyZzSa8FdH0ksQOU3s7JR1W
t5lfhTC0Wrvei1xsyMuSBo2mu86pMUckhZ9N7PaoGjP9onAaLrqSS0KKM8mzxC+n4LLMAI3YfTBh
BwnvgsC+KivvzgvsvTUpuRYFBIheZQR3CQeHRr0NO5k9UbYUQ3AfLjQdKxxRby5sJ3kETtWtxDCm
W5ZVHN1m9DoVpVgR294OY3FkQb9Vdjnsa4ShDTeAm8oewC9AwxoYS+winQr4gczNyoEqiynkGAU4
w9M6o45vuIlprCHNhlwfW1SNYObyizDjscNw54hE7ueif21LSlq9qqEGtjAjDAq1hodd++Dwzf0i
amJY69pNocpXRtoU8GYuNPxcautswiJB6K+41CmbxWDGMITujnUHKpjAB6YPcGKM9GkvRD83Qc0U
+jaJdQBnXfnae/FjWfFFojliq7oQGxwfOcJQ3qxHoMpQVPVwi5LHezrEQPGtce+Fdo7ORbsM7L2M
d2l4iBRJE+6J6y6B5hNzOF45rgPlWKOEuJfU94Cs5htL8cBFpc00stnJWWmgO+nso71DH0dqACni
69SuKdQ3p3Suk7B6nxY4UGsnT0IAjh4bugBEX1wYRMwuXWfG5Kwz96HWVTfoCs6qZm0rc2G+6+UT
zL7s0C4mIJMLPyusR41euC7uvo11tvWC5IGbvX6KBTVa3P8PbRxeuXF9Tz/M3tIof3chw1HZV/Yr
ZYODdyy8bBBtysFG6mmAGZuu+0bETtugBITruqzmrSrlrRHkte84EfVd81TQXAIse8j64KA36kVo
fBm6aDC3sOru6eIBuxxoR8bPL03ibsKUMMCUVHTvlTzera7pSDKYxAMC1gx0pmSiCqGLn/HhUaJX
i2u9F19KW+yCajHNhNZHoo8uayy1vSZ7e19ORbQVNMrAT2kXr4ni65cY3cqIFQ6M2XgWeMfhCjOf
qPhgG41VO4IJsElcaiGFlrwwqDjTlBatO6KKa1THUzygCFHJtlMzgmRvOdT46ek+CYmkxpLBs96h
I9YmfowyadBOPfmNCiryAhKM8mBQQFDmQLVLhuslXC5WVfGYM6dcAY6GV1pr91EzPjSeRz4w9tbl
mFHfCzEg7GWHh7WsNyYyV4dNww8QvvpFAct178FGEgtRF9fWopLl5DCZinM9WUhoU6hlGxNRTWPn
xAWJzjYiuMFPvJ4oqwsXJU5HkquFPmKXit9HXEZaJT6Ert1rFiqeu+h5qZd+uIvCZ2bm24Dk53En
J2PovLWIgRzdcJsjDwaFhaFnUQwnkT6GOfEJkEnmWiIrJlq+DYNXHbGRjQGmKpsiCKNPjpXTGOsK
p+WlGZeHYFErJbJlCDJ9lY/JvdGAk6mQNl0QnCsTsdMmyDmx54IqMXMYrcrCrxdtVDl9yCkTvbRe
lFO5aKglYqpEVJVSgaxZdFauuw9horzynZl8OFhbHVG2At4Fxcm4yRa9lu/C2RJx5xdOQt1vWt2J
Rd11XANG56L4crI/k32hyw4x2JDdW7KowwYycb3oxXmvP8xwBSaV3ZuLojwiLZeu/joMJGfkWBCy
W/Rn+g8uKgTpYlGmdUVczVvU6k4k7x57Y6iPuJwRtOeclOyicIfNfDCRvGPqPanzeagWObxll+em
LH3RIpVHVIftykU+r9HRYTd8iEVYd8vp2crZ8y2ye4z+Drn9EKDH08j3EqDPJ10PUJF6qUW4D1Hw
SSlyp7TqvVq0fTT+ycmB2KP6T6j/le0dPNwAJMavu8UdsNgElBX5Eb4BCiIvGg6+mB2Jg+u0YbQJ
8cH6u98gK2bxpL67EGrNGdKbzOmogmbeuO6dSvun9OFfo2w8Ln8xQeO2+O8H0MUX8+MAaji/CSbV
lB3Y8hfejiF/owgCxKHUych9H3L/mJ65jNyIGUB1/f0I+ukMuoyyMZ9IfLdgEBej/984gxri14Ae
8HCQwLwGLLsWm/RflBUryiojHDiV5amIiN9l8WYqc4wFN8ocZqylsRdRKezb0aBHoJuGdPQ5t5hA
eC0SbSO3xdji8CKxhV6B0OPmvJL96JBkMzjd0tvtZJG1M1ykfqYzdha3cBSCZDA3WuCVxde5Eb19
7fa91xQbl7Zy+zQ5zojxztDqpH1xZ7rlZi5WCumIPk/N4LW4MqJml7SVx8lIjw7h1LCzGMn1casE
BwcHq+7L1FnZaYLPpB6HE6dItQWSU1y6WdrfGiIdX/XCcSpIhVH4OtjNtM1aPb+IRVriayiDy0SD
lAq1LgLmYoDmlqOlbtAWggNxfMp4C3e8NIB0bRqAMCU9oNxfuTG+UCberrOOHPg6giZwiJyku+fQ
Rm48KhxiO5m3G6JsxA7ChQ5gjJm4bd3KWc/8yYKYk9H/aTPAJw3gdB0YFqGry0Zvkm3KZmdrVwbx
5baFZIgXx3rlY+r2daCD0TIq6ik8LzK/WnM1X0fznHDEMnvzNbVb59TXbXhQWPefLKe1qAIzoTpU
qNizzPurvk/feEuLQw1t9s5oMe1ybIVlb48gLxy3jC5VnoabUDnxpRO37c7zMoyJFCRfclMj4FQX
yNOKDV5ECOGNuHh2Adms/dLnZU/HWkInMW7Ts2UZGQibqE2BvAQc1KZa3OAO0bbM39prK6a7lgR3
eQICMZzaNj3CUph9xUxgWztq+hjJYe1llYfHqYxtXlviauc4EBz545YajlJBlOk6xoi1ksWuCqHM
cGadCRw2yHmz6QXHrNHEFzwujyAzzQtTk9UVLz/YaiklE21pcpxoGv1KzRGVC3JMDmEMP6AExIj3
olK3USPHzdCOta/injvcMAfbFq5n+M90718rK7LZf15ZT+/NnySyFtL4Hyuri44gmMQJF2jDrxoh
JTYGssDvAWfW4x8rK8vnd4egwRSPdfRz9NlmZSX8rLsLlfi7fvg3VlZ3EQF/FgkxK1DlytCd4gI8
g7/IEkYVQuSeu0uXyOwqBQMJeDIySbfWtrdzB/nCvGdkaudQBKLmhDxl3soeco4bm8lzbELYuYqC
sq8PRHCqHM9LMup+pTm9e13huxqvi7G6rKw0vgeJwbCQgZwLW3BuGZxHyVcrc1jECxXuKj1gvQ4x
Z9AUXixLvGnP0XJc5ttaO1PTH+xAy5Edjc7N2uc8AuBYrSYQhtA1rF60cbs1iyk2jnk+zuVdODNg
xzKIddnvqC/ZeVZIYMsF4zENndg05ZjsiEjW/liTWRhS6NXjVBOLIMj6hT6v3iCGrMTsW22vwo0y
PYzQWc/hC+Um0IgTsZEGR1TN4twr/O+byizFXSxEAx/VreB9cGDaGWSgu7vUymCpEj3IriZTROau
dvlvxV7+aR5tj6EInEk2mFNUugfYY5bu/zOA/90zjNb2ny/Ri5f0/U82PzzmxyXK9N3CQsvtURJP
JO/z0/SdSxY9ngIoEjo2v/pxiXrABgkWuabLL/Xvs/kfISH5m2Dvw/UEU8CCsvK3agvBIPx6jS4W
Ao+fMxsDo/Br4QeiGV+GunCu0iELT1qY18HdNKUFwyMzTncjASeOXwBga0xw0DWzg93grnR6zdmn
AWekXJm4UEYdCS7J6K6dloGW7S5Ve7BzJAXsWPro/E7D4qh5REq+B02mTN+KnFA2jqutN0vs/wND
L6DtG+ZNM1G/KDwV03hKimyrySFasSL0t93QojlN4ms2eQWlc5Hnj7BqMr3cz7gCRzO8rY2ChlBB
+Kc1sTAWebPvZuOSaeA73MKb2JJXM1NiTFZ3oO92Wtk+aaGsTkVQnuqIhqrIjg+GNz5lXbiWWnSX
m85DGMtphfIasZ2yKjYG4TM35oMlKz/Rg2fLy176iMoDNVBKmnbDSClVzGumN5DdLfPABriAW3qn
mv7BVdqYRCOzyxqsDByf8Fzn9ksTdVcd3OCON5ozG03OJXMbFVTH3E1dMtHd3vEkBb0zSBWTpORM
F2tq4k+uLGNjueo4B9qTbKIbNdr0fXUJB/cCxovbzpgIcFHIBX9mBJyQ4U2wGXtOWRjZcpRrx2rm
bahomQ+r6K2lpHCtKsPZFHQQwNg+Zoiru1yal0Vlm5uxy6JN3DRfqiCyfav56IXS9yIVno9qiBIL
EYHb1Yc2MRDEqH5VZz01kzGmxcGt72UjYS962R4uNofgdu8NDeV/Q7lOuspdO2HBiF0P1VdVzEcZ
2t9cNmp+MiQePOz52QalAP/x66TPNzW+P9TE57ECCdZ00QcdZuD3xhRebZtc5q7ap+1ExaJttNw8
xvdJMvNg1MMJvAq3idm/KUYhKw4FW3dI3xR3sxJu1EJJZnT1OiBcXbAV/37QJnTZ4YbPNuMSxeTv
DwtRLfN7OmXJag6Ejl3EJxcqYs5qsCFLiMe1JrS+Spd3fCYfuooDimsKGug9DTAW4AUNBEMFkkIN
+tXMxXCjZOLuUk2OzEFbhyGxebSsxFqDjlpZNY+Z40q7IrbFxGzSS59yaHKuTs04MTUUGVIrng4Y
fsm21WV8lHKaudU6ow/Cq2OyyHxTH4btCOdL6uEVaDb8iqZxtiiWprbBuyFGHW7aLLmsRRWvTOOR
E426awwtfS6MBIhUDf7WQsI1gqbyJT2Pq0ZYKbSkcDXYULknCkbYlXPNSgIRu9z0tI1bUMNljP1w
CVKQjqwSvLymziltEqmHVblHO1/1ZANxwLevTU9sCMrlaqB3uRC9tbIdedSk5RyNkEReWSXGArNq
vppsJRi+44mk65Gc1+KzKSIX0hn8iq1WZUAyu1l/qw3zKcnzYOu1/L9jM8od80NWpTRzdmWOaNdq
ic5tumZWZC6fb0CAaLaDE+rLLhvHy5graj3O/TFBcItG/ta65tBqTuOFsnZxHnR+6UFASuaG3b0n
11MEtc6SPZ8Q/SnQybbAWdU2L3IAJrENIx/sIajIkwyZJo2Vvoud9BlA1q7X2jvyWgMtTw0ZB4q9
CiM9t32DqNbn9JG6DRPJai/69iO0ArJ/3Dw2kLO5YLEYm2c55fd5m2QXaBGk3GLmqjYM57yERB8C
Zuc09ohzajva1akP5PtUmgbG7fzYpSP7eGPauZAO/9kh/L5DwDr5VzuEtn3/s208j/qxR8DqR1UQ
fj46xLjUflLokeKXHxMKxtnzmWCESM+WgnMv1Q2YAQETfxbpXZ3QMZIXv1zCxH9rQLLAlX7exztg
lWzHWaLOug2v4ed9/NB7k4aJb7xSo9W6fjQECaZ5FwZZqGIyp2Zw6uY0tHyVDEP6xegNiAGcPuLu
UM3xUsct5vSixZs9+8lkdjPlBVVRgt8vLOG8TdiEmP8hz8w+IglLHMOM/SSM0Pvw9Nzo7lTbMrvs
YtcONgHN5t4mq8pxSbhqy065FqHJfLZJR6h+c4kfd0VWdjL83GSM6duuATBhwclxpE6NHcN0dKVm
CG3nITMoZdgCYj9w2mDBKYTd7SttUPvJUn3yMVpy2oYJgwk/DBPcvRRj6PsIVOWRgHL2GsNa2Hi0
DFKrXqnB1zLGMEOOfEBSGqBtrhHOYBL0OjjMRuY5x3RP4U/E4hzaO0dFH2LU6N0s5Ac7HSBOeZj7
bsXvaM+DkDD08MzccjxFIbRCuSyqYZxDz+mgH3B+x1HoonKY4AYAB2PHWTW6hiq0GLQottH39Nez
D6H098WQy8RhLsNj1WjZta2yCHnS8HayKt5Td3Z2VmbRBR8N9g4ZOvZ1atDZttHlbjt9dp3qyACo
YFjq0Ofyuh59qVHYEErrPQKvtscyydcCIg6EAxscdBkSsxXaa5VSISLmrF9zd0XQa5oPdwwC8HBs
kdycjd9mbEDQZ53JPLnM26Pn6MnG1KLkzGvOV2EpymM6Duu4TxCDaaFkFDOqG88LnN3olbnfLv0U
IKtBcDa2XI19ALlubniZ0nrKipTsZp2EZHwRYBHFgLvRiMhAH75fj5V/BxG7viF7g28qHLsbl7Hy
alZGTW5MkYthFpJtZ92b/HYoAenSVOxPhtsDWoRjH0xFujcyEHicBvP9P8vm92XT+csw5v179JK/
/PvRannUj2UT8JvFCNixv6+MPy+bVMCx/hGrlGyzqPH942hF3pKZCIMP1sXfE5w/LZsMqXE3MXbm
QX8P/OYYP2cD8EhjjWbN5LlQcDm0MYL57MqkysHSM17G1cBa0II8sh5CBxhrUZBvyUImDfa8QFPZ
BoInmUbKJuhvE74xeMfOScW6YkrI4qPuuc7qXZ/QA1IYDHZhJvhJX72F5mQYq7nrgQkIQShvY2n9
l1bO9q3Kk3EnGhFcRLYSh2QizVSb1rpyh+bsmHa/clDit5NrvHZB+6HTiL6vxuKyMRMjXosSmG08
9bfsb29cbM03dZUTvEpHtrVZATlTsjuiM4ztRI9NU3lkZ3JelZzSbRL22t5IQCkkyzoo+/ibUQDm
gaOIt6srkmEvFp9PWM3BqqO+bQVC3rgKTHhgU1/ws8gr9q7BrLzi6ec4K1YNzjKehWPkzNZq1cCl
ISY0njM3gA8VHeHJ7ruGmuCuMF86pKSTCJmqlt1A6UqQ3JYOAE4B5EYDPsFulRKNvFa7OTLixa3l
S3p6100kAl/Hi1XN7Z3XNPsq0uXBAe4L64UyXeE9WrX7VjblJdgCKimMCEXOuXa64D4clnMuLKwB
v2NT2Qe9985OO7Ybs9Uo9S3Il1ZZ+ZSM2VEU8fOUdC3QLu1jCiXRw87bxtnw1Sm896ogHU/MMF4n
RSe5IfG2sKaylaQR9iKOsdSmdRt/NQu0RpV8SXVunmNeUmpcAL/TJAmonPbf1dziFh/aZymmdWmb
cKnDGLU9jPFDZfWX0vIoZtJpPJ6kYMOvT/clH32WmfSYxIOOJDkbw9IFAHnB7q+rFiOs7o6JD4fw
za66pyFKvxE6tbeBZXyrghSg8xR1x4LyoYC9+jYs3GErJkxRM0N3nh6sQ69TOUBNVA783KgBwtrW
Qes9bxfKnMIVWXIhlPJDJWJjp+2rVWH/J+/m+kbS4nMQ7Qf19cS+9AViKPEFV0WabePZZZYecKZA
1F7XMdcI3iEQTmU0bwJcgFYG933ESc8hwdtEcrqyhmBvOgVgweJKpPKgafG2N0GSbYLx7PFntnZ3
V9Uj7DtaDNJcPLq4zJiLZKvRArlNn9AuNWggRspui+7JzfAPk5uCD5dUnt+6oPVLD15HlxTbMq3O
ptnvcGI9tGF/SOvwosurfG+Y7To21bWZDXu7h2zgjsw1mmm6yjOT06+ePUctSoOowCUjIx+S2r0w
PdxSXYVkgrNGtjBJS+oDV4uLA+i1QQIvNGKIQvGF2ccXRl49Z8gLaDctVGUjAPDhPPZNCyYrtXfA
hzxKjAyo3pHtbJoCakUUsqXQekzCdo59Q1D0pan8dhTB4wzAclVXfcsx1GLp4XFhnk2McbINJceH
YG7e68KyfTojmT140K1CaPSRgkTl8bauh+57r8JNN1ohdvRe+UPS2pt04Did1voHdtGTHccXMb4u
xq/QfTMSHnoeP8/Cug9QQdYNNPV13WUa52rj1pHes8F9dxVaxY2pkYw1ZvkhvH7XzdrCoSfEZrbD
TRP1u6Aw74eoPeuDhn+9kse4wYoduPlNRsc0pVbaMRqzh9jpcIh301EoKpzCZacwmRQTkFnD/DSm
aGOEUmedFGgBC98JymmjNdkHqb/7uuJgrgwMGlYckVONkm9N5VyFJU4jXY7zxnZNE9CfrZ9G6Jb7
TkJMX3Ykc82oGgeQrw0Y+lIvvJvIxPemtkcfOnleTodj1RyhDNAoY0QM5Opc7axRwNkUpbMNcvWU
NzpUeP2lJnyym8wIN944UHyRP5jOcDEjX604Dfr2YG+bJPSHUp7iqtknbdDtZ75EnG8FUU5b3ynX
eAM/cnZC1uzJs3yBV682mndqRGmWrF/mKfRdbCurVvVr2zKeGS9tgpSk+DQuqUF973aspmG3xc21
1zn9s3JXZII5vtMZmtFv7t5XfXwGPviediyUsSVKf8jcPRf3tKLC42xYIyPr1qPOaKbfyx6/ZHxv
MTqR2SW3TmbThJbJcRy/0ABVBEusjjeWe2fDtCPqV1qEcRbNV1zJxUyruVi0mrZ5ivHZkgjNliq4
B8PtnpPFituwLqzajq8GbmMODJh2Z8y7ViCnXeM1W17fa5MwIChk+a1dHL9eAu64WFzARQrdOsAY
zD3vPC5O4XFpY1m8wwB51tbiJvby/hsxasLwbv3NigrqRLx2HSwe5G4IAKrjSrYXf7K3OJVJmeNZ
XtzLXGX1OpBkrVydq2zxOGtxuS0xPSvIP2QtXq3FDU0g/04t/uhYS74Sd3hzRpc60jzfBUG6Yx/B
ZxAMd4ZDCRRYIfc4ay5m/ohbcYHfLGNrtI6NWWFLMtorb7Y53uU4LtNyLfPxaqIghCkJrhorzoEn
VR9SYwQJKOIZGrvhazWe7bAQL2lEULsKtSe97oMbTDVnVvPWC842CLQIije+uj6SB/07Iq38nZfW
xDpWO5hLw+zjSQaq9s8++vfxA9vOvxg/lO3//G8Rvmfv7b9vppcd64/NtIGUiEDBON8kZqZ/LkXC
pOFh3XBs9zvlbLF2/NAp7N8w7RNJxsGPgrCIEX8EBczvKiPjCYcyHGwa4u/MIBBQfppAuGiS+iKf
wFBmFqIvv/+URk2ky9iu8JJLqEEzW68g2tn146c35vp3XfIz2IS49J88CxEqqC6OTZzLWTb0n56l
DpA3nNlJLrsyibNNKfWC3QfwxHVgmamfWC33dGbEF24Im6ynGHCdzcFpYIx/q1fRTUafrelE8cWo
62gQhuasDckFnBmxvtbD6DCa+aEfonM8YGvqjQt9Hm+4f5/ruQSdZV0hkB71JCWdPywXA57Trbsc
02mZVwgg3jcD6y4AB9xRSQcgGPDfR4x4SWWR4AZLG71HuxmPn1wq3hS9SuI4ajMLwMgBoNNasJie
iUejn5m+pF1BMMy0vwQAtHdu5lhfTai5K41I8C7W00j4UV9XmV9SXfxYlgb5eri3ah961IgcDAs2
PBNaeSlUqxgZ0oQCl0xGEbv6ypJfZrMWkFXMbNdos3B2RjnCIqAWlOFVjQMr71Sw0qkfvZK1qZ35
86vNgu5KF0BDqRU7ydRyA8kaq/+iGjeujPdWZqfHHreEvOb5Wuuro0K3PZmqHErWKwtjeONM1xE4
Z7r1lHfyGuEegXiEz8T47MfBZb2TmSKH1BW9jfUbGQL6nDPOe8lkS2Dbaz3YcpDjBBKsT42SvTGr
CXJdT78SsGx1GLidXnp9j+2d9xxC2Ny+tAhWk4IbryZpwruKDxo0DR/ZnlgqzZu388DsWFeZ75WG
d4uDxGBvCHVOKvz9ZZXj7EntzVAayOPxo8y5Y/PRDZzb4tlvONggaDEfn7IpPor/Y+9MluNGsm37
L2+OMrQO4Jq9CRB9wwiSkihqAqNICn3f4+vvcmZVpsTUlSznNalKM4pENID78XP2XptAzrVN633b
dRnx0Gizb1BD64M31+1WGMNuNAvYIZPe3oY0y+nU5Oe4yM7ElBSbvIlvzdLaO1GfrAKR7cqYJMvQ
UK+tO953mj18hCjhfANjw4wtXYlxEt/KuF9ZebtKg1r7oCr9JhQdUZhlCugu36QOne+JCUArqpe2
7V6LuHmdk/kT7tdVYwwHd8o3LCC4BpetOann2RlWhtvtUCGcQAMDQx2+qlbPKEzZZKNGH4c8n35+
BqxJ/+c5UHttNYrMoBtGYF9qDY+WiL9mizDXKG/bA1OQ0FPG5aTn+t4I9bOo+tXYp48VX1/bGfTG
HXsdDGJDEOOuV5fHKWjXYc5hpVZrzyAhiUzEQt0nFjhQbaapbttX3uOdRZzhaoqXkJkXqeTmoMbn
yBRkOwT6bZcVLbzl7sjhhpuZ2KKsxkKQBlR0Tj4fXR4itbQ93W1WE9lKTmWcKB4flKXzU8u+7/Xw
tqirExIvqhn3lPfDbeQycdOrtR4QLhaGk4dnR4NbPlZ+3wB9Dhv1JlXSL2WqfanS/BC36bHMnEPS
a7fLqK0yYmHYVc+WiZ44q+fjYtv0NGm2OYQc1am96yVvsGG6EwFmnpcRG80y7+ulKA7EdL3kc2BT
OwGDnkOSK63JSLe1W22DFjDKMiv15tcr708MrJqDTuWNkIXdk///ceWNZo38VZGR+VADTBwydwZZ
Ak87J0CLk5IxruyBzKIyyuk+Lq9aVbe3dZ2qH5zFoR8yTXd9k5zUKVilrv2gTt22jsQ3irKQegk+
DyGxZPrO6qZcuKezICYbh5bASGPXM2uEeLbT7QgW+UrYWu/HSftJx1S7hhMC35ECiEOIP9Z+O+21
KmXKFxSQ7xtK0uGa6RixcvtlzvJ7cFGHntCdpc0OdQ+ZtSpPTqu7226cyZGY450+RZbfkokqAgIp
IjPZ0hKyOc+2d+bcI0+OxEGNXJ5r5CSgo5CSJ830MYkHk4MYY1R91i9mvBQorwU22jg9DxUmtDbZ
p6O1teDarGIA6UGRgop0CDdC+L1BsbW2wuqUheQb2YV+ibPxmPX5jn0NglTFCa2cSR5ImkuaZHdA
QRjlFUO2EoS1U7zSNG2aKwaLYZWjDqaPmnw0ZxMX6xQ/uYSYxQM308QN6jBITtNa5jshTaEgNLVH
FMur3CAS1TV3I+uQ0ZawNCUoXR3wwSovgSYWrwJHykBrIqE+1/ZKJdey7hTb4rOuZhtVnbG6MYKc
c13zk3ZOkWOGF2OxNApwTLVmhdeDiKiexoYxHjHcN+eMjvD+17eq9CN+L2miEBE0FYmIJDHMMd13
JQLDvRH5ZU7UUh+vjOTQgHf/9RUomb67An/SsBm3oCWw8IVjs5Siqu+KEEPg13bcMLzJROIp4hL3
8S6u7pox4U4AvS7qjZusf31NBjm/uap8399dta/SjlaMopzVubjHas4Zlv9gV/zMlISOAJJwTC/W
gwgM0I3ESg4TEOWsGGVOVVz6RbN8LhX7FHem6qPf32TuqH11ItNe5WryUXCAwH4xH+3MfBRBOgGQ
JKOCu6ko1/1iF2unUuqVVsEPwgcy7/vJNr6WRcLxkZnJOo7j54x7dV2rIlqxAs+rzhEg9Hv3vjez
hYF5+pEJMA2cEAgdRk6Gqzs2pQ9t02wEfThPt5KdoUYKgg0qlGwsCvwVverX5H2tmpFTtR1PdzKj
oCDrCtN4CNHVhRjVDt/qFndXW8X7xlR2yCs+TEvyYKrpweqInWkk9jkODKSiHWcz0Vv7dEmOKCxW
xRzoKyODVm8EKaus+jBwQoXxnZ8dkg2KZlwPwcIdrK7TLswRjVarMoGbXy2Js2qy4FzVjh9a9k4r
xeI74XSPMI0CrlI+9B1HScPoVH+xu61Sxfjv+/KJyI5zo+ayY4sNbeq8VjsMFkk9g2XsbIb0q0rT
PhZztJsCguKGpr+pBHsk0ZZ75iOvTq1CxiRlvLbMbViZJxtS6W9ut9/d4+8646NJiaFjATwnp+KK
DXdTH+tP43bZWztxcth6/GdAswz7z8WX8fjri8s8mJ88YKjKcc7pqB/li/vuVkcw5xQpppBztbK8
4qT71aYH8HtUHuyNulY/XhT/9DCsE+RIT/xPdjOfVO8Qb4IbmrD5b17NjwebP552Q6W8hB7BMUqO
N75/MbM6ohXRkugmUq9Q5r1YfWiGP0ZIz9P/hK/lTw42P65Zf78Gg+Lvr0G4SK9EURaxub6Gzc6d
b3/9if70Pdhox2w5j2ZU/OPfx8G9IGap2byVa+3yPFjUnH+sUP/Fk2jcnv/38f389PLa/GQMJn/r
z5M72HAWZMvUdMuVar7vFIbqvzDYc3bnxIaQ/XsMuf0vm7M0YzC2Gkg+36sHxL/wZKIN5hcMgpD+
mcLQFPL2+n7LxKcBkAgxMQAVW2UQ9uPtoaja3OqdFl4CN+c4iym2a+FYZMQAGl32UKUKzqPOXS0E
BdoyMbDIQ7buXtoOX02ZKTi6FivjCI7Ezo4TTBJvwYZfYMdYafiI5XrtdTKl0CGuUJW5hUHsumsz
rp61Huty5/Q3XY+LVBseBaGHGuGHlkxBjMPoi3CzlcLh4RNbuboD9nwM8zHw7UB6EDut3PQEK5ax
QoNZ0x+JqS1WtUxfxJHK3Brc94as5m/D2L6iNib3TKY2OswAfE5Z92Ua3ZJq+bQQ8KjIUAlXZj6W
Fie6lBhIS+ZB9uSuQVaMZq+1y68OoZER4ZE5/CevGXmLtDzTdVtpV4WoySQLz1ghj7i0wQI1FskM
sX61kuSqFsbkMfno/FFmV2ZUF1thVoM3tOMzIYr4MbQ+9tLIYZQdWSCP1OQDBOcruCNICipoltbI
7BM4z/uW+Mw8127bYmw2CWTrlULEZkTUZtRNx6okjdYeI8ivxHGGWoVbrETrBJqo9MreIlQvbp0V
qdTLR/Kbi51bWj0kSNDgoUz8RC6egEeeXhh9zodwiJiiFCojKJkVagBDwMBsnERNjKhJd3zug+B2
lhmjEaDPzRyym7pZDqxPZpEWMpW0FMq2lCDI2KaIrb/MqKa3bWhIVUnE4TS0Sckj5pS4BKTkhJCS
fBrQKa+hX9qkolIXP4NlJoZVJqZiRcnXmUxRnYhTzYhVFWFTneO0InQvhDKIhwaTbzGtVOJY40Dr
1oNMaNX1+o6DX7SykaiuEpnj6vQgsuBlG7tGZ3IR9stz36gGuY495bnMgk1kKmwv82HjhKTYZXbO
iBjdlTOJ16YaoEa62k0xdoVvdNzKnOmmVTjEJJeG9KU0RdzTf/4yyITamDOU1zp2tuvaCcZmON4r
MtE24NRnm2Tcjjm0LXS4DHFlAm5NFG6gIgoF4W7uyNx4dBP9K6edrS3zc/WpPSu5As1ecYBoErK7
RPXX2TVnvny7tldF64pb9KgdxsSFnhoFusWJdWrm3DNGooajhynkmddTp6R50pPpY0+b2eiMqz3m
jwzyWkIeidAK2g5IuTV/mjhvczJC8DaBknBGGTxWdjPZiSUBF/24HTO4YDExU0HDLJgpiDjCG65x
vkaJRy7hh6UMLo2oIBu47Yo8qm9xV9/rRrQvdOc4OMB4uuS40CPXOThHSnRWEzSy5Yw4xMxoB+WN
eaeWED00/u6mhkLhGHR9OAzuIb7C8k954W64a0fziNDmm+jsTZviyCxJNiqZwRxKZX7SZZFXa53l
1cAiIAwM4hAv3cYhvIjs9MTuuocirIdyM0UVIgDyZ8t7Y+zbTxxlRzoTOkmJQm2HZmfEjvWFQC7r
0LVVFl6zMAudfVcr5pcgFHpwTixk2jm08VXvgoWnM7G2JhzlEHyydcD9sjNxOa/HBBHiyH23tkhw
87gLH3uz3y1wmwCti10kmMbbM+LAMQ4Z+pXBrbMsl6noOx+64MJQMb9mIqTMhoeF+TdmeUozfd2H
ybewsW8bgQhbGa0NwRHVDgZz5tvw6unx0E8YPtUWwZI8xVsnwP7g9pCk1OXqgiTp05m0qEp90ibW
cbgbeOjyO23UMr9Dm7CrM4Vohja4zKmq+3MHa1qBTugVqK7SfSHDRVujeLLLIQJ60Te+LRgfpslX
ncS5Mpm+TiSUFvVceQuZpYFJeCn9OEat5Jmq06mgb5iTrIawt1i2nLa2yuBcQhmFOpCJKshGherI
gRoAPMiLtUbB5mkySDWTkap2Pt7nMmQ1knGrjQxeLQwiWImwzr2EYVsn41lnclqNQdUIx0M/pIv6
Lk4sVGyNTSJZfS1lzCvmPbrNKJrrSL8xI6JgrZAA5KaBj0xKLPKFa0lqrEJep1+q4gG0/3MyEiw7
TtlxlFGznMmOAZxm8Cpom+LLLENpddJpKxlT2yfVJnZVcnIdwrgJsiXtNmTWU2pej1K/wHPmW5yy
izlbIW+4t93UQAtrvoqB4dcog3INpzsmMjoXSbrgH064kpuD2RGv28cEu8Uk7oINZ31GC58OBJQr
8T0pSU91b+911FUpGTwD0b2pwVetEi7U9KT62sT75lr4mrjuziL2t1T4aUAQMLCNl4pg4FyPtm9l
1H/rSXmy/1U92cRV2f6kopS/911Faah4TxCcgqDEHvtDRQkN1MDDKoWqNkeB/4yC7H/BgtS0P225
lHn/sazYKFUN7GnMVEzG21SA/8BVZsh50/uC0qVNQsVLgicv492ZKWmUVLcJErzkKgLtc6QT0zRp
KhNFqyGA4lqyCh2WvhZfRGSOHHiUAlfCOCnjY7PY7Sc3Mst7142thdDvfiw3RmF3D63Ra6zNFHhr
EaG5MWPl06RDW4BEY/qZrqe+Pgns/cW2D7VLPwBEzeanMVye9CgwPZoHonVyUr3VrZ7l8UWfqYm0
VKynARa90hw4uYOwY4JKB5fE51Cdn9K6odWAHN2jESzTc5kXz7Q0fTheMvd2ktnnDhwgd2+GTeMN
I2DuXNyZg3WXx0JbpQadx2C6WZwmJOFEe6qL+p5Qvy+Rg1S/DBpiLwrgJwhkl60Tu7nPnITuo2nd
JcI+DU77GRnIJhVFdgK0ceyjlK040Ilfb23Myg3QknysHL9a0ruhrj7W5lKdjWYovaVgIWS6O7Hq
Qe4YTelDyLB8dAbDkgkKy6lAmrnYxBmKevBbTa1Wvdq8Lm0zo/qfMnBO/S5rExJ9kMKwg1W2nbBJ
uD6g8AmWn75hecCrkfAZ4KKDZULWzS4u+C9zmHqiMctPBSoklqpbxwQLX2XPWhp9ECXwma5LzFNg
BXv8ErdxRfE9WHbk41kKUK2JUyhxm2Vm3kVCfDAbYHr0WV5EWRwXxkjV7NDGVx12BWKBPCqxxCvD
6VjIcFZ1xLBSFtsshrqBmA7ADtE1GCg+JaKlayrGeMNuthZVd19YApLUiBoNNdnGrO3hppeFsj23
DrEu5r4jquQT456JkJD+dhmwMVhGBCKMBJZaUan55/5jMydfg2GkPxI1aPdMlSRI50Hozmc7CH29
0Z6yPKQFK1+GOtwpMzbhYLlkgEc4IABkAdwxl7AT+1PmptdlFl9iQW1WgO3eNFNMgUcJgdtwPsIz
ox1iJadSL1cONgpU1s6DYnNKIRch9rVkCnylkVj39Maq8ovhNkfSIq5DS52I2oGmrm1uFKP+Qqja
KrJ0UFdZ6InSPlSDuMzxaCBr64+KS0t/qNl+g/YDrpevQpnOjehf9SD/0Hb2XrPFKRlSba9GNmTV
DLWEVfI9oPZ5ybSRR2xBYuxMGeaHQlx488Lrxuhz3eA+09T8ogfalTbWpnbTr7DefAfUi0ccC9wM
I79KeDPbXnS08654iGQaazZnuqeoRXZUAG4jiQIfH6A09e08f0KznK7BtN1qbfAZWdzsI91Hg05b
23WWU1Z0515DR9Gbj6PInzpDIxaei46kXFbxKgsICCfnus3UrWmYO6MCXUn2xbmnE+wVJpkxc1qs
TF2a9tF1zlZ0cPvOOMZaU9y2Mhv4MA2aHNgUA8kLxoLNvWaCljgPfV5kHMJyjbKK6cWmztRuy3GA
Dn1R4hydTP06zeaBPo12E/Fg+XznFpxquNHWgC2XOnZ6WOoivCMyLzsmZmJtOz6C9Zgp2U7Dq+NB
FrUNL0S6qXqD6KJdpxio2+mYZmjfVW2jJEH6RzP8v9u0TpfkF9v0a/FSPsfFT8Aa8hf/s0/jLcVf
TbK1boKnfevh/El2NGVTCFwYejmJfWRO8e+N+i1wRgfg7OKtgBAtHaH/2aihcdCIVP8dUfMPNmlL
8Fe+26RpZKqWodt0fhxBV8p9P8awcU862C+Ui6Zk6FtZNVVzeQ1Gpu+plYH/MtQNk9ZNM6MfJLar
au7cJldudXtQUAbaZWHfhZweHdyOs7GCT9Q8cFi052dLYd1E7Zl7ujRqJYRXeq3uLLDRRsmzcs0t
ylCEY9LkBWV6Wg+V4m4aHGBFlarPYY0prNanalNGGMXGHsvaIM1jXcm/NaShrE/15kv1ZjKTdrMl
GqzDWNiHJGmQkWIWIUqUgQAutV7vv5JnwxMhDWwoorFm4Glz8LbN0uSW29aaBYL8YGmAy6XqzpWm
uGbGkUkyNKEwRH3hzUQMSc722mGj9nRprFsYeurd1F6TFohPMXfZI5vffK9pD7HZxiix0pu4DqMV
oZi3yQJvDyvveVZlqjJL40jzq43HjXA4ippdhlJUmgBtaQcECBQfijeLoDQLcnxV1+2bg7ChYGBB
xVY4VKgY+FqUC4SjGbW4i+SkNKBUmUS+YUxMhxJxNss2sD8zvZ3wL5bSyOhKS2Pw5m5MlyXesAVg
rfWNgvSSRPogG+mIXN7MkdNkOis6FlgmieVGxAuRO7i3uOx2eAvE5MYu9kUzDCxmmBkDoTjn2ISM
4nXoyVJkZajLNCkz0/roMZPCswgFWtgweRyB7a4JSnpMtS5cB+jVKDNyH33fKQsi8nCS+ZJJcVuE
yi1arBUjn+4y4yCV6Xe2bzZO6rvgMHHhiH0zIJjTpXRuSOb7SIrpdJR1ppTXuQ3H7cnqiTueJYUg
7quRF9C9wUybYdTN8yB5Q7NhY2HFZXO13iKTGtoEautNluHrLVSRKsm6U1O79Py40S5YTcSmqS3E
7CaLuFKWNLkkZtBZ+i3Umi/ZgKhHnTQCFKb2ME5SLDuE2sYyA+cGc/ZGyd0XXWnJt81vy77/GCjG
ua1sZpa6Ut3MCuhDXeIEkOjuFGtkW+ys7IOaBMHacV47ZTrGGcNd0z7NUemu7STa1tO8Fhzlec8X
Zy5OVg6UdVCOlhaf8oiDYNxbwblw6O3kojI2fRTeR/MUkvSU7Ru0/2nNl+RE1AJjzIATn4BHg+gp
7EeeQBFfpqEkOadgM1a6IYc+XPuayPaENa6dpnnKG+w9KB9wTn4TdszSkm+o6jekg/jq0JbIO9S7
qh1XUZXsbUg67jj5oyZVzR0zPs7KH51MvVC0fRSD6pCG65aC1rQrDoGzfKtqFMVLv7eJCzHyfC06
knvVaDpaSurjbnuKhIGvYliTnUh8i+Vc27S4c0r9xU15hvPMeO3c+c6EY7nK6+o81ws4FdOv+I4Z
TuOHZqLPFN4fFrVCiJA/YzD6MMr7UUuTfdNH16VE/Y2OFmO4JGDu7LwkB5vLw7e6zYvpZq5nX0ev
UQT9SnEoQBZlS7G4sxmI5hUZTu20USypc9DjZ+GgD1aqHSJ7PwWVSbDkpahUZ12o5RaIEVPlPrzq
yLfjIdxNqrPKS+VEX5gUu5hzO8TWdPJrHhGsi37QaCvTVf2gI/wxey2D/m5CBJY46m6mXx2PxWeL
ziBZ50RbcY0OkF2gX+hF37edQAps0dSY7szJlcF/+srNcMyWo7rNzcZ3A5c7MEBQbasbx82/zcyU
WOE2NM79NnJWwsHLHbbR3tDw5y3NZ1XrKLGceyGqz05EiOQw3/b5SzFXr7VKOgr2Ns824g1E700b
zKs0NNcRVLzQiG4NYN3lYNxRbH7TlM7TG1WC2rxKVXeKO+ycVtmoUXafWOWps7SPHG08m0AZT1jV
OlCA8qj9hkfxpnWdjWa0ByOYuWC9Dis+sKloV2UdFOCe9OexLz/zp5gUwP2fW7MiCzqCBh6NPvio
p7Zo/cJRjiAj90hykdvZkTc0KakrbBJRRToq04HU64W91bvhIe+LLx2cgZkUTIY8OPbw+5ddsysc
a69OOUczy0WfMnweG/WhbLC/KBqNr4lqs+ezc9dh0SHPtrg7bZIOhluAKMcKTcmg9PdZbO+cKbgE
Mu3azA9DoJ2jknlw0RPrk81XKOL0kEavGp3bpHFPhjY9VgKtUMPgWHedj0FDZiP+gqK17ogqVj0w
Tve95HkC0PNwj3iFlZ0yKwQqVKveyEijkQvVUn6e0+6oN9a2qqQpZuR8PvrtKIuegs5W8bGp5oOm
l0cFQOFFCdTgKw7U7L7FkecvendomA0sI5GzUCUUJQGLKD4mXU7zCWGMBzD4ER41J7YUzC2OlFh7
EbniFV39OW2ivaprF9ZbnI9NutXG9mgtcqieEUm/qNpjZLXVxjXSD3nTQdea0m1qaNckdRJOsxVU
mdHYIF7dBVi3Rl3J1/FSQi6lIRmOBGPPuszgJoW8uNLn3ibBhG1pfqkUNIZt8tSBC5OJFDwB5N0n
g73u+3DdRErh042nc9b7ecYmMWGOGhTnZRgILo1VHC32JlandVESkJe3NEbDadlMeXGEOHpsOusD
4ya0oZgKipbzWZz6SjQqh0Inzws9uWbi39fKfaZ054UWSdtUzwiHkEy1LkEU03kw6anmKtvfdyXt
T8bS78bGbxUizR0ykg05hX8/+u7Gpmn6uFAuas7sI/XK9E6hh/jri0g9zl/Dxz/KUAb9mqaSe+oY
+rvhI2M7VTA5VS6T87VhftA/TiWe+VWOkfbXV/pZwfv9ld4pg8oA9ucScCWdzEOT45JNVuGyL8Wn
pP8Sl+I3Goqffno8TSiVOQwyMvtxqqozDnGCrAyvg/Kl6491+Fxkz//8HVEtUyxzGQMz44+XCAR8
CXeuoiuYTdyE/Tyvs4jeb7iN4azp3W8Srn7yjmCYc2iBPU9XT7wTPskRmj6rXXwlO8eLDZy5YJvS
37ynd1oIedP9cJF3Oqc2UDpLBFwkoZvWNafEjVa//tR+9zbkz7+Tl5CVTAsEwseVkaFAEZcCLWb8
+OuLvBPQ/O1tvPtqqnROqyFv4+ukGB6KQje+QshigXu0aO5h7QIz++sr/uxtMbrGTQsuyAJV8OPb
SmMnjyHbxle7vq3VEAvh3g6+/fNrADQQGHq5D7BO/ngNIMCKcIYmuRL3vAZdbReljx3r1xf52UdH
KotL91gzbN19d5FyjGw7jkkvbKrHQpwiTooJi4Eb3Cf90WSWOAa3v76ivKferUEscX9d8d2XhXYO
ra02M6KfUGG1DxCffrMYaD9+OxaQB+zHYCB0GuKC5/Xd4tOWJrSBScuvyanZE1Xp92eoPmvrNrqz
fGI8N5gCN79+Vz9e8m1l/eFdvbsk4ot8wkCfXAeBuI7eow5mTC93v77Kzz87Gv0qO6clrHffllg0
YXcoCK9B7fo601gIxb++gvz03387SGe421wXCdP7G7sipgqBipJcbY6+s6NTbX6JTTxRSfKb9/Kz
T+z7K71b4BAtlg0tzeSqWa+Rc2sF9/Xym+Xt55eAiKq5mHVggPz4BMVaOjjmEqbXorhYqNomEhf0
Xvxmq/vZI8TN9udV3n31aUNixhxylTh9zhRExMq6MTdW2vtpd1XSbWb95jv629sCPELqCBw1tiIZ
ZPLj24JVaVe5XWbXbtjC0R/Ful7ufn0b/O1Ge3cJ2mzfL9sFCa6GiOrsOgLM1hSAfIn1m4/t55eQ
civobS59th8vkUxTrmSctK5t9qwse4YEv7nA325l3gNQXNiNFo03NIU/XoCl0x61Ysmv1Hl5j2Yq
2cfYYDCVv31W/+3Kyq/k/+7KXlHEP7W0X9m9u3n/8v//H8g8KPbyt/5syRLnTWeVZD4WJoZ0fAV/
tmS1f6EXB+TDUmaQ1cUd9ldL1uRH4HzA/aF9lcv3f1qykABdvkrX0jkws+Ba/2h2ast77K/VTjIp
sBdj2EP6x6EbMuGPtwia+aLgoKpdrGzs0l08gHKpnTo9J6TympKbGS0PQUtPBoP1dgzdB3wjrZfL
pJoy3LoBru44nT5ynEBtUTa3Yii3LmbmnjGUyKe9MbWrpYcwpTyWIcHW4Yam0EVLXHRrqMJ8YUm8
p7ag828FXrZ5eckkoHKWmHX6Vo8wfhgMGgrK77F7XMp8R15yuDKs4RqPnbGusSTwc/W4DNPs6QY5
wIgOvd7OPhVKP9NjVV/jCk7Aor84qKJXZU/gcaNP97kzjX46MZ2ZlYdmMYWHHW2VEKVIN8a9KcQ8
HxXS0ISGCmIqGI1MQbJiV+Ifwsiwgt7kH7bPzaCtOITqK+QdxP8FIPHyCLvSUhrPavrZmq9Ri6EB
VHNsMX4WssYM7K5ZjcY4m76VckYHUoZ0e1WRcbRvWqNzn7QYYRrQjSbfRcUQ+a6kyrBn1OuMDByv
k8wZVbZnwZfAodGR8amSTWPoQ6P5QhJrZsmuYWQFxWbJmtuhhGzTV5Q0lY2HXZfQjVYScCLJwskl
FSevxedyaXSIOUCtTcnOKSX7o5M8nUmSdQLJ2BGStsO9adIsgsCTgOKJJJOHsEKCN1IzPgeS2DO6
fXuIOJBuJ8nzKVBUtataUn6UyAi2Wtp/0yUBqCbLx68lFUgDDzSg5PeYbmC3kewgDQSxF0uekKmK
V1cShnqkMetCUoca8EOZCoeIMLbs6hhhutbeKEXKHK9dpudbUzKM0qG1tk5Uv+aSb2RJC2UtmUc4
xMMDn9ziJZKI5BAViaEGSlKgsuO3kpxUSIaS8YZTQgyYcjvBWKpmjiQlg1SSWsA4dY7SHEdJZQpH
+ExuxKmIlpqxrTqRrfnyMG631jf6piYd4Yj2kmlscbWDfVIlASpxq4jJuWN+hWuQeowyaExKVkqY
S4h3ZQ6AFCVSKpF0qQSj+leeufDQJDryrAV+4Dqi86SCyoZO5Q5Wk3zLCDLeOZqm35ZaTYADjlmS
3ha1ORpV7DfQPTJFCxF9AvwoJPqjhAHCqD301SVgAAEZd91Gk29BDFHC+iGTCJFAwkSiHDDtIAEj
iQpqxIY5osEeSSSEZHZp2usSTDL3Du3vqsO5AGRTkkss/Fw+Y5x6T9j7awTepFeDzSh5JxPgk1ES
UCxQKAwRD5mZfZYYsK3RQkvJ8kYuIu6Zj2LfA1QpeU6Vnvuiy50PuAivNeiVSjJYCmAsFA7POnCW
IVOAEjYTKQGNs6dZvCsBubRY/DGDwSLoQOfVwF5o4Mf4NWLoCfqSgFkhAMGhXzKGLZE/0V2o0oqx
JT+mzyDJWOryNCXkM41AZmJgMynQGQf4jDIZ9WqWPJpJkmmIMmNoK2k1ZuHGXxOnKL6ItEt2oTHE
+B57w5vAZx0E5yvPBLHjmVb+1W2x1+RqX6yFUV/LUbkXbTtuE8L4DmHR8yiXiOnTeXR4SUpHq58+
ajWxJgXlGN7mQKA92MTK7Rt4a1HJWWjkRTsJVU7QQW9VjCt3WdhUKwcOBjqVBhBJIhhrWJO7rUxt
Xi9J5Mg+cMYKY8/bCYTrOmiJaYrRoq7dJRGeaKxv7RwuhMss+7lLLmpRH3MjOVFm5mtjVHWku0a2
NtQq2EBaJwfSttRtFgR0jNUS4KiYLGky8eIIzmhAZNlWN6QGJOHVRjlPrT4yv8sKpn8iAl4+V6xS
qoQnjwXv1GoGa0doTIiQTRNbBWSDl+TgPmoY8mBegaexTP3bjfXfUkfXf1XqnF+b59eXv5c68re+
L3Wgi1sWfk3JEedH35U6ukmB4VK7yDqIeuYvmRimAh3DgasxmOSc8lepg+/AxOFP9WQgFwGN/E9K
HYqa96UO5ZSgOSZrHR1B07tSx1B0xj51ml401eyag9vFFTvykJsKWuLUhpIkEC75fZ3Ut5oMUcKc
j1dmN+33apBsCyk4l9O2zvnEAKvyqnj4oBlmc1SnrIw+B1KDKjpgtTM9Oj9/E6imKLShBO4q3cKq
h4y1TOfLpGQDrRn9KaDQ86HkHSukr4WYsJwhhiXNcEuM/LLpnekTRoEXUdl3lVHyB4yl2oWTtRl6
h+2wdW+J5f42lI2+zpOccZlU4lbUcR8DxLlsMuiQ1Blj8aRdHAS8Y070gZCa3lCqe6fG2Q2iYtdP
SVwS+qMplcBjOfcsiaiDy7Ie1vRNkl1l5NjU8dujtwkQ+9bR5z6tu1VhVYBECIP1Fin4gGFCQtWb
CmSUgpDoTRtSv+lESAoFQyDFI1GksoBJQUkrpSXApsM7W8pNhBSelFKCAq7GusRSlgK5SLuZUarU
UrISSfFKIWUsosbjRj5Zu4neVC6DFLzoKF8CKYEppBgGki8lkBTIdG9amUTKZuCaGUenamhy5+7c
hryGoo4Ppq0Ibe+mDNE3OtilYbZT7atWG+aq72HK1ElyjobeA46KfYQM2gj0LXCWZaNa+a0JAnYE
YFPChG7SV7wqD3WbnkoVE0Nuj9sMjbIPYv/cuMq5xSPvRXm8sqqMcJviUOnNo66kp2SEdVDr+Qcj
jMZ1FzlAteqrHto37CSorqPOTnF2zOS0GcZggDO2omQ5wwKFJES1llbETRvmEDDAj/Z9HiBVDBiw
TEJ31vkSPi8TJ8yAtZe5AsPgUkq5LLeImGxbzwzZG6kjSwk37NqVEU3rXusIYZo/Qp6ZViReW4wE
h8SfZ1QKVLk3nRjzlaNayLxDUrcIWEKmz7+El+xFTJVsesV+qkpvj+WmPhi6YTtH8bBSJ5VAMcj9
aYMnYq6w66tqdxTxNPgMnPV1nBErqOb6FzFpmHfm8n6Uad7uTNZUULS2V7PYuyjhPcQuLj4Z+zUP
wpesRCnJ00Uw2vy/7J3HltzGtm1/5Y7XBwdcwDRuJ5HelncdjCJZhAcC3nz9mygdSkWK0hm6bXVF
VWVlZiAi9t5rzYVPmh5OSw4fa4C5v9raXluP2arQZl5+0btrh6VPTGqwzNWqgTMuGrpWCrNvFPqx
XSR7UguLu39L5feiV6d79del8gkHN62rnyvl+Ye+Hx/v0FuHCca8NaNT4p8+HB+gaODQ6PgJZ43S
78cH0FuadNTKQtCvm6vh74XyOw6XshuUPgKa9/L6H+iXZvb+T3XyfHBYLhdmftdvqJgPXfyyKFG1
h3F4VbYM+bflO1pW2BeNaoblHrxzZ0mI74HQthI0KD6smU474rit1s47tba3ZoItoThbagjDf4XV
EKurnkRp5cCbJt5eQ0dCKgVO2ODKTPKIOqA0Q4LRtFYfaN9NgmwvL4WdRA2FUYnosW6E88ZslGvn
uKjG1qaWqaIy3HL3oe2TxoKAzgEGyrYMKjfmYkQCn1X2aXUJqMeYqlBy2quAED+8QI6Fh6lplTcR
uc3m36X/vvRNbhp/vfRvi/T1V8K9+ae+r33IpaxejasRAxUSHlh9v6990ppVix4hQ5D/+DK/X52c
T/P/KuakKq5JtEJ/X/yG84l+kq3CzjD1GV36j65OmvNjg5cuEbIBGAfwlnS6vLY6X60+rH7ifePK
bPXx4sBjvrJj4H+RJu0n1NL6fuwTMAzEpKydplNP/Sj9RUegCaaRbnqw3b65DdUi3UyTFh0sjEQr
W2lAmLNIV8z7z2kauqfO0PyjELDbDOyTiw5rFkfv1DjQUuSwhWK5H/QJS2ITonAl4eVLhFVtE+e9
v8RyhtJc1sNLFobBvihDIB4gLpZ6rs4GOEd6YzU+uHrphanxOvqZvW8tzVk3OAMOOcBD2MSogjCd
+t6AGCgx2mLRRhzaroVTICTHybD0uSg24DmqiOuIy43jNzlqvXnd5NmynKbgmx3L53AI/BVUNS9K
5D4GJzcnrJITPLm919CLuwq04ElNxn3UGtXalPm1KEp1RUKosmmsYNpPQWvsuSLZq5QMMfK+6h0M
BXcJpMDcJGlurjpd97eW1jlEfwbJvsxkT+3XXU8VtzuZIhYgi2OimhMrtAgFsxj3HBt007qRT0fB
+30T9ZKRd6Rpl5rG0XK0e4keq963evxSSntAt4R+EIhtvNICSQunBEfjd3xhSq9Vy1RJ1LVvaVsS
egiTrAJvECjymgQNytTK164I4hO4ujclKVRy+lC3Y191lux0HgiWW8uwrzMbLmIyDBu9Sx/0uG/c
o8mVfFHp6aUrtatCdx7UoLa9lCBqqajgC7HP2aVY+fCjF+CtkEt1ZnCqa4F+Js8OtaG9CTGnaln9
LSxSYnTp3XABwUORZerFDtxtnhWbzhDHeHBPEplRyMZKTnJAw8y3rkY/Xk9BdMkmkhEshGSuCVlr
EuNJgKLCmHyPOzpdToN5sHwY/VPrv2R69dnoyTx1ubBB5t4UYrxHXw6TwZcEhcsaf3OO2fNcJoL4
cB3MxRey5CoP7k0VrmFFHl2sjzwV9H6OmlWi5ydMt9hzSTPojFbDEV9ftPt3M/5tM+Zy8DebcfSG
JvDPFxE2yD82Y1r2bJxMZJyZ/fbDZqx9UoWDEeqdCOda7JPfN2MX/zxtdBbAnJ4jKFa/30QM9xO/
BOyzLex3nv8/SuhByv2nqwhWLO5D+J2QdHO/+XEzniA4hnoRqReOBe7z2UTyk/ZSBF9Vl7UKnrOy
8mPkUK1Evasfe8l/r3T7Ymn5pS0lCuDgBvftS11PHj3IYVMn4VOOyIon/8bInZOkhOJO/UyIEc8Y
zt/JTg6NsGu0dqJjP2nv5ZDfxXR8SLcmEa8sqRQQ6T4DqFpygTsI+kWZBhSUnViLpyfdVEqP8fA+
FPnKHWKbOPNoW7dkd8f59KQF9rYPE8SQzAsHO4QQlN9PTnF04/IJpXuGRFz/pvT5Iw/HQ6KhtTZb
saaaWk/2dBW5IJh4Zxvpxi1wgHxJ0gBJzGSLUlD3u+adITeS2E4/2C6VdVWzeY6Z81D2OhE4zWjv
0EtqTPrNQ6wSlhf3ypZxHGHbIL62rTJuCnPY6Zhpemnd9LK9wc1Z3adifE0lOahW6eyDUH1UM9I7
VEyWUh1OQUJzqw9sZSXifNuQmugNLZICs95xClLq+WI/al9r2oKB396PjqBUMdk4Jqd/SdTaXaSl
AdHafDNsroAo+++p2mk7qiZJuSZ+dTSni7HvIIoNI9DWceOQZSJJfW5rPrMgSM1lPwYxV9IkRoRy
5i6qhSvfjotNI+AEHlC4kx9jSrXZFQ7lWzNnOGiQEOJFWaiVvdLfhxD1+0ACe2u/ixtACUvrfWQx
vI8vMr2olmOK2yoIS2h+pnvK2rLk3Da+5PMYRJkHIoZJs1ufhyS0Bpc9UxN2UNNzk/KbMw9U2HqX
4zxisedhSyCSG3vCe2Qb9lkJcS83uuR3ICktlPApZWaTz8Obbuhu5TzOcefBjlmKrzGTHn0c3kjI
HBcdM6AAdQlUHAPGL+OhpNYP1Tww4sAxiDHoCCOeh0lusjXD6tlJRLM2sOGvBJOnsYHaK02wSzQS
v9aO3i/ytMdvk0GnyOfhlTqPsdJAOQfPKeBX5lv5EH81GXkJRl96HjDcmQ4WaKG4kNfU7ITUMiyT
kCiwPwWblDEa1Q3UdPy7Pkj1jeC/OFr/GEzlNV4gbzSRa/f1M7GcNYWwgtTRtqcZNRUOcGOTpTLT
IiwrXShKCNKhGjB8zUUIgtKbdiyCXRKGh8nKzxM5SUMuISEjrU3NDjRwOSYVVRvb6b/9UZ3S8q/P
lVORN28ADP98ssw/9/s1X/2EPQclBsoSbu3zzv77NZ9ClsODq7VlMUGeD53vJ4v1ydUwSb8nEHwo
cA3xiTu5i45ottByLf9Hk2AGyz8fKxQgIOtx5s75dFTOPx4rmSTgdYR2ds6MqVuTj2gSGG4/22wL
hd0+6o11n0zXPsx0jNsrvXSu2ya499Mp8fAxkCSAiLbMxxMWvUD5YvTJfaZwgdGMKt6MVf7ZavDV
kOe2k1kMBJyYXNkWWH4qsslIFPB0VXtR8k5+1po8YvNO+1VsRj5skhgEATRwP6j2ec9oLTbCxwwV
dj66zxNK7VQ6lddH5esYJ9duaLxWlvY0dHDQrWY44RkvvBGs+VKW8aFtsb+IrOgeR9V5gZoeHXIy
0FZaT0iZKuP7pE1f1NGedlz9dj5jR87LaTuV+ktXZ2cSDrzRskkD2CTM20oX3JeI+/s2jJ6dSNn2
avFYV0qwt9mv3Nr0srwjEBfOYDqehzE6z97QcqxmIk34tcD9FzScoqXVn93ZBllE+s4s1niYFqCq
wZDezvQu3AxN8lzqsMn5Ezcc3HOvt1syJavxYAK+TmIdnbXpLwg2qGnqurnn9wwWfeVoZUW/LRq7
Y8bSrvoixg1hHYEzTGuTvcPr0nRbFunXChXwstFreneVuqmsKWT2116NjrtVYzZelVTuTZjjZ4iw
/KQ5rwf+vBYB+XN29VmdxghsIQI6otsL9MuD5bsz7+SI0vqSSvecSXNpxcyMoWsc+2Au0mym6UyM
mWUDhlW5W+SzwTLA8eBZfUcEVQJTMLVroPhRk5FzxVk7RozLmgxWRGO/4qLZgX1p1px4nq/SYsYD
dt3bVu3Zc25FaXwZ9bj0zDK+ybUsXoZ8c4o07gXYhTIjqhfNlHMsFW2XOsVJxsNLlw0PYU1SfUmY
rdaP/nIiSwOKf0vrs4LCwFm668amWHZQcNuI7s/EyMGLwuzar03DS7phS0hRsa4g0C9w1vaLpGAs
HzFatDGpZMWhkPJicvlP8IYLLcWmgd8D1h3mitS4jaf8BUTwodH6UzHpJM80+R4mylElXlHPAKCm
qtw5nfM5JrvYDQO4PnoKbqe+6+uIA1G5R1+8U/Ni3wJwKyxrl5Dsho31Ja/Teysp+VCn/mgaDIPb
4tR2CWPaZLhOs24z+NHRbC3YF/1WusVOm5Vco0n3KNwHJh6VajQOElxkX6tXamim63aqln7QPPV2
CHnDnNZR1VxkSzrEONn7ytVvRCQPSUSiQTISOJFm7S7uoFaq1SmQNu6TDmfaiHE30G/ron4MmCT6
Q3xqQ3MZBuNNrqZYr3nokzRccy17DBJ7I4Jim1mRs4PysrG6fk5Ba04Gk1aP0HFa8sGOm+N1pnS4
u1Uq/7baEd/3pA7g68hRSJeu3t70oTi2JD8tQKLCwp+yJzppW7vtPDk2S6JeFa918pORWi+T4256
hca826/TqHvOq3ZbC/XbRIADnCXKSFzAkYomc2FPSp7d6IiGPGKSU33tFIK9bzCMPSgh4L1WenCD
loI32Q1N25BA6B7CMLyYXXrwg7Ff4EY4cRvFMuDmn7uI6Tl5AmdFdTdl4Z4rQKbYiId1VqraKhLa
Q6S1x0EzH41EORN+cDvNXyHUhs+SXL6CsA1D7w9aoDwOanehEXVWEwgllg1OaOxfdQWWYCQDLuCl
XJbch3EAiHXeBtGmdLIXyfVpdLMGs0C1TYp4k+SyX9aW9kA/a18yRA5DBl0MnTsYBJ5u3tlBC6Nx
+hyn9u1EX/2Yi1Lu1MC/kVl+UnLVX/hlujIn8aJJa0OA+MI0cLPHDfzevhr0LbocnuXgLWG2TKuz
UA+jPR7hTehrTZNirUYGd3nB1TYNJSQGfE9WoG7rrH2q++i2zCckCMGdX9XbXJkCYKTOQ95HSFeK
O5ItH5sy7HaDeZUkeD/UztNji1iHbNgIs7j0TXAXqVO9dKxuq4CTbCYHWY51PaXatgpcPhrtopRV
vghxGHWtfpswe4BTTzSFQzjMotOIazSsU51y3q+YZujpqu3L6EFkUcPmb9kHPadUy5y0W4elhfAG
4QRFG0/ndCyxtTJg5y0xa9lWw7ixg9y9ggng4Mjr8tWkRJBfuxKSdIc5v2uzz8RSrEwrj9ecMJge
4W8spT5PQ7iDEhXqh0Bzhjn1pOjcbh+nSI5KZfyWVzXmVbhTyQjE04grbcEYxlmJNH2kjaPTXLMq
nEmY0bWwtpVFFltwJLPgyDBVXnIqv6dYs8EriKlSGFn24rruCepMnYkxUU/eUUT+makxl5xonWjK
Eb/sHjzsle4ka3OIV7Y+PZAyexOU1aEtdby+Ru7pKUGJuVY++b2IZ8PMqtJqCIwJkTEmtnujaT53
VHta4jybvnHqesyb1ADwkteNj6jAqO9wbo1Lxw5f2VkfVKPa4ja+qGJ482PjAMKI6VGItycyCjLY
jSc5iYMdZSeo74Zn2RlsNUxDEsdTyxFNax3DWUW8kCqWaVLcNHWCiiObdjKwjmKItloFmTqRu8wF
VVmoCWKJBA1cbFy7fXbbkBDSFSPk2zy/o4zIvUxJDmrU71RVOZHc7XEV2uhDuWt8l6DocBfY5QE+
2qNlGoc01/aVwUlrOKC15Rc/JjkvCa4Hn5vCiAFt8sNVBWtDlM1bFrpHJSdYnkU3gE5v3fQLgD8E
TQTZF2p0Q6jTipaS55rxuDAyYE+DelsnyhyXpCgenHjIXMEKtu3a78CI+DEJcm5NXqW2zVr9CU2x
l8basBZkARkMdrlalAtw4iW7e/KUGi1zW0GGJYNpN2FugZIEgm/8QEDbxnCmK7UDOp802t3YMzWO
5WOhWSr+Sri9Shd99auio2/at0xBjXMv1LMfGAS8NtYK/erK9G0kU9HOjVR3HQQA95OJXqw4N1Lj
HfeYZi2dxRIUvQB+Z/fcpaS28kfLuRRasc/NdgUf21qGjXqdmsoxbYaZZ2Ws6xrnsS9COCY1LiRS
ap5Fj73XZafBrDUch8HBY9kXjwNB4lKxnnU99tcyKp9UfHOk27XrpO5SnFW8a8fXtgSVoPLBCdoV
brgNqjT2mJmfJPPXJFCmi6JXB6kFCLRwaS7LKvvGwJpYvZH8GRgk30aCprSuvA2igYCfKdv1NhbN
sWmBpM+ntjCfBtrhSLEAuVYDhslyNM9aEp2hcXhmbIY7O5zqI4G42DEH41GHF7bvK//ardNnejbm
dn7cIcQzUEWgt0bMbTw7IZwSaV5r/RAdXYOGiiZ3gVTvdFBgUyFUWkvtJlALgniSYxmom9Y2qWJF
9g1lQsperq8Cw7lLmmIfAVhLOot7JlGitd48jVp54w6Ey+bSPsdaQCxvvKbNMZLvHD+UqftsDsYN
RqfiIIw4ByhmFWu9MZ+nzN25IMe9WI3yTd7xi5VSW5NShXAyN7ttTFgV0QeS05GkItW4HbRYp4yo
KsVcwfg39dhLDEtZ6Vrko/T6UPFd/Saa/ZgXQWH3YUQIVhVPsMt0ROOMh6Wg/lRA6ZGqDrqeR5dY
orHOTzWaVte8/fsX+VHE8v1FCCaAq0qL0p6ruA+TmMQnFkKp6+iijjslP6l0VRTzrunv/v5lfuwx
/udlbCax5qwQRi/748v4qupSBahc3PVvfXGvGP/F6/eL388wV1N18kP5uH7+rGqC7gtS69JL3rPQ
to5Pz/b36vsX38Wvfj/Kdz4hPijh/NwjDWwiGAxRZheHukNcCfe39Ji/ROjOyvk/ZNN//nx++q6h
/WuhwlZ6geOmZF4CM8demvB23tJ4+fdv5RcvNUPGZyW/oIXs/vRVpE6gTj1hTBc13mK8bNSFpLdn
Iq72YDH+/WvNf/ZPb+uHr2Ve4h9Wl6pFWWdbaXqRhgcvUVB3NUv21LFb//0L/epNffz+f3pTuR27
+BV/eyEDmh/TknDNOTIfxfK/rLVfPJfwRjB8zoR2sLfzcPPDmzJErhccvPmlNtZ++toNNPe+/P3b
+dVy+/ASPy+3ibZ4EaDDueTOa+w/m8r/YTm7+FzoBeJMQmH341sgaEw0pqKTEMUOaMAnHf8Pm5ej
4eebtXaMoGZd38cPKVdy7veWVlwm+7W3zy2+Y7X5L3vXr750FjFaDXOmE889ro+vAU9V5qMzZRes
7EA1gENp4rojIE8uJ+O/rORfvJaj8jZ0DYcFvr6fPrHQZ2TuxiK/hHNNvYJIHxIhUS4K7lg371/+
vy1Pgyfp9013+dq8/ke/c37N3v73/92+5v+zjN6CXzCJ5h/83vPUrE+qQ7bzrAxVbdbYHz1PIqbw
scxPpUD1g6jmj56n8QnRAd5SJAdzEvbHaZqO6gFINR1UnMgC19k/UYXS12TR/bHl8SfxyxBQoK3A
coNkYv73D7tDFMdhHVIXndiD0YMLZI0BehpLJPssynqpe1o32SgJ6X3o1Mw5SUFt4TPsyIOj0cY2
8WYzi7eE31e+xHaqaVe9VuO9j7tRIljocveSFc20D4w2jXZU1/odpCRF7LRarRRSEJXmkvmGv09G
i5RNPSHF8Day3dQ8TMGU1l/cPLD6U2VIQOrzjKADzvfGNB4rSx4RWteaTgszL3a0tVs6UXfTlGOz
M1MdER1o22Ra+erYvkymDUHOLkP1oIOGPVRlGbteTkt1FQ5QVaqyalatOkYH0YyQ8vxJtsRD+e5r
W+ehuzBLv5826FQmL8nD9irUxSvb6gtVzpfYolfB7sXkyxJvssneGHFBNumy0vxKA5COCzVdGfS7
fFLFukmUFtdeQDS2rkaR1ydEneAtQNBPr+NRUyK6p0nvfxkiCnBorvqOZO/wCOgx2yZaZZ/tsh12
k5TlhiFO4VXd1CBjzQdPOHgpkLRTK5Ghx5crl1bjAI2o/aXTZAendXHC+pV9GoWYdomJF4QkLe6s
brixIyaSVTCHNY5O7BV1m9N7SJbScd/gCSobp5u2qeZejDiyNqPf07qps2QR+BWqe3N4MkFvLJN+
IlWFgCtynah9gG83YdWfE5QtoGPwVLjpDPdjo1zF5Jpc1CBJbmFUGjekduVvsWpW+6yM8se4Y1RD
cgkAky7+LWjg311r1n3/9a51fpWcvX/SIfIz3zcsIGpz8BfXXszgJr7zPzYs/olpIbIXfKczkuDD
+N/5hG6RfYTZDsOTd/H7d8ee80kTpsu/GP/ZA//JhmW8a60+blizFgsZwayWd3ULv+GPG1ZV1hlL
Xp8ucpaWMKwlwHiWm0h0J1pcbvxZODwLUnzZflZRqEQWHgkVzUot/HRZomJxOxJUZ1XLxDYl0Lno
PjwwFeWLBUh89J0rdZbE0FTUVyUqmQS1TI9qpkA946CiaWOdNgiyGsdi+lMFsxEHzY01i2+gHL4p
Vk40vQvrYBbo2LNUR5lFOw7qnXGW8YCx3GToelRBIqVE6WNL44p2xUXMEqC2yjswMuiCEmvc+APY
4VG41ynKoYCiNp+lRKOAaxakyItGdEb9LDiaZulR/i5CQo00zbIkA8g/wu4trRZ1HQxIlxgrhbRw
0VvBUJL7lmdvpcs+h7dqu8skLL0oFWyj6eeAQJ9m5E+XXb1pywpOSkE80zDBLLdVEtr6ZAtedjUE
DRHDdbiszFTbkTt3IOU72mvg/H0mVCQgkUrsJ8xBErK63N66LbXIWo9O1XjMu3gXbmVenNTa5X2r
LpCMwfusRbpjqHC2EgNSWt54deO/1IFzFyswfSLF2Jqj/0ZtlS8yUDeOa2XLmkEUhnv4q4ppbovQ
r5FJZ+odExxIRYPY0XkalmYgb5DdbyGt2V4oAGcFU116eDF9HMidCicT5ZSMCaCmibGawmhclT5m
GrRmXyqNthLqLGTayqTfuKXmIDlJVqEAH02wQ7hU8CCsu151Ey6pegaSzc93FoK0LQrT3usVJ9lJ
R5Cta6JdJX1yQUUdb5pCpOW2qoPCv3Ug/u81K/waKIVcOX7i7idJ/LWWVruqDO4YMiHCa/StqcjG
49aKT60Vq468WafLi0PuVIjCsm/FQBy5OfX4M7onWdPUtqboodVL7ISGa3idL5+62lFXdj0d23w4
IhIzMXzFMOEdQhmYzze9OOWTwyOhPDS9pnomqYCxTr/FCsyLjX2g5dAVEcI7mHfFAgPBJrb1Y2rB
IFTd5mWS/qVTk3t3YHaXwZ4N9FJsmB5lXqyV0aqKi3odhTmhWckpDBTkh0G44k50ylN328xHW28r
XzGn3cOR546hBLicdPWrEcmHLnGWChjXRQUV8rWrxErRlOfOpBnbN87JGIDsagQtX1uJ+QKa4VBr
9ld7qg80DM+TZh6CaOLYKsRlKAr9lFfZJlXpykvbOhhD5ZHqpS4UPbzpArVdJNH4ott3ibIyR+cg
owijIXE4fhhVXk78UNTBB26S9Booo+IhCnmWSgNUuPU9GvBXIanInoXF1UCxmUXxSlGs7TQTGhuf
AZ1aQReqSKqcxaC264JqSy7on7nc8K3rsJc6ewg2STa9uFbXrJHfeBY6bKyO5DPEAYm55bHtp50r
o89g+Ugo0zRotb2LTye+bVLx2a1gbLUDfs28tB/wzuWelvk8xAVSCiNssLWwFy7cKUUS9a7Y+7dO
+E1yhwLtr09c6gQqh8Vr9fn1l8o7fvj70YsFgDu/yZUcRT/ZMBRtv+sj1E8cqir9NYEiTjOpHb/r
I8QnDakk6glrPmSpCv5Q3hmfOK4tnLbc7n8TXPwTD8BPlcLsuUdwh4uMc96lUv7x4DVCTekbcJDn
EMJhfR6G5w8fy696Vu+g8h+OdkxfVCPkzeKDEML+qUBuGR8zuxjaMyOcla7Lb6M0z6kf34iq+daA
2quQ9i8zE5uppuQ7TqxtVcar1qbhaCkW2lNm/rldbZVavYvbcG3W8qvCKBkWy7EV1cAxkvSLKUwv
WqeJhDO2KY1LAEuzBw2C7ooP0RNhmY1roxgnIN6q2A3YuL7RhD8ZRhZanLcRrS4zSr+S5Oov4EUz
eEJFvKhUIp7jVMm4uptf2pCAz0azA0R9YXnQ8BMTmONcbIkgLnWqJ5fx+IpuBzcX0+yv4qHXIJYW
zVqrgKyjGDl0VfSS6PpR6IAB3WxENNCV2zQvtpyI07LyyztfpBuDZHAnRE08MTdX1F4sNHP4liXK
pcGxvqiZ9KwpkZbMUm7tOAPnLHdG6SKxU7a5bPeNVKkI2vF6SMjMnIYcAUK1xPG9L2371de6fkFU
DSG3yrJNotemhjRbz05ufCBpEF8UqG7YjAh80J+hdsJotrdsJUczZ2hQ6d0pxYxmEVpXyXKL+85e
FKb7EJP/QdpGekV6fbKop/DQROqzLPXZ0hvvzbmrm2J+0ieDamQybyMD+lFYD+GqdaLdmDL8EzHo
TD+2NmoJ7KmwkpfWdFe9ytZNujADmYbhYpDvQSMy6+keTXitTLzPVm091810SSJg5xlQwtbPKOy6
U9hXuwICQTDEj0w2gQK4/Zas2iNxu7d0h5BqxOmjntcPmm+T/deui8raO5NYK0P1YpkN8oCG6ZVR
Pxe8eVTPw0aB6JAA0Qdi6FW+WBrJcJQEbaLYDCR2+JxfSiYmYhAG9Zb9wlNAmE78HPizga1u4rXS
tiyb8ttYxFuH5ErTkC9zXomiMLUiooR01XjZDa6nivTzlPjXSaZNzHyCYxLP4D4AjPgB7LsQNX4p
29ALoiDGXobZWsO3psgQQO9ki5Mz1Pk+iqxpqUjkNcK6jV3zqZU1iZk6Oo9Uzk9P3N+qGqOHllQP
vSTUT5QDcFJN3AwO09Z2bNMDJybB95ZRr9xUIplFyLTqa+scNDozLGE9YPlgsFb6zufKbbpViHed
vA5pcenMqo5Y2WxUfNKZoy46D1VkHUvJhMzlo1gYiQw8Mg+YW+M7XZqhDae8VdRVM5k17EI/uSmc
2a6QteqBcnxOedUXDdPVphku0pT1Lm+ZrpPXDBVdL+stft54FUTtEYMSEo5EkmY6EY0yTO5qGnTy
QMxUroqmLPCKRunFhhoAflSpodPPcF+faPlpfKh849VOyi37G4W3RiY8aVxIQ5Wjn+hcLFMNSrAl
KIfTIrstBLfChUaI/GMLMrXvsFBi6iXMFLY/k+sqNpe4XtplIfMD8UJsiBp/tN1f5y2+J2kTdlgQ
F1X6W1z5qxhnopyaI3CMTSjI8UnVR2ZZlADqvgdTssmH5MWMGQ3X0RyJ5VsHrYGJ6puR/Vn2iu5N
EwQDuhx9dofEuF93KAwMm3AEYyJzEVlTspqiqDpNTnI2dLlN3PpaK1EapcwaByCckCbFki0PobDf
Mv+yql06MtFX5F2mZ16bwQ9Y1iBdV2PfZC57TrvvVat4yc1GYf9VyJUMKWjaKmWAP5FCKS3zAh+4
Gr0xsbttF4fdBgbnuGHrDx/9klfQ2/Qup5ZCtqu6+3asgCfEwTmH2ealJHrAS2DWahb2nSgLkiIZ
CWJ91WtIBabvA2kq7yx/vHNyMT1Nfo67rOVKKoi0WNgoTJrRUTZSRfpF6DepTfzgAuN9+1RFqbMe
nDGavDTqQ04ljDlml/MV93JtkBOwHLPi2eokdU20Huxx1dYFYyt7n5TjvRrGqy6CpQwj+r5N9Tun
LV3ysoeOtJe4WhZ+OiIQpKJhiv+MbtFYGoNZPrWWRNhQIBROQha6DVoZgbHxpA9uc+vrYlg7LXkR
MX2s1d8fz3Nd/cfhzMgH9xXcyFm/OXu1Zu3/x0YhcGfLcII4PzezqXsgm9Lqr/uq/i+TkVkf+ovX
mdvk7zaDP10CGnvKErqL54zI5trS79mVkH5kL2yX1aIf3VmLkG47eOWpk2xrPTwS9L1w9PzATnUU
lH0x8RchKF4LZ5ERkmHiNqQj+W9Fa+GI5hEwJ0La1YBOye/3ul9cYH75l2PPtJlUCAagdE4+fkIi
a4uocZP83OOaCUa40QSYFv9l8ub+ubNvuyY8QMwWfEYs9B9fpW6JXcuStjvLABAReXs7o2BjUP2S
cwMI6szifVJkWlyD2VuOBBz1Tj+LDqnCfYPArzgDpAuUpA0N9zbnVGqLDmmVRguwIL5W6DEZCEVw
jpRoP/gojHqd58bKwGGPrphuEOy9Jk1KPYo8auoJhKg1axWmUUJmq/FFqfS1oAGJcQldz0jT2StK
pJghok+OIq42oUW0tv4GDuZ1sKHZYL1eDHZ6Qi5H39AeFZIO+/ikhgz6poFkrEAjxTl0Y3upRcGD
32rZXdkLzg8tgLeNGKomWARLGOGxBUfcrAcYYztZSVW/0AEnrXyiBaQZ6dFXX1tz3Qp7x7747CiI
9Oxe246x+ZwCQAaqA+VFUl8birqcTK4eA4/ZEjlXsRyUbFs1cMwzbaBx0r0mkR5+GVOxUa0yW9pp
eNKLKV0YdblGfkOenT7cZEjTzy7YEs2ahkNp16e/X3O4cn5+XkgT4IGc7TUOvuH3eNcPDXxgcwVJ
7qI525r+arh1tpxkl54tnHML9tMXPCvJAoCkp1kDxpCUeZORnvhUwNmEZJ/rQX2im7GAD3UShfNk
mHm4rjNRrttWJQBO6KTlRFj+OxSXuBrMbEu7WC57LZrFXgr3ETYipJk5eCeEGlk0eEilgC73Lepc
RgC5LNdWNn2pCuvVhdZG7mRho6HS7y195O48YkBotCUEGJrwcMUXVW89gaHa9b7+FegqJoSebcBN
SSkc7nw3Ptpd5ZWFQccN+wYoinbUb0XXnZI4vC0jcZPZ7sYamycnScwF90Z1ZZUIo0J4DnULrMmZ
qUVGrCxVX+fksJRXhTXhSdd41gzlSQtpEJbNZKxCyNvdRKiNMhSw86uNqsY7l6wznQx7TqMljh3V
w3ZysCt4T1pXc8wTS///2TuP5rjNLo3+l9lDhRwWswHQ6G6GZo4blESRyDnj1895adOSaJks12xd
U/UtRiabbKLfcO9zz8n7a22qD44977tq+crMx1OjtV9LCxndws85lH7GBZ+b94lVmsFUkfS0CMgm
pQUyOrnIainb0yvcVB14+ZyKQc2BpjIj7iV8GEfJuZia/oVKg5DUUZcZ0qDvByZxKMSpNHCYtT0x
O22baMCPbCUqNsAavEmcULOBRgKR74wxC2yCzG4n50Tg3CgmZpJJxwW7eDxFwJMwLNS4UyKIeXtd
9xWFXTMPJwJmZNPaAnuR1KSEwaRtOtnHK8xiy2GyY1IiKNWUf7AaKEFKjcyY7PPQVnZwtkFENSeA
uTn19rlEZm2qd0tuHenRdFyLqLIhIFQwmhRvouMf13CFOm4JuQn8GnrBYIlo97lpbCw8hJN9KObA
XIJK34XWeFfLaBIL+dREE7eZQ/0kjSdSc2EYHg/qaBHXVhRg4+jqp3H1a84Nu2oB90CmfdeOnEKs
CtGSBXhsBO3+ydb2ySf1fZdcjZ0F0lU2UNUkD9Wdwq735hFg2HSWtacKN5aP14a/pxl+WRkEYO/n
/UiNadaVBStDVT1T+RrnS8rKZXQ/6buPXwgD7rs9mzVIhGUI/zAlrb+nkk4d1SdCpGi3lCXa1AkJ
riRUrw3qmfu4IqaRzeNxXSeUd0kPndoN5AozrWjPpUwRTHxfj1zTC+C6i7nUbHfUhlspqc4YwLjK
Ob5x6/H6Tr2aI0JiZR8FRZ88lql+J8V5fRkN+ByNOMbwYwzHBkU7okObRaHeyhFvW/aadeeozlVN
AJNKytGg9ftEU+kuLnujds6mDC442zYCxONMLfkwSQDabG+ulbuibqFxhPupVlxCo7bbGwX2WgyN
+RQ9NLPTkigL6Vp2WvTJu/prZ1ZkbH59U+nR/Pzny0y9ZPrOng/2/Biv3xb7k1zIZ99fPK4/bRyy
lHNGxkF/SOwr6t1uo9188lh8/FSY756/wiwyOVOj5WCo5wluNN4mOV68j19EvAu/HEtf3yV4SxxJ
STqZ4lD2028xWx3iXYL1B0f11P6pnwrOJDfJbH3y13iNyfx4IdrxIDnQNitstQ5HU+XdCy0IbnHb
1eqBY8wTm5p/nQehL20giHl3bune7cn4nXy7TLz4dt58JTT0jU90t9P2H//Cqqiz/fhB/nguft7w
3x0AnTFxaidiGemD0Zc9qHdXw7a4iANn4zAAFyhb3udA8WgSuPHG8etxox/Kp49/itfIzfuf4ueP
/LsEWA6U31YpWB/uGfTbWG4fOOeWe9bpbuxv7wzvBN/H1jnEwbwrr4zdNYmB7bxj3XPXbQWyxqd0
5ju+dDLsym13htcBUL9/C3fgIHvL1tg7++p42rU3RXD18Y/+LvLw9w/WuzdQUrskr3G9HAwXFFDQ
PddBfa34jZf6oR/7yaYMiqNqe/50shn2AKpmLz1KXecoPcBV88KNmbnfQ+/2459K+CX/9mf96Q01
3401J0k1tphal0O8d9zYW3fFNrwuGfygE+NCt3OZvHLzrX1oduojhbTNx68vHt+//z1/fI7erTYs
NdLS1ct8kNdqY03T8YpPaRzk6pNNSawqH73Ou1XHTmxtHFemwThTu+P0JM+7yfy2wDGVCRPUwce/
1e/XuL9+q/eXSalg8TeadDjEoCsXpi+ii//fC7y782kzjUsmmsZDZhyrKXVAx/I/foVP/jDvk1xS
UdulRQz6UNUHshZBrd6vmJU+fpHP3qd3i1unYJ0crbQ/zOKvAvuMIfVPFurPfo93D9gAe3Iou2I5
TOPsJYxZYoUBzfzx7/HJ02W9W5XMMJIWinPsBrPp6U65yfL+TCOPj12SqXb1MIK4+vglf/t7GUSn
CHnBWno/N8pMqxbWST8c9OKlTQPmtCjybT9+jd/+eX56jXcfmjxyOqmJ9flgpDr1+4ui+KSq8NkL
vFsSsV7PWgru7iCzaFOMzrT8k7fpdX/86IMvtrWfNuo4oekT5jzH3A1cOrlHqK9OuSJ4R60Xb6Kz
wS3+iPj8Y0hZmPs+XGvEb/3TSyKq0ZRejdmj7ikMM6zknUa8tjt9VU7W/eier17NP7jGBtO9a19I
7mW/Ebv6+UNzrh1xa6fZvFl6d1d68fazH++3GznQ6b+OLu8eVjtpJ5lhtf6gnImNXHK7ba7vS8Vz
s63u35XuEYb44xf5G5ez9mY5ntzpk9VLhHk+fIfe/d1HqYPx7iycJfzRBxmIxM10nePcvyR7caJt
B/9BDUK3pGIbtNt6+7k24bMfwXq370nzIOnlVPcH6bhyZ5/KZvrdCBTfOh6e5129KU6srbSVXqIH
zZu32Vnkp88ff7peL14fPJrWu+ckG7VC70oezTaYA1K5biJOdfvMu2ZEbr9ngMtdD7TG75hj9oug
3lrng9v6wybeM1vzmH+yUr5ezP728/z4uBvv3hJbcugNlSwpzUbfmltcUnOwButJcqy4T0xlB8AE
9/WOot7J7Fk3G5vTQbnpt1lwlfjikPDn4eC/sJyolv1V4v1bxPeMikzEw/S3uBxf9VfP3vqiK+Dr
Zcrj+h+o+reevULyTThIDGq1ZL5/puVoX9goTJh91O0gDogL9VtcTvuCZpxSusm3NUjZqf8mLve7
fC+RdlQeTKzQW1fsd5ewBnh7MllyCHsT9om25pkDTY/4qzQ38nFpdeC9JRGP1dP4KAmXBztSWBat
9EkbDYVZLyJqO/jDxbhpNIpfct3Um5kGJZZlM65uUXebi4d0taNMxJwZBsPEhJ9eU+7S8zB57qFc
t4FaGjHzFOR5SgYBS8abg3hI0mbT550qri36GDRtinVwsSSHIBHgsnBwHGI3NeftlIoyqdb2RbKj
2TUyCuxGEjJ3qzrfKSwxLSqY5pJGbAvjI5N+C7z1uMWoxqBqvVZk/2QCctOFoq20Cxzh6DjRq3xP
1WU/MwzlGSZdp5XUGqnXcfDVTo9PYJ9s5Vo6T6luXNahfQzkP/XMyC49dmTlpOyq1lOlKdssJsiY
tpbA4zfD2dx3Z1JGsWBiYpwSOOKrqgIcHgFYdMlGSTUo26V9ybT+KsnlK/KYBVVRmGPnUpOtp5qe
MdpcB1FtxvdVMnoWCV4kBAXuMcTRWhW/kL1KPbVmSlGtaCU7g+8sWnElmcYU1DZDkRYldr8l0lQ2
/Lo1hlkAYrT7Vsv0VaWMz8YId3pSpzRUDUYbZ6m6NMkOONi5QbNTAXfo6NUqMchEOlVWLRhNghTL
UOs3ncPyDK9INGLsgKxkQmu4gO6ztoBwrfoBNYDorUrkDAHIgxHv6Mt9cib627mLDxx1bZMoCq09
Mqm/bu6pHE8yLcj0oNIoCLR8Ur/GC+/ThDT6z0raf+ufqHL88/p3nn99em5/s/7xVW/rnypDC1N1
GEWv3BYR131b/6A6MrRFhtHkXiuGH35klkCCITTDjEnOhzE4ha96W/9wLisEhkka4TyjAvavaGFQ
Pn854byiG6npwiwDeq0yePNu/RvhQ+m9bk2EYYDh6X12V43LpVWN4yZ3ojMoXekTH7HSTRbtWuu1
1Bs1iRCmNb1IsRxAntHdVaM/EtkwncqcCXSLUXMqc9/aiPTonBM/YEL6UnfyaCuDd6S0HJ7aRV76
cW19G7TkyhzXu5igJlPdParZWvfmKibIb9VHmggxF1ac8nkrgzVXr3gtf+oVDhjTQC1/WCg8Mt/g
hat52mfODQN/JPiy6Hva2ac6g6yyPp/FUberLKV2R+bx1ViWA2Qno5vqAvAE5YC5MNO1VOjwOBO9
MFIJCzWeBsx1L+tMHVPe3Cl4FwKnrzo8kHAnBzDHGy0Lt2b22jMqWDRr/Zq4BiBFxx80bUO/VXYb
GMZeUiz7VUl1ry9jOGPyems43wvGRPCMiDDqkTX294O8Jl6dIivWNcJWwxIC7Rjp7xnz8jzK1X5U
rMDSJLTHcnwbKSzyji2BkGCumllgulAifGqhcmb+gfhsVLW3lWR8g2lzDK6YoXFyRiiFm07ZD2F2
oS7wRyLDvLR5h8LEgvBftcGU54dWdy7NRP6WzavsIvVTXEMmMuNY002h6g8pU5OsrRArx1IP6kHB
JDdbx4jlr6Wc4XxzlW+TMc0xIKTHqxaCg2sPYEeOozajtJXnz9C+HudRuq41uBTxfNk7ZiCb0v0g
pU85c1muQRvIa+vIcldBTiBW8GIty5U8SAnIWxBieXYy0fBkT/RD/QXiwyZU+XWmYQ1qq+p8IjVX
FWggMwVxKUfWdk3ppbZl9aiV5oOG694rl/mrPkw8XwrEkyICzT721Yky5t9Dnkin1QpfV7He5iY8
0GVXmf33UdKxlsWaqN1vI5Z+F+TaOaX0Hh/vOPtEU1F1SEvqSzFViEWzGZRzstu0501aSyl1jRgZ
tl6ol71Zb5y6QIRbtM4GY2mN/WaKDupQ3c7dQ97sNT5zD5TyaU7DZI8jdpS112+qZokvlql19mFG
g7ayunkL1hvC9jDp8OkV7mTCx5JI9QuZb8iZxP172OZxmC6bvsia9WY0KkwixjjbNGIjlCxXZahB
z2HK/TbR02qjK8MVijqaoIuO3EY3fGeCKATWFM2es13qqfMlxbb9fmrzI+bErU2B+hWMg/ZQjUaK
y5KPWx7zSJcTtL2YwHDC5KInJYUf2c58ZWOlcCuoJnO8fhd7L3Zy22ecJZCngShdwbFgpg9Xmnbs
I0tmBtw6zLpOzzTBr2rfJUaJLMgIyYfBfelpWtjo0WE65HN1nidDUI8IMFapg6cDtkga+yOdqaxD
DmIt080r3l1l2zj6oUvb87kZbpyMwCT9XS8Kp2+dqd9WlXZfyBbkeJy6aa7BxIDkKhgzt0ZMRKpa
SSCD0jhM4ei4Jb4enMn5icwcFP9f1ZuFTqvpDaLOZk0YDO+Zlr0sa3NTp9Zt3SSnHOy+tR0JQbmA
wNg7R+ZQyYSMYs3VGhKPOFklTw6Vb/KcXpLhOOGP17hOCtG2z6ybYiR9uOZa79FCjDeABHxzlXSf
jjj3xKzxq54P08JHz1r5PWN130Ujd7eY5PXAKqAqR7JiHUO9P8mMHPOsY8HLmszYDcfCcbWkgBZr
wbTXicxtwqx/luK1DyqnoZ86OGhsavlQhg5l/nxYdioYijUKv0pLccJc2Y20aKqrzMuTxAnxakEf
4LUT3KBOZy5hcURwoHmamJMGX8MURAXWMbHN47iun5LV6j3c3MU1Mf2dVKo3aMgLL0RNBPEpDJYh
k3075HhlTnurqEM/NIddnbI71P2ToxLp6IqcZ60rBo5tOeHT9qiVBT2QA1m54TrS4XjuO+dRLbre
+iN38N+JyODy/88noluugsPvYtziy96ORNz7TDFnDc0OHg9rxI8jEQlvg6YsNzsmouRfroT6Fyan
OKaQ/RYzVmI6+O1IpIHN0xEDk+4mxCH+6V/EuH89N4s+FlYNTlgcieA0yPq7ks8sS9HYtuVwWJfM
gycqoKaQd4rP6n2vDIMfVYzXFzJIi3ONJQqFiU/8IL9U32gKm6leH+TBcG4IQWMyKhBvrTv0KUbL
zGg56PuuC9erVKUjTn9Pv0ttK3qoq9Q+wpjlHCs8+W5ttcZ8Hi/apbZUY+WbS4TMaczSTnsc58a0
z6ewGUeSBsQoRh25kJlJ+dmU5h10qLqu1E015TCtiKeSqWXSp7xPssXZGGCIZb8rn4xcnzhS1PmZ
Psg10aY6y8kUhLjucziyUi4C4lYyVdqZ/BocH/P0rBVZcka6Zy92zjVFfjZIm5dNFISkzy2S2qyX
W0PE0vmUszzXGLmgljrFxpiLfbgsDVlgPBgdwfZ8aV5iVEsrgXeF4PugjVe5SG1Meps+WBkbvmj5
nUpW3R6azjCP8gSCs4OWZF1VapiSpL3oaVfu9DBmxeq5pLNdAaXJJaL0E9MwvXPoym7yV9UefY5S
6rYvrZtFke7psLOQpjFRr76PVFiyGj33iPvmRgWxu2GmnW/RA57KzPam1Xtt9k27jC9ZayXS90oL
01Zm+DOne0VFg0xJlw2tr0vt4qckxhomUI9iCezWT5+98z+epZ+JI6oozL17xHSVoxkwFDEUaLw7
3AMSbKII9NWh2xRfp9ZVrtYry5UoL+NA2YXUb/1oQ7R7A27dNY70QNuou9D7TKr9KpL88XO8ZiMB
xDOpzTVH1pmU/vVRpzgxDVEXV4dQjY6oRMxeRi6X2JJOMNHKnE0zhlrQqmYLsNiWTyOrRXbA3wgW
XeEtFv0KRpTJMK6PcJKcoFM5ivd9HYT2+mgZJBYhGbJnrfNdk9cYxtpm8awu1fyZjJSLNqHg3DVv
kG9tMV56KQWNRrdDhtOc3aqxzarqltCiwmYNkTZxEPcV5S6dYVxqgGsqjDTTFJ2oIYOUeBcU1PTA
uYq08/kQH6bZ0bZNRL6HlMNNNFU7RStOh9mWXcmut3LGg2Y5DcE6Of2kWStq4L+8s6K9D4OQ9dLU
TO29ndhZ1YkzZNge5LFItywEnFVaZqmxMG444jGF0HwW4/x9Xf6n13z315TmkXn3LOoOTaRRymgp
bESVv3bWTi/wCDehTFCfOLwF7tfIux5tTLnAI+ImY0tMiSb2vZyQEx476YWTZ1A3DclA80IO1ycj
ah6LieRcUzb1fyPNfwpF+Vz/8558mYzPoL2+/6ZQK277f+3K+hedbRcPF/suhaOfNmWL2Sq2XB0V
qcz8Mn/vt9kq/YvMkZBiLHlnoAu/1mlZetipKM4JJQvNp3+xKb8+xz+ec4oj+OQpE0OCME0cneb7
7phaws9i3T1tqwYO+YmUS0ucw0+Su4K5Bz3NzpxB1TKghSG1AfBTa6Asi2JxgsYVZdP0PBuqRnKn
Ypb2hlFqp0MmLf6kduVxETrFFZfh6Yy5h/qkTPrqCcrDdKQWU3alK1N7rFcpzNR+tp5JRDI9y+IR
KGlroFlp+uqRigIUdWnkSNtOTK04+TZTFTaTvDS+jVQGXyQtWS/VzkwGz0FT5ZYLgWLZBslem40/
q6nKHZtAdEIn/rwohvBaxQN6OdRSHl/JqcHnbZtbSrNCNYhZT1oq5+wzilVGKi9I3nZQ3ZF6exv7
yP8IVRqWPF60rWJPxMpaVfepkIzywTRr4OtG0qQ3UrqSM2zGzLKwOpkNUeZWW1gqR5zW2TBoe30s
wLtTivKttaeAuxzZJFZ9RVSr5bF1jONRFLLhulPTLkR5G9sOlW6pEVXvJSk1bbsoXbon1Mz8dLXq
l6vSjaRqRfG8oorOwBBqRjPU1lMDrO2e7FsyXq4CVrG0RrlqTFZQnjotnHwppT9qpP+d0g0amf+8
IlwP+df2N8uB+Kq/lgPrC+psmeYIxwaiXawUb3XL10O6xrNJ2wT2imgrv60HQsknzNuy2OdtW7SP
3g7pAkeNjYYhCYsqI92bf7MecI76ZeMzZF4Y4hEVCP4XIY387vQchQ1iuKLimJ5XxOOT4RFSKZtz
1luuPOb+0uZ3hhIm3lKFp0kLq9dQJnyd5XjOOOPeckL6yQY0SQE76KTkOB7SU7jOk1upyZUsZ99H
mYKoVI0EmaWJm+ekQtuF/xHKZoS+D7jlLN9Nq/lIL+TeaWio2LGjg5BiGNqR1gByoAQeIYZrD8YF
GWfr0k64NezysV6qmzFOVLfqO8YOTPO25dEv5/Kud6Q7sADHfFzIZSSnYxafQOF/7CpuIIljnbea
QYUswtjGLwa6CM4I2Hx68dVDsTDUoqdgICvABF6TTzuYKTeLSkaT1SzQ9RVmbUqRQp8SiJ6S/R3I
qeET0Tnp+vwaLCeN08jYGJl9WSXO96ZzzhOKj1QumPWTo7TfhNN0sOsRRU35FPbVQ9ioZ11VPunc
5bwha6PNUNIQ66ziPKqdnXBBg9p9RGM+burcJhZPuZRyavU0Kc4pK3DvF0vLFM+rkU8vwAo0hNeJ
k5wA0Dxq9JBELlzQpG6DpZoCuZ2OIsfZRapxuazjC7WqZ6tor7Uk2rKG3BfRWviyxQ/JH8mRWwwL
E/BlVU4BonIXwj/dncbO/JJDGPNDOBOVHMre0KZIq2X1To+MS70H6mwn2bUeqS+Dao77hU6cqzKP
FejacF9IkH2rmJlawwyGnpE86ifplkmGBwgQCALr4aDGBhDEzEJ+oQC0kBHhwMIIZIsBD9OWt00f
M++a1ZR5a/5qRa8y3QZifNATzW1ACphJ123Drj5OwqI5EiM/TPcy8WdM66XFTMVUGsHQ6KCr15CK
coadT+5nUhprR+R84IkzrElCqsdDvHT8DQu1jkDnrlcVLUl3KO0gCscglIer1daOkgmKhqUio+2a
MPKjnMLVOGRPfTXf22yI8Grqb7ICzrysQoo4MyJIOdmxZ0geyoWdTGnTl6ys9GS5YrZA3ioyW10n
S2AK4gmM6Gg/F2lzYs/V6NYdmE4q5XszgniqDiBro2KmsAkTQ+UOwNNYuMAAvnUDlBC5VUxGkur1
vMBVeKyXGRMriFmifa6Cc/ezbLoDFtuOm1bq4uSWtyHsz9ReUGHNxNACMyzk8tpi6qDySfgDE3Pa
XEx82IV1DjcoQe3TJPG51szRAxNjmy7nEXIFrOdQM7wHdXgQPGVXNqJdbDnRVdzIEj1OY76Qc4my
bZNom9nCHORCrVv92Ta7Zj/QVkbPnMyvfCMtpxa1aJ4y5RewDecGIpOm3mcTGMXTnEFj1pk8VvzZ
tJ7kaKCjAd2kJe4xhZUjam+60cBMVq3oWu6tvHtQYa+Sx9RWNcahVJjhY2YksX4qq20hubkzD/Uf
wYv/tkvtw+3y6utTC9Ks7H+HMvtpy6SfJ3NGhUygWjx+71p9jNQytPfnv/BVb1sm/TzNJLkvTrWc
mEUX8G3LxNKm2IQmEObSuPuXR+jfiIG4g7M3U96SdXITr7f0nwpOWjqWVJrn6WzObTESk9AWHpmz
rNORwtPcB9hNO6TThj4+TGlxjDGNMSHZtrhEAuEKl4hUcmkrl1FkbuDM0DhZmMcx5UQ6lvv1qxGq
K7Nc/fNkNt3Ggj+Mbiy80gbJPC1H8gfLqDW4qLkxQy/dpFF8y9KwmeQyCRLHPmIRPNJb5SWbl9sp
piemZ2dNDl1aUXdOQgvQSREeJoVWM9msRO66aCR/ZL3jk8jdkh7sc2rpN5MpPWaj9DyNlG2scKHx
Pi0z61bxHXBB5DLXf+g5Lvv4Xhd3yoD7jA4R2xhBBYl/hbHYkR7ewEwdgpTbuKguVDPamBUDetai
Y6If2MyidjtEp1GyN2vtsulMGPDh8yqg9uW5qYA/x/TKlK0ZrMzKFw1GVDV8ikvjejRCtO7pyxLp
tZ/k6oXdLhwdBgY9xqgD49JDJBx6MSQV58Hc57PbOFrjt+ZyVUQ9E8QWAypwaVJPy2MEBSUrx1rp
q4ewbfW6MHU2Um92rHTRLosZ+S4kgmp01i6ZTFS5auSY2RfaWEpiMMReSdpp2whWdcXkVwbJ9wg2
0mXVzQw8wjDdgkTZU2NK/FbrE/DhqbEbQmfJbstIsqJTtVuLu7QzSKXkhDJ4+8bVmzVzcsc5mTal
Yb90oI3neDyL+xaG+Gu1vX+tvLfGmnwv8sqSmFUEaMMUBCPHgOPPLJkxOVTskKLVpQxqfapOi1VN
bqD/3LZ9MmPcA9GQzAUWijo5m/RUZSp/IEmz2NdOOe21wtjWbThARQZn1CrKjTTgFh/kiaU6XMvt
OCEWLvSC2kwHOrMrHZZR3kutG09n7BrXPAHMvOkWvqcmn8/LhdavPUz1ddSM3zpgmcdWpo4QvOPn
WqGmteoLpj5HOUjIlOFlgXguJIN5Kqcfdu0QtjsVsv9VYzb52VhZ5XWmcvyplSSGdFRfV3bv971J
R3HgrhUhFZxNWpJDiBgqxcPg9tUCeR4HoaSB6iiEl9BI4PbD5QRBlITmUb/IX9HKeU083dqLXsOG
omyGED71I93hHDfr0l6SHPxR6YStaG1CP7H7cjvXVfaUEXTZ5WDoXQbaj7Ipnndg8+wNyAYxbA6r
iBMPBsZJuBgBatin9rgcOi52rsN13GMWnk9mMZISlO0ZV0jZnUr2CmJDycjpMxO9eb21/LcfCXbM
P1/fBFnTfRZVCK5rJcTDZf/9f//nz1IQX/l2hSN6QrnE0ADSvBZufrrCsVWZOhkStoM3fubbfoRO
iIsbJBuFcIom6kBv25H5Bc8QXRvWQLBy/5KsyWzQuxucwSwrmXDIn9wHVdou/PtP21E3AFgEUSWh
ei5SLyfekIQ8k7kJ+VvoUTJrAVSDMCXFnMIu5HijkKlMWFWmhZNcjmdlFcIVMlqphzgJlaXQsTRC
zMLp+RulntsKY0stN6cLxQyiXfYJgMx2wyC3G2J5Aa22LYT2Jepxbb9OV2KEIcfljUIRI8bBHSGN
AQdBdiBt7+TZepl1cw7Sqb4q1PTGUkSbOqMnO0jWuimc5l4f6sFHf+qDmJmCNKpRZlRSUDbZQOSr
3U40X1ycBJA0huIoXq0J13dYsZ+hMpD8cNYf63yUlot0YqQ4yGdlKtAyCNc07nm5nl1FSKkd7NSk
5pygVmBcjUJdrbJ8gYbXNqPQWmfCby1E1w5azUKoryk/f+9xYYd0vRAMMWSo9Yd8vFE7pnVDIc+e
nIFe7FJdWUKsjUjvkSYR7AkHUj/Y/9HrqhG3ZdcdNXL5DeMQKIYyjxkgJq/BlmwWunrRZBET1bFl
+GTNrmXoKZk1kFec6diyXd+XenVbJFZF8HCuTtj9F0+ynE1pwc2MwEHk1aFTum2BACd3rKPZCO+p
TJImyLRlX5lpMJS6vFdICKDXYP5X62fkPiZceTmnXsTPc2dHfXI0EmnZ1Lx9GNNCSQiPijO6C9cE
ZsagqC2E4Xg29FfjRi/kG+jdUSK0r04OhZ7Qqi4XcrdmcPuZ7IWmwlpYy1cRGaJQyD3WVjtrsH1I
+Eg4AlwYqbVHeLXNxmEXCz3IiCekt4uz2cGKNav45TCJ6AV/eYqEcWoMWKTSO9Au11YVbye2tkK4
SBykJNTUrxm2P2mRlbRIS5KeBJKwmHBJqD0TsJm7AiCZxwnXiYL1BILGiSk8KPzJU5f7wzPtC3ds
+dmkhUu9JvwpJiIVCIUwkYxHrgmbUJhW+iE/pWt/yUx7jS4HGwuKu6tkmL6VEo2j7rodmAp2Guci
QuNSd2iY6vWoNZVb2UknP0X40iF+SZaUEWxUMEmXPRbCDSNZZiDsiUQZasJe+GMUYZJpUMo4oVJt
5IIKqbkeJpmzAYEOlc2s6iS/Qkqj2sY3rZaRbgldTRSfTXQ/mxbUkKHc5g1eG1ldgkaYbhKkNiHq
G6yQh4FolhsLKY6w48CSO3GELwdY5HGe858h0pmEUWdqi72NYmfsy2P+yxURhqYdWcLDk70qeZAG
LASZhKgnloW0RzKjhxSNT2kQCW2F2EfqdliLHjqEP5MzbuAoblPNfuwRAhWDzr2Y3V1TBq9HGdRG
9f0iHEKqOIJOunliq8OlrTSM3GKkgKWn3ScoiKYO+Z5wElW2fqEhKaKvd6EKaxHVjlNjxGM0IzQK
y9beO229g1CwTezsjg7xSSR3N1ZZy0i95cseOZJa56cxsqRMHu6yQr9qhUWpQKdEneVMk9vTBM3S
LHxL0ULRHJjQLleb4wYlEw/JUSUcTTGypi5kyl/Ym4ZhvC/Uxl+F12nsZHqU07HkKMeSJhN0maS9
jgpKRglFG21foIiaqC85a3YCfmXb5+tFP2KlsIoGWFh7PNc8sjYHsKLLb9A1P2YTxPzG2PdoqTod
sTCaKkWLb8cuuTLs7pr2Re4aZhiMBt4KBFcZrC5FGK9W1FeUDk4WVFilcGJ1yLHiKjtOgH7NSLNI
H2ouwClXwafspYi1aIQHJaItbG/HCeKt/84mrzQ/MS762dmkLb+235PfWc3FV7+dTxT9i6KJU4ZD
zv/1PPGjxGx9sWVAujoc3T9Jf2/nE4N/4RDCjLFFx9MSkN23A4r2hcs3oWdOKBx6qL79mxIzKLl3
BxQuoZxzTGaauTGrmiz+/acDijMbUu3w+B2kzFZ9Q7RCbO6ce1O0R8bXTklPvxix1IJ004sy0U0J
p6ZLbzANphvntd9SitYLzcxolvGE0pLBNEV3ZvijVRPNzUrjZs5HsKGMmL82dbRXj2v22u2hr9TS
+ulf+0B232MyNyBikmiwZNMFAJ5eFxV7OLe9VPXyTF6uYupaIP0glwd1TQCiYoZgt8SQJ3JjsG5L
ZZTQrGF8va0LCBzk2+t18fSSe5IndU2JA6W2z7VsrMlJNumDZNTGDk5NTwZlzEPuZkpku0QBk1PQ
sPbgFeFaRJ6dmKHnVOq+jOTCK7R0QD9iFQfLLMfLgmGITQtrSsfDVo67QQoNbriN/aiWBXYdp3eq
ld1qMMFL2AmwkZTxtEsShtXqrX2R7PLWWp8KVdJwvulLV3qLzCaoBoNjpNxMKMxi0bNHrd8aXJWl
zk9maXzASKYom2yEWKGnyhCXG7pqNMJoauGgr91l0tbV2VFQ5z9b6jbaWpQyLrp2TB9JHHcXjtVZ
QZqbCtdbZh6uC4Et0bp6OidaO1jnJXEheRN1wuobhdXQ7GNVGcIzO1HTh4zhjevZGXJk4OYAN3cq
5STfyVpJl4JoQJjuG05v81FhJfr0bE529OwAmNpimQuxyMWVCCMQNumkjgquhEQks5PuPtaUuj1r
uMmxRfXufyvXHysXjeuPV66AgaanpHv63cWKL35buOB8qzbiCF02LJMEG0vQW29M1b4oJPkJZdAU
/yPb9rZw0VBTHYuW1Y+velu4aLDj6RZ8Isyupoj7/4te+d9CP7w87RaD/+Ob4jz+ddkyclm207Bd
z9b+riHjIqoJP70xv8kVie/woxlvi94e34MEiK46rIu6+Al+WhgpBJj1XGvKWTdLBG4DI6dkb3wf
x93Hr/Prb/L313nX46skpYarbShnBn5rpT2ZrO8fv4AqvsNHv8m7O2ikNKUK50s5U2fLHfUby3mB
o4wumjTBuGGszevGh3rYDf/H3pntyI1kW/ZX7g8wwXkAGv3g8+wek6TQC6EhRNI4z0Z+fS+TMrNC
SpWyC7cu0A3USwFCVkzuzmPHztl77eTWsW4zkheKahTdzPKuK6CNV4uuPrpOBIYaKb1914uHMY9X
Msj/5qVQORi//E0ZE79+za1EC1Faq9fCWlNuF3X1th+SZWnY1xHpdximODS+eJpJbngKeD35Nvv/
p2ZhNYf+yy+AUcRxkTKghPrKZ3j1phf43rpB96YrWQPAhwxWKKcU5D080squq2UA8Z3gTh9lomwX
Tj/eGwiJqXglIG9dm5eNU9P+VigVNl2koIsoSbdZ/s7MrcMY6kyeTU0YT9JCyGSlAQTQ0IdLJ8S6
gWNYcYM0h3pjdBPXqmkbz9fBTdZ5hAobWUfvzttGBrfcvJHctQlJecQ9EbWPQNHR9mWLJnVXA8Yn
cyRrFcaWB4lsEtUqdR5LBEgYI7iAo4BIJmPZk5bp6YgLQS/V71rEY5PGVm4sQELad0Kchcy3A7FB
Tzl6q8oChFUGj53trmzU1mIApuYkkU3gU+2vdD+312WaPWNrQzKGBSyAwbdKI/tvPOrWjytxdgev
H/wfBaVjgturk+181bfWLtzPp+6ttSWX8gp069TtgIet/VWwhN2Lp/yQ49WVz9o+3XRbfeuek434
G/ba9wOevz6+jKZef2TtLOtZzfKRLdM9DFsQuA3u8k2t/005+tkn83U5+qHg+Uk+ZzHXwqtWLLJH
+bmOlqweCZWnH/l1vTC+f4m//UmvH4IfW0KemMYKEvMaM5a6kZHao2jnPtfSViyjK0qbX//An1VA
3LP0oagnET/9UAFBBEnPyywTsS4i1vnjoN1+/QN+VgBf/4AfXjuGL3RjkckSf1j1gPBYGTOn+Zu/
4u9+yA9VNpCBO0/MHK/BcJzrQ+c+mu77X/8dPzuSXv8dP5THibMaM6djXhU/T2YjI5v7QFwCqDlf
f9C/e+Z8TsD1teWX7n+p7/yprKYmieLuf3//z/bbv6OXUnmrv/vH+utg965/aab7l5bV9B8dgfp/
/t/+x9/Hw49TRSDTh895UjD47JrkU2f+ZHTMa/br9ujUJ+1/XT8mbfWzBokv/6NBQiHE0NlBl2Mi
E0Lj/qpBMn6zkBha3FsQF5k6ReGPBgmFENJ/Muv5tBMIFfBVfzRI9m8k2fNlBKv8HgX1x8tx+3ac
80r+06Ps+4cK4T06JJ//sXGlI/T/eu97dZI1JnsObpbRlajLRWseE/vvyHJ4Cr8/LYGT+RYrXey3
DN/8rx6H17UvN0o9qDJwQWRR70lDCjaSKNBm4+XyLC3pjriopnY7c5iuAQAzwTU633kw8TaV5BAF
7tlrvAASM0KnM2oOv17mveXWZ9fVdAkUkpz6lV4ZzJzbUV+X1ahDHI7zHA2ErW8l18ptQz7vesQ2
sG1iu16j0edgdZkPFYN7EwgHtxX5H6seQcg2ISiCTM6mBI9c5OQJPhTNHH/JuSVurG9pmD5iDnDV
X1Myg4x/rY0KW9A6tnPdesC+xiiuqmV910l+i6SGyAD0GjJk/M6qjGMsYyQqGSGyKbHW1lBvmbGf
xt41Fl6nXfp4eOOk1mMdtA8NGcdRMbxxnbyglalLXO72qW7sdWTXJ7KksaVHKdHjSG8i6R5HpJS+
nsPFi8oti0Md2itWOejPzOmeKyHI2c48IurL+gorW+yCIj71EnCImyK1qvBE2iHYYz8zXuKsRDwW
BOuJSfOCJBiTvs5CbS6lsy2scD7WU3UcQm0r83TXaeiO8sxpVok1k5RSIfhKzhAiadIssumjuNrO
c7MPm+Q+dupsKwqnWEXAK5uZfjLCiVm0slk3McDrpjvGFhZUbdLdT9OQtuTJQ4pEc7CRFR9VaSRr
m3s+N8dihXthL6v6PELBWxiC+JAUczeC3EEsIuE8OPZULkAiI1UqgC7j0TJXeWiTMDV159odlHyl
2ZOXPG3LTH+x3f4zJnt/y/Q7P1pBzo4iRk9yVxV+zojSThyylJmeeYZ2CEgg27KB/pRq8X52Wacb
3lNH/FUWI3jxpwa1ir/sLSgyuX83FMUmYDsrmnDdks6auyTjkHq+9cfOXNUWL7xTIBnTh7fGTC5K
BbkWG+V7pifnUieROmnkgVvNbeabDgbDVT9ezLaxRRv7wWyJE9Lknv33yQq1XeC9keH70p8PRC/7
G0dE68ZznuoZr8MgPyJpWvSd3zH1T8kNmG4YXoylZaYAxNLgOYvMZ4sdGCJe4xTYRQQR9FrHO1Id
4mU89xYp1vXGi7VHoMtPNlhFGdEEOHF0swf2MXrCKj8fkmNHy4P+FmLCYLyptPjR9/MnrQL6Wowb
L6q+mJ481IF2kFKfF61wD2StbTM36/FDtCuIxawGeru7t0dx4O9T1Mb3CCmgA1tctoKS3YhpVeKS
2zLdQd41n8vR9961fkncipym8ClXoHcZerDHZWascUIDoU86tELf0PBdtIy7qV/UJijfUSHkh8pJ
Lr09s/DKvjLm+0rx5iNEnSUaBEQPvgLSzwpNHzvuG6013fUAtT6Mq3AdKpB9ZwctH2a4wIPC3AMH
x4aMVK/TdYgJNTD8aACLb8DHJ+z6IVfAfDGWaM0qIPopNH0XqD7v/KrucfJ5EuC+b2XuOVQQfjnj
ukjd8qMdgZNwscHyyLG0sp1HXUH8WzGl2wiuv1CA/0mR/rvyYw/5X5AA4AsTFjOZAKHLu0xGAKho
hmMCbHr3xWvGa+Zwc4iA/i6sMXs2Rb9Bhfm+nLhdfA0gMJT4c0QY17WFvxDsW1ryCqYpwRrqrUVt
fs7dTm4rkg1EMTwPVkhYPEDZGXFq2+FzIAuhTseNSTaCQUaC0xdvHRWaAEzsQWbTqSBNoatZo2mj
eBvF0z4ZeUSlPA/kL0QqiEHP3PuOZAY0Es+SpIYSS7lPcsNIgoMxEqbszcNmsAOKBSkPvBu4Z9P3
s4p/CMiB4HriMGskGqIjIyJSYRGxio0QRBmAsOAVVJESUeE91kNy6CyXYKlEf+YkONYqhkJLilui
gilKEb11VFQFW4SdQ3YF5Wal9fJsqVCLPPZOPikXDWkXqB+fg2pAfF4uKz+9onXasYtY4GtDP2Sm
HzRfWzljsusztLd1H37QSdawySdLVNQGI5WDTfZGq0I4hN0eBKkcjeO+D5n8DxOL1G54CG1vxZ55
3iBYKkkgiG94/r+EOr7PifG/jiaWnIzkHJAGUpMKAvVuXqXkhAwRNjQ/IDoErvtKkCXSkynihuVR
VyEjCGu7TZHrBokc9nhjZY6DRcWSpH7zrtBjYh90/6qr6JKxqGuVn0TQkAo2AQfxCWtZjqKE0JOx
cvm8qCCUSWdUaalwFESB3sr8mpgyTuYZSGf45VV/9nvb89r99UPXTQvyjYNOF4J6DJzE99cvI3WM
PC9C7SLEk5u+SYOPtrP97/0I1Wm96qQmPsVuikDlotcgZrxrX12l+Jsbyg+d/e9/hosvE1soaoYf
/gwTwgMpTUl01QGs+x5TLVLWHwmO+PWfomydryZBX38MLjmTiQVCPXYO3/8pUSkmy0sHOGssA2sY
0i3acK1+6u3bOBgLt20ImftGmP133yW2L6WKVG2/vzv8v3yVUIDjf36VeC6zn9wf1Nf8cX9AnsKQ
kYsDIcD06Q7v+Z8DVvM3tIv4C1jwsBxSuLQ/7g8+A1aHWDruENhJeTP/cX/w4alYuktPHnAnUSLL
H+4Lv7o/sIf67sPCDcLD1oTfSalhTIa9/BKvP/ddM4oiMwVpKR02ggrhlhc2j50JDUAoTddsFCWB
Z0aGCjnPH1ql/SJBgDniHDI6QxgWAULpIFlYFxVNBeUpl/gcxYvF2bfslLYMGPvHQKnNSqU7S5UC
LYiiaskz7S2DPiwfbYRqjVKsdUjXBpYF1zwCZDEqXZtBxPm2x5i1jqAyrFrDeMqVDi7LrH4rsCtW
iA8IMUXLhmZOKvWcq3R0mVLUoeUnKMkddwGKBLapyVOt9HexUuJ1SpOnqSRVg5fgCrUwRO7VBbu6
JCguGuGodDnjz7HC78POFbZSwQA6irx3JVuThV3BBSn6/NTX0zYNtOcRMzbSNmxRpSMIl6oOem+j
GIn0tRkNh7TRaBV8eCLGuSxDDEYd/tnS7XMgL/F7Z7A/SJcYVaIZ3kZIg/AMkVAXRwh8ouShs1sC
BzLNXViFgVQ1QhI5U/M1N3+xIgxksnAPbgPhpZsLbBuOgGugOdEmDpnlkHnyzBstloFbPZRaeLGz
6aM/JzuLZoe/xPocTu1Na4vhlPpIM5oOEWcNc92aCYydw/nilLylXSVXaB5uaW59NK3m7Tymn7SQ
sA7gF4c0k1d3RBLqVeThGuzwOf3NPcEWILSRXq7GKLjS1pNHmds7t3VPpcz9dQlVc+EY8XMVzXcw
ho6iRlygyVlbDAWQFT4fkgC8OvWv1oTQ/CO3CGfae5gq1l4cHTXuO/myMZpoxe2lXaDWedHadJP0
PiE62rT5uoIkS8A546Y5MPJtFp4DtMrMjRMSMVL1Bm4aocp0jFS640TMo1/Dsm9V8mODtGs5+A2w
cGIha7OyibUgKTLJp36NlW6DwYYOLgUvU6hkSdi6IC9V2uSocicJ29ghBbrPVCLlkNh7qTIq1W31
sVC5lSEBloZKsmxUpiXLmHxlhiMCTPIuLYIvp8ncJSoJM3Wcx4ZoTFNlZHqEZXqEZtoqPZOm0V3k
Y68vPKI1NZ+MTa/jyoTEpluiyeTO1dgPg8rkDDvnpCcjI26V16kT3NlkPQmeRHnWNpmedZnwLpHy
mVnvWiO8amO0GWdiQLHZbLuvyaBB3mxbFRYaTfHKr7OPMSmiflnxqPOYVJUneWHz91XcHqQ3VvtU
8/xVlhjGNYYUh79Ei+8FfJRDYfvcYPzwMtQaMt7AXZsTqI8MfTUiF67LYSXvcNyNi6mu8M9MM/Qz
0wx3et3Za78t7e0UhcFKJ/5iX9XFMYp1srei3jq0bjRzDTG0rY1EYl3W1Z2rBc1mTqeDpkfvKi23
bqZAl0v1S/daYgfLOK0OGoaiSEZwn0X1XHsi+tIWZLzFPMZ3nhAvMOyRNBeB1TX/M7O4///OT4vu
5J+fn0r/ef7QvfzkEFVf+OchSlCxb9iui+FOeXpfbykJSTcNZA1eYGFKeD2E835DQmHi0lOLHgCM
fNUfQzhPrTZZ/NCH/Vu2lGSx+MAfPWSo5o/iCmJG+jp3p/Gql7cmstcE0vxrHR0NBEM8l8Na2S7A
qP0wEnZHnvfeIxuutQUXozeafg2cu5bKEdLSITFcv3oTftJvm0rL8rqH/MtP5LV73RaY1I6EQ7a/
CmBXzEGoCYupLU0YTVHZ3o1N6R+GjnBVN4Va1LobV0w16bmkCIFl6rhDRoX7XrJ03bsWciseYVJF
2hIWkB+fnDJ7U/hmuqwaHQ5V+iWQ2rsCRHRpmDbqfRT9IiIKrCByh6TEGLEiNxC4Vkm0s0Eut5gF
Nw7ofriJSbkNJ0kiDYSihdcw2CB3vcGjkBA07i+rPrn3h+GIL7SE6zGctDrkXRIwD0KAVvXYreyJ
ECESrkISk7lVW7uyNG4D2CK6qX2hIyNNRXQsQYf1lvbUaNxqh+L9MFs36cW7gZjZtdG126Szt3YF
/QKf4SJ2cfgxDMX4Fk9nokzmB69D/0KZR/DxUNaxu3NZNQqjqHe1G2vd3fx199jnjSyvGSu1jnHs
pchnBCskGK6YmdaIxPyT645nzc5PqD73Mh2hfYZkOqWXaXbf4jzApoWYYhFYikKRfLId/XOmlc56
dOyzrGxcadZqSKtTF45rcGr7yUpuOoS4IuSeKqcTBpNT7zflqptznYNsPLaD/rYmH9u2Ufbmxfzk
ZKwFw3xKL0lf3Iq0IxuY0Pc5Pehl6i1k5aKRp7Nc1NLHhTcgmbenbN0K76nu4E0KavDGzKt+3/dj
t81CsyVKt55O2VSS8OSbxyz/HGjj1Y79+7ZviFSKSe2OYxIPqvwQZsmtL7SHcQCahWRvUcps7ScB
YrzusxcjoTNccWdimQv6vAfXZazI2GKhOd11fcl1iBW8O9rbsRk2OiH2HVfa3NBXZVk+zIV9y0No
D6NEHNpl6XAvp/geJ/4e8MfKr/x3Ns5A6TnNY6VrrM6S5kuBABrj/dbCfzPPLGtt0pVhqL3oY3Qs
endV2wb9oBfszVy4S8ywDMrHhRFGtzgZzrYjSPfNt1J31hmZN70Mj21bMhtA+4fP1Wm1CzfklYko
kUJxNyEJRvNMe2UBmcFR88ZuWoCDWr6sU9TShZNNu3SkM2gy/CYJnHdr0g5pOz/StuJdyrpL0pQP
YtBXQnAj7DHaLHvf/BD04oPwfMAXGYGUggRyRJwTqV+Yhp1w8Hdfy8x/Lo2qQP/i0Os+0AlmH/r2
r5sr9ZV/nnq64gMjTXHMP+SBf14dFW/T5Yr/u9zwu6ujjmrQBAPsmTTCLv/p1amnxIRqluKChnL/
JW2OpQ7kV2cEpxGrLXiggDFQPqKj+eFUYtplpY3MymtP8vZ8RvXniAtGd2Guuy7Pbh7+Z1LLM+fi
VPWtj/1PdoRJrjHzR+6TTLeM/FSbzTNP/SFri/sEQlKnmcz6BVRNxzlXskyXhTduI2vAM9ymp1gf
386ieAkS0JLlYLZQ6tzyzolAZOScGjFSiJ6xJ8xEPvRZJ84dx5d0fUw/1lAYH9FlLBCaR9mGhF3f
2EPraJIDQ/OOxG1DY4Cv46DjcKgswSBd0y280QQ7eomXb2sPqF1GXOWjFXZo7sN8FNB4gyi2T41I
2mcxhsWqhzFuboZ+EPOy68XRawsXU0jgtOMaqg3+sNZvxC4tvIHxTBPpNQwLlzlnNsqPvYsvcMyK
tx63WgZw49YfcHZUifuhCoFsemMt74SfjRtsVOck1OulyUB2QWr8up7B1cQBCo4QI4QevtGaed95
2v3g5ctiGFE0Fys4gic5OuyvXax6lbtsMvN+apMPlVYeUTloOO77c+/B0Pe0aufHHkG3gXE/9Noe
Ou+aY+Liq6m/1aDiG3eIyw+jm+9Y7p2igChHU176svmoT+19EGc7U7hPaTAwZfegNEVXF5/DArLR
Q1bNC69IVlmlb0envW86f8XKaC9c+22uNlyB/yHwWyI+RxzLuWWiS/hSILW3M/dijf16LH3O23lp
lO05TNpbkHbP8AdXXu+vKs3AhBFf5jK/+iwyoD9eCvqlVprcWcvzYArAlcWF9xJM6bgJ4vgiQswa
VgDlEzt61x2EI7acZO9NR2z8pDtXmLijkvhY9dZHXvCIwRMaqrH1XQlpEzhQH+iXHgvzVItL4+Ie
meCKztqTE1t7TPq8w2QLcvXbt1wuiUdZBGH9EmD6HIrsrSfip1KPUbtrm7ByTqyeN2ACL7rgPuRO
xmm0WfrwS3B3Mxj5GifIngffI/0n7k6RZ2y0RB5HGe/LFh06q6uXxjPJAZP3zcQ1OowG545ja5u4
Y3xxQ/s8OWZ+bTJI33maIWhKzBIxJusOrPmyvuquA22Tj1Qf2PsMwtGydscK00TweYoIj5EgRXPr
5CXRnaw7dyWrZDWwnFxZdf2+ExMfP8vlQhhuZT1MG80K389Ndh4DGW/8vH9Mx3BtaZa3SO2uhW09
s/xLC6Juc9tbajG+QKCXxdqMjTOX5Hu7YR1E39MthOQdH0RwE5W2bW1cU4Mod1Wcamh+PbGppXHu
RL9Nw2jpMEXXx7Zf8+ng3TKJ1gv69lbTlS0Luz3CaiCTYmrpONDrh+SE19rWsMZ17taXylS83Dr/
xHKYN2PWOILBqsEu4MXqMMlk/h4qpbVi10zbmaJWg9vVLTXRL0sd1jnoBDrZpDoRJdzTErExNMt3
nWfTcJr5sNTy+dIb1lmmyWfXqgXrUKBlFUtOqUzChRju3cJ8ww79wCRn52t9toEdA0cgGc/gRCaE
flQANpzc6KsClnkd9osxIYVR9NOprI0R9kByTdP6aXB7dxnH8jFyHT7vAL4LkKIDe4ww46UhCZ1l
USOeAq7eSzzKAS5kbTzNREgeWZGly/+c/V+ludBgfnX2fyi6D/+1BFrz4SeHP1/65+Fv/IbgxED/
z/vI2Of7Ky+eRtsiTMC2A1Npdv+YG3sKw+0q/a3tKaT2q7mxi+4ElUrgIlTBDgDP5l+YGwPu/snh
j1UNX6Xj8NPUL/H6gugZkZFljVNeTR+aPsxbk63dNGE+IuXclJFBpGe6ybC5FXmBHwCdwnOOBY6V
8sbHQcNg/eIhMReOdp21cK2T9bzMhFeeMuWno61+M2Gw84MKNmpLSfK1bj1gwnOb8CoQtjNDU968
Unh3MrKwmjWzqPR1Bj4e2YmDksSQ+mWmwca1Yw/bOIyzZQqyZlHoXbxMDAK/RVMxp5xWhh+t5xD4
DoLncte7Y75iqniRk4qXnWaCAIKWpEzZMcIb9KfBYEoOf3g0yZPsApssTp2hotM4n1z+zmWV833r
ALBfP9Dn6HKkVyjEpwA0wHoKS1Loc1az2YTkoLDDfVZxK9BzuS4LKC66euIc9eyF6imEXsvokQcz
UU+opp5Vrq9XzPVLR0zUpxmLkts/IlMhBpsH3UUOVKknH5vcyZZAiC1VFSgr/apQlWJUNSNQVv20
7s9VJaplOpXZZh7Iv26cg0PJySk9gVBq3BEd6Exwrqfq00ShGihYUTFfZlXBelXLetG8yyhuYV9S
5Sh39HpiUakKCMlyqamaWKrq2Ko6WamKmZnuXlBCU1VLLVVVzTla16rOjlrJmJXKa+rtxaQU25Tk
Us9POSWakcTRUjWbGJdjPfCZCVU5T9xu4asKr7OsX9sU/RbFQ8shUNfW2XNipKFByQmmTorUIJKV
o6MRGrpHzpI5JUXBUedL77v3pmueETyV62YivspWp5H59VxSJ1SmziqR6h7dGhoQVLlSnWeDKM6R
Hb6f1EmXaf42Qpa1cjr9jc1hKKyaPONM0BhwTvocmBGiDIMDdOYgBU30uVEna67O2LB19zBYjMXM
8dv17TUhK1cDs+Jl88sks3Tn5Ywk0+oNx1u9xPlxbJPZPheERR9EFzyXqX7fOc1nv5qWTU2uwxxt
mMVwbo+HoNM2jW4eyyy+JGV5kKK9FGV2Y86erkgQhjAQ9uPeDZ0vaGF6zq7RsrdJT97qwi6G+cF0
53NUM9UwSELfYOyHnWO5/Fx7W2X4gdUsZGIoMjIcaZznVs1K8j54Krilk9V+bBQSJ++c/ch4JQKD
088ceEPCjNfp7yh2oPABO5kOENUk4tPHsMZquxPXIJRTiF1Kxjke6w8IHg8zLPaFqyY+sZr9mE3H
g5KzLAoig+GHmhFZDIvIrIh2tZofmWqSVKqZktbzySkqgzNWTZxyRk8+IyjPLr6UjKRyNZsiM+TN
XBA7bcATkmp+5ahJlt6E3sIT1Ucf488pSONzIn3KhK7f8jLnYfBq4zpaGfsvT671eXzp2SMsclfe
W+NU7a1ieI9SYlPb+rsp8c4g7zdEORMrz7QMBURrbzHMvi3w2qwAemwqf9oOYYlCrrkFSXbUcQ3P
aoTh1OFFeKA9EjfdlczzD57mPPl9uOInD0srsB9ZLZrb2AEpO9dGhYFYyHWtmWfJY3DzyuCeYdRO
ZjZg84x0Wi8zUbULQpFKC4af1634W9knpa1NR1B/iJnDL7sJvrmbZWv8TF+i4FNSefdtZ92nvCac
A8bSjIqMyYl/A4Ky0WMo9+GQckMJPdIT5jFZjoPYxjWKi0RkTBU77XPCt/N9GN+OQ46LE11iTKDY
jJLhaGtGseYNnXYOGduywGSaVyxqSsilvV/sAlmjz0LKsJesiUINV5F1jFFeYsny3mN5TvaU40Uk
bQf1m9xocf1gJkQdzFOzjGK3X0tYI4sgaj+lZpzQQVrbxvEwcNU1EWJ4k02zeugdebL1VsCrqLd9
Qa1Pqwtin2xfGeM16uS9PpVrLbQm9BLesayDnWZo42M8T/1m7M2XNGBT2nreHYISgPLK3P2ffupb
P8UA4xezlG/9VNPPP2mn+MpX7ZSD781hoEIH9BW5/ecsxWSjDi8BgySjDIYqr9spRryYOgOPHkcF
sf5jlkI7xQSEjbnh6d9iTf6Fdgrl9l/bKWxWaGno6djIW+q/v5KfgPAj8dv3FYkvKcF9ug15GiBu
MkB6CYDMNYpbAyEH1JkMFBu0325fO8aXgYNxUeb5eBgz9IW0FWLV6f0uKqM122gHdg8z97IgNLwn
y0R44uMYNnAXBpRTQ8FFMSP5Yu2hlwRbPQU37gFPTsMGuB4t7oHIV6d0eoqiDq5/8jYU1iPHcHH1
FIagVECCXqEJdASdhxxaQciSdJ0GwR2nsVxIPvlwIvpNZPIwFDwVbHiOopLTRpfFWmvlPY3KVaoH
CTntZeDJQhe7ddSjNvDM5V7zEKuHsJnKc6sey6iztqkexCSbtJ8m9eiWUTSsPfU4WzzXUVI/wIfZ
kGlAwhHA47Zpkv1ALTCM2GOsOxIMWePJn0lX+1o7ZL6LVTWRpKWvskaRk+b78GvFUbXHU1UoS0An
5BSmoEoOgapUgpI1U7qEqmGJqmaUpO2o6lutKp2map6hql9PoFJPObRUXbQokJmqlDjp7wWls2w/
mxRSj2/Xq8qaqBobG+2HGDQECCTqr00hFqoio5I0Fmh+FrhkMfKouu1SwH0KOeLr8lbnxrlWNV5X
1T5RdZ8VmLmFevpoqzMhHYIV3OKnSp0W9ELk0nB+uBwkujpRfDr2kCOmLTs462wAMn2bcQSV6iwy
nOQtswp7W6hzKlQnVsDRNXOETfX0zuRIo0V4b6szLreGe5oZBvEcf/xkuZYciIM6GWFX4T8ypptQ
pyYQ6nOgztHBaj4a6mTtGsPcJ2p5FGu5t649TLHrqWhJ5Jk3jlo2NWKoLtGgeYdKraLk162U93VD
ZVX4pxCy0/z442FwrIUfepumkjtlQp0cC5ZV2DwHNuwBhmHskip+RBsvqj7dNSPBob3DS+xH4VbL
4/nJqkpjYZuMcazKe/Br99gZ00sW1+kKTdp9FiI/cOdhPecDmMRxZQSCHFKXKWLRxp/FXAX7rvQ+
Y3yJ2HtB0XCGoIUJ0d51dclL3JxDNjorFJvVofRoahPmb3WKOBy8LJ9wH8yKnPgKOYDZHaMJ8H34
JavCW9ZMPeOXTr8OcV8u3R6PUDhnx9os9PWsu/Uu6mdSTQbkPMVhFCYm4tB8FtXcL1y3606xreln
Cxvei66H6WOp29UuG3wUokYWowL8z+n07XRCz/WL0yn+0HY/u+jzVa9OJgsYkYFpyNEDj6H8PwRi
1m8IvciJ4L8wZlcI2t8v+rbxGzg9DiV1PLHkVmvv36f8to6j17HcwCdDwubLnX/lou/81YoHBZfv
wgnpWCzTA47H1yeTqX54ldXZTaduLRy7x4Jnj29wPEQoQrRrFbNtpc06p5mJimXydxBWK/ACBtAY
6b/QsaNWZVqawu4pDGyEkxVUizaicvvWzs/6jduF61wau5ErVZ5ryrqVryzLeG6dbukmrKws5L2t
pAP1xHnq+heGpeuRSXenRVxKjYqyZ39ycYuQJJGAPWNvQDhPvxNVs2uC4Ngini9NZzObYg1yLF4Y
znBycT16rM9HM+7xJ9gJTkzzQ4YLGLfNu1gfnI0Xhj1OkHzaNkYGhdVBr2+77cGRmEn8sDp2JkJ9
S6zTWDyEA6g72CvjekC5UkA2WrR+tWE6ru9yfrkjCjxzOfsjD2ZhFAvq2zWwss9mgrViMrGsJRFX
DW0KH5us5DHv5UovRo1iIs6pTZhiEpnpuhiIrSBvDOOnLCc4fv4a+OwhdjrsGGP2xOVPO+Q1iwi/
vIubmAB7PzgYgxYhe+rOQWE+1tz0GNncsTMn1UGp5BGmbvXZ/2JoyrVhFncyZo5j+8GzEAb7gYq6
FJYeTbVFioFrPc558pwW9WrMqOdgW9BPJ8mJORHyLf1L287uTswScEvST+sYQQ7rTuuu7+K3seD3
j1gZgXyAiOBWNhMXdPNVYdkgevqXUiDJaTOESM3CTlqSCDuD+Qg02UTHjzuFQUFHE7+Dh3iPskku
S79i8YoaEGleuqiLblp0UwCzSfB1JAoF3BlSewti+VqWPkL1kPe9ZVRhyHpBYMez0SenTiSnJgmS
vRYZuE9cDkbbLLgZtJPJhNVi7txVgHnLSxEHpxquAy1Li1W6TZjRl8+1qJNNnWEs6ZNmJYleckd+
0XGgczCyYVcb+s0022XljOTBGeGxifp9W1RPvTZsy7YA8VJu4HEFC5AXcCDbISDZZ+SGm8WMwPTh
3VwnL+1gMl6WW2a8BG4UNQJEt7zqE3/V5N1K5AxLti0PfpptOv1Qk2U7nEMt2Ux6sI9kcTWc4mYO
4Q6DwFXrsYcMEzwn1Tr2PeOPMp4ZxDDQc+lv+IAm4dLV4pBhFvlWBd+0yJ1qCR80Z4rEYjvXhy9x
KtOVzC1vbartspW2H6VwV6xnvnhC9vtSq4m0I+BzaxTOPjZQ1c9wirhYIT1Y+EUgt9hCaFelFS5L
L2Ybo/nc3zGhRDLuDmWYik0+2J97B+dBH6efS2t4B2vkE7wxsS5b0D6RNd6mnkEW9PZhOXVuRxy4
OVhLjAlmczSjrDtSe2jbfDI1ElnXyLjybu8ULORZpVWu8zToKB+3MVudbW9PFc9SXRgL6clmhpUY
SWPtF5oNwnIwLX9nE0XKZswC+3iBrDT1D4GeG93DGDSadexlXx5H9Jvxu2a2zeGadtWujGj+KoES
orTJikgSJ1rU+vwB5eJ9C0Rt2aXyYNtFv2m0Rm59zT06noSohitx0WfuJ3Sp/4e981puI8nS8Kt0
7H0pypuL3YiFpwG9k24qIBIq7309/X5Jo5ZEqLd7wIjFRkzNxcyIZKEqkXny5Dm/qegimKgMhfpD
JJn21BfQRUUezWMtYzJHKZg6fh0rUiP7krv6BlkzdVbbEL+1sfhWOz6VAUTOKOd0kHzQBQfqSatl
iPr1kFezPnAwNs+ltZ6Wl5LbnCR29oX6DBJRGsnzEKJGBCnNy414Wmn9McwOQ8Z3zrHyTRDhKyqE
72rVwH8WuQmy3O5aVsMzt3JOpXD4HPvqt1GRuYtnfIva5A4RkZk0HqtDjzGXAdvKK68iUUKWfez6
+lmP2JVvreUoxhqhzzadNx75CC5Newnb9wJJpAmT8cy0hCGg4XASkaRLCuvqrLOMEUBLsx7lAfRP
704ZhXxlpdTEKshYS01vie0ol1pOYM1H6kVQy6SbOpqNhnevlojF2XqILLHEmcqOnI4Px0NJOKsB
ilWmI9qzM60LYFahBH2e9Dn93aw7BUONFYzdehNPsc6DLl1TiUC5NXfPHQhuVVKRm9Ub0+mGudpG
1wMnHzJITmeuwwaCJtet2zTVrOnSe6rkx6EU8YzN+NAUjo9oqakzB5CiROhHmpZZva0c55YAvZBz
ZAwSv56onrbC4/0W5stSCqx+2nryEee5i9bOrxwj+xqw0U042J7pMvwxg3WH+6G7dEelnBpyeeRJ
LVtC3XkTxA7pqkfRkWMMgpSI4YytFsvKCLppoFfnUdBckIksUrW+axNllUcFqXWjMgEbvZ9HMmbC
KAMXVCxdzL09fmpxVJmZUbvEyUhZmtTkjmoGdFr58bmcV+HEturjJuUoWJjUtKr+NkYLDhIjmyAh
izbn6C2lTjmJ0aSdDh25tUBKn3iKemEqNdDhKi8AksvJ0ajG2qR1XVxxqIFPQ0s70vXgAn18IHQZ
nJeUdgBBjgBndKsxUVkShn2hlu04szG+mZlZ/4jqw71mFKiqWo+jrj32przIK/Mhi7wH9EjNWa0F
R26SP8iZvdL08roDwKSFElw8pOvl2D9Ry27jJfGysdStE43HXhNcjoqF+V0tX6e6COKSgRVf6f+7
KPSiDSoEIf4i7UaWLxiyZkdJiL/7IfHWYTtj0IY4F/hRsuvvJSENZ1qaW8AuhBPMD7YQOkhU7LUN
mXyNUhLKVj8m3o7oxsHyQBmHnp31TxJvpLF/LQnp1KksW0OvizT+GcjzY+Kt0NjAhcDMLvpSZoG1
umAc6PjT6x3K7UQiGvX9pJE7+ZyXkE/kOCGpNAMrOkIUO3sIErdaU/ai7qhpxXVI4FgZfVOddZGb
P0H3wC0rboNTP7bQ0qPegWMroDuKSCSBF1WZ1OdFGOqfoU/UC8VFhHvKSsLAIHXTs8jLnScbKDct
CbgSClRaFXDPcrTN5La2B+Nz3FK76VSjWdeVbx1FTYoClNVI0UIx0KLWGhlEn1ap28xo4gdDjtOV
Z1TOLM3datOiST73ZTsAMeN0SyvEtwZadX4JXnsOYr2m9+DlsxYlRfQWpVRvH7MKGM6Jkrrj0C8g
rTZLKLiNtNU9J/TPUPlrClLYKi3PLZ900fKU3r/2Q4co3zVYOI0EIWG24FCJwyBCp4C0QBPQtlDi
aPMOZh9ZRHBiSinpctBAnwhbtUCpFN1SB+DrZ7OLtQ3yaUYGecFMFxSXjeOhQeu67rJxI/qo9CvV
QD7xOry3Ak9xlm7eel+ZScFUTsdx41b+uDWD/qGUikXqBceSRQ0nUchpOgOJRCnvPMoTSgPfBEIq
Ia8eTqOsz2k1ORH1tiSD7Bx0XrCokhroEh0yEuuouNetgBKbo9xqBOhVLkFyA0vVTgw4AhjLVua1
7efJUS3Vzi0is+ZZ7xTyDLSCI1PUN7IbnO7gdbWx81XCjOEYbJU1yfvkHHcbaVbWbb9sJep58y4u
inrWu0GOgk9WHQ25m15x+q3IEzAY8Yh7s9GxwtuetO7UCvVwXZEgflZcxKmhGsBEjcbs89j00gmT
15tqFmZGoIHdB3tMuts0LKmUZT3o3qDPL/wWq08A+VY8S3W9rSBj4sEOOMSvOTAa1QwYcYegXWqY
GPUQfk06WTHymH2nXVJltTEDyUxlm2f5uCgEptIhtk/qDkXZf5dAXkoggAz+IhZnVPR2lUD4q++R
mAq8boFth9kKD+4XETJ4klTthTjXczHjrQSi2VTgQR86IB0ECOFnjhy4PUI68Z0YKoOB/AfFeTL3
nyLxs1SOI6ow6IRBu7OeXeR+KM7T/I3zSA7lc/ipsNWFlyQgXrN5LMNm3uosPDlxoxWyVqRHinPn
1i0Ofpy86WdZX4FCXlvwPulnqzOAZTKt+OBrI8lHVVucIm3soSeFagZoSYxf23oRacqXzuq9ZQXc
6CQpiqOiZR2MwblWS0eJ76yraJgoZQVo1w3pAQ9kg1Zlr9KA1hKRytKQX+/MDDuT8SIyG3dKt/YK
favPZLrS1IjSyyGSlEmWSzeST9vbbUNAeUEAZdw8icMH3B2/dB7mP2DgrqoylCdlUU0RVThJ5IIu
ApLzQ5apaznXz326zxNZ0U9G2ABt2pzYlfuUO91JgDKOyjH/Ugf/xQp0EXggO6MV8Jmy4xyYt7Kh
rC98C2ws98q7QJWfPCo7E3hCxZQW421vSZz6Wl4ERf0ostdD7PlzhXdw5WgdjPmmCrNq0bpRMEdI
O5n6aoG0heFS2qfuUaJUQPw5h6HxBT47HWRLPe3tYlnrUTZxoB9OwIAubPyvC9c4j1TgHpjSrJpO
kRGpde5C01k0nbHGf2Ep1zaa0XZ4CYsaT8W0P7Wr8bSrbHneuflD4GMIzYYQclaO7oqKLRUDpwdj
7E7wkMBus0q+ZXa5VhXNw1CYToKv+7O0NudUIuqpUquryoUfUBXejRqXRzKIzimZsAO6EhsXNCef
Us+69txh2URdP6fXfDxk6jMnYdvr+cnIlmOG9T3/tkozWiZ6a9PtVuHL+2F9QQ0pPnX65AbWnYJv
kWOR3VJSxHXF9TleVN+wDl+FVrk0W5J0BM28Bb+4VppinmdQFOWobSetVF0rbbnExO2zPih02pGD
zG2DAhui5nWGK2uaJmjH+Qgaw8HT6zGejihWDgJHCi7ZnkZjuc6dGCuaxK3n1ACWqpedRIaOQjbQ
/QhVfj3qjkO/Dqd+OZyVDmOvuyc1LS/wcYE1POLRWN77aS30Mx20Uswsta7UXLYRPrPLRLqUc6e4
qgaRcyt9sKg1eYG+hwl9zP0Wef3WxS136mfUI+XCOrbS/q4yy691RIqQZ9ml5TlLyY8uFdpSqF0Y
U6qts7xHyFOzWowu5HJhG/WZosU6L4dQikXZXuvDVVb3+tx3ydSc2BqnYVsl0xzj5jrrF5o5bHoT
lZC+/4LZ81x2hlu+aGj4oYQrk3SaFv4SDONRCnrFhD7ohfHMkdxVmAyLyE7RQYCvMujjsZbX90pR
AqlFOEdN+kWbsI1pAdtpUNCgj1ThYb/sqNkkecIXcleX4XLomwU0DdxAmyMU+DAPSa3ZkFQzP3Ae
klA4fpY+whmOAlggQOQnMZvJGNFhL+QzamiPFZQJGSXpobfyeaQ7My0f1nhoHOG0hxycKlNn6Tq+
WwPcNPzgqnxsyvacPs+sCvUbOfAoEwzl6RiB7tUNfKsjVqFMRRXApoPjrHxtNO62MOG5Oi25CEqm
08pqVxCA+6lUwIPRkgtXBvHiI54RBrQs7aCd+nqz7qz0pJfALINkhadpf4YbPIHXsaKJRk1aXjpW
c0Fp6F5W8yMXGAD2gdY8CmPiX5/CezazK61x6mkwlue67E0GL1wJ97M8aM9cc7yh9IK8SH3pqs1x
WbQodkDO6J1hNo7qwjRLkKzKEeWZdoaF2EgU1haOUZ+Q1S1sstOpQ2OlyOWvsVup1EeaL1qAij3p
sXaE0sKFgn1L7nmXymifOvbQTseRop05dscyyEuqCv40yj3MDqXAOdI8o1kiB3YBG3gRxcOF6tjf
NHWkOJfPKkpfVWlLlJeQv+2k+nyo84vasm8xlvOniQGsvE8MZ96HavwQae4w8/L2W1g1yBrJd3GT
gsvKTn0H+gsKElcAdKjhlt8Mb5g3jZKf+X2/KMLxNlJU1G7a6I4IPK9S47KUXHzAZOezZJb3fQEW
OfGp8zeJRffMntYKB+EIpZZecKu9E70WiDF9OHILumZUhwv0ts2qiu7aWOposFEjX0hj3U3t3p7H
cnBEhRxUWZdgSpX5T3qrNbOhzXrhqrxxxvFcKVHvIF3A80tV4LyOkHq14puFUDeivNEamQrCJVyx
Gf3e+yxUL7JEvaIvgb9Lpk96v3rESntWywJJM5xXZk8BgfhVWiiKI3Z02w/SHZyEmzgAndKl2iyH
1wrSujtvI8Tg9dGGPwTHNW7C5rKkoDw36JmsdKFMb4Ljw+lEwaboxQv2txpg6nsKv4lujWA9oxYA
A/EX7EBVwM8YHM05V66TyYOxaC+KKYCjqbO5uarWKKnMM0ySg1Oc1mb+Klv4x2CJw7W//HeC+5Lg
gm39iwSXlG1b7ig18FffE1zlk06pQMiXGJiNCO3W76UG5ZNDxungIkkpAi3e7z0+zQGXIuoJAENe
SapvPT5yX4uiAPKlCPOSHFv/KMF970CJALmuqujH6eABmEq/zKBWpXxXSM5wTkGkWshSnM4r4E4R
NhW2W5xg0NQbnCUNieTRTfN11zXXMqZEhh1BUSvpKQe+bJz2KSVo1L/Bt1b6MUUSeRoPWrVQFRzJ
IURmKwyz8ktVBx5r6rV0goGAsSSFe3BGCHKSIT+mwOKATYyXSYBIj9uhYCblghDuIZdix+00zVpR
fraiaZB1AAxstPAb8ALTNFEvI02Kj1qo8OiDGXO59I2VZPX9hApndaRQgoByYabGNMijK6w4t11U
XGeUQPKkA28jm9JRSF0ZV8aYrKV28nO5IYdV1SuHXXvikg5BhOroCzWzSkDR3M5Zy+BMCg0x/95r
L+VovEua/NYJixMMI7/AEFyGecLDjp06Te3wVDdE0YaccsztJ7QVsDQcomJqq+3JYAmGftwVU6mp
sSvAm8XBaSuiSsI5PVu4BFpLKtbAqR/CAOiOpeUuLrtJOe+M4esYqGdKUPJ/qPIGvhdPEUso7ItK
s6VhKTVii/H5PMSE2mkBwdPGzb3M8ayH34/yD9719UkjduJy3I42tRfDak/S3iinVmmhhlAB1U0b
XD5x+kBwwUZT1kH8Y9Kp+n2O8UYjaR5Ux3ze9qqBQeDWteD0qzl6D663GYb0W2Phrm1F6MbV+gjM
Sa5j8I/o3JaDiS1jIa8AI9OzHDd2UaFRTHt3ioodJCWEDkSn66ilzhyG2WUjJ2jQm6hw2DF4yALh
5gQih4ZSiGKiS+/do+LnTOqkOvHKOob2RCHapuo8sSswJEHkAeEeRnllxSnxManQ3vXIR4PCuUPL
HIELwLVFZZ64nV2C260wgTKCjTyMyCK12cbq6UGgGR1guOqOK/xD9VlXR9E893QQripiDLIy5vQB
UfX1au/acjHQhEyhrlBHWNdC06IR6hau0LkIhOKFhvQFO9+liRRGKjQxUqGOgTzWaWKqKwylYWsg
oNGnVTWLJZX2rw9/TahsmEJvwxDKGyESHBmu0LQFEPlBnIOd6D5ErCNHtCPUaSgrHnIhhnJWqqRj
JQIfuK7Ic7SOoUwL9Q8HGRANOZBQR2S/yv2VRqWrC52zXk2vA6EgkiAlEhccYyuhLmILnZFcNEZq
1/xcZQXEW8RIyCe3oZAnGVR3OTaUYOCnmpNKiJg4qJlkQtZE84J4LuXRfYriCW7PCC+hgVLK4ZdU
iKLgnFSTjyOUAh513aCcEqKgoqCkgs6VDObMmJtorLhCbAXkOYAx5Fco6H2u0WOxwuw0KxMMWi0U
JHzPeqhHyD+RpzmrVgi6VM/SLiDtJgCw9XM1ylDvKoSL27+3xedt0aBg/ftt8abJ4iZJt+83RvF3
bxsj6qoC+2JRp1HIrQSM5fvGKH8CcQKJxVLZ6X6swbP76aImJCuqCW0f7YfvNXgN+Xn+AZgKO+Zz
Nf6fVH7MX2CZz5Uf9lhalSpFfbEN/wx+UVqD4yTwyvPR8I81ppfeZpCzcG0d0zDDu4VmXOjGaz2P
owX2ZSu5UZZBXp/70CVZLDOnU0GCSEJB8rir8k3U6J/dCiJKWq/7UYEyqa9G3yyxuMqGqW95n9E2
uKRlFc3NJNlQ2zKnuj+g9hfjgTriuMqmCUw7jvwKoEBNi1DzTxoWx2nK6cj2xdFeFG1HiiSlE301
6SxprnLh06LM0ZiZ5E740Cmt6Oeb57ZRQBprQG9ECoY14DCezCwD5kPjfTr6ljkN2kg5ovd3WtfW
keYmN9rQbzmFrivdEaeZm44cHDSkt0TICP34EbRpa54bmXUc1yh9Or5xqyFxhnXHl843F1WLZW+p
SIg7OfaF7pQw76D7dNFZ2BFIJMUFgweIMrRioGildI/eTD7JCKWyEZ6yNfSTMR+Q9YxwmTZiWuHR
qKBu6CQLKXS+9Lg1G21zqgN+OcuLS8g0i4Tq0GAp55ZBNUfrrwaFo1uIAoTGwUFT4ALF0kOru/f0
fBZm09DjJSgS+JKvwdDc5pCAZ8mI3KbSh2dDy9Dhf3Yp9y5Hj8hM7gr9CBgmAu+17UFeLqz2zJPt
hUtZCMyo2U2Hpr32h3DO/8YelPPtrC7Su4bHcItxnEaB1E/0LlsagczY2ArkwQFyC99DGEp46cp2
PMsGm57qoF0FNsiCzn3SC/yXA9O80TPzSlItbYpV5qmToMXaGBYanzl9xaD0ryTKYQYMDVQ3KL/1
RXiDwv+jTeM9dRPw6NFTmJZ3nsNpl8wVARxeapW7Sod3AH7M7FTeFODSQtMFPNWimJgFEbICDXX8
ZGWMEeWZdhWpWjxPm56eNhAe2Nv5TDep+8lW/pBlydyhmCIMr3zMvKtgCvIHoYJeQcOgAo4sAUCb
jP1A5UNx8jVgXnROoys3b+wphHL0pQLqlRAtbHQwULeKS3QNkX04BdhDVaN6CEzrFPWUq7TNgqkV
OMlUUsZxmaQhRze3BFMypMxMTf2Sp8W13fLFG503G+AFy4375LaSMtNa48rJ7aumc1edRv9Zcd0j
C29x8keSNqB4i54cdFoqFBVUL0LGqUPkIixKmJzjsIGFVk0Ra/DgsfHXtVQe1600kyNzrgyUvxTB
McWGfhlAnZoP0RVcdIVqEW31cSNFw6ZuzRuvb2+iGG5Db19EKjQUEA86hQI0HDFOuKPrk0KusOb+
WC/8oTWPOefjOa7U+DUbYA7oTm34XodjMia0lFGrwvFHm6mSvlX7ah3L0hqNs3Qe2EM6J53ZwGpa
DXltTDMTToxsse3TMbEmQwmZSy2668TqMlKhWlm6qgenFe9fKBxxOusaZiD//k2NMeUejNiFyhtY
ZGTSVdHI2yphSuhmEoBttW7zsjirYgg0qqJv81w+t7AUrMLeBG4W63Os1imkKOECt7ny1FUQfkYg
ClLMaJ8UKS8N2Ay6WZ1+1nFZXWTots28wMZJsS11qHTeygU8tcqUYVOYaMI4hEY9ApGF1Cy0V309
1v55BXoNXguQ2yHQrjEG7oCbg5uu5GVY6jf5SKzMlGvFK9RpNpISyZm1QanuODd9RAJ0xLECrIoM
ubnF/U2ZughZzeMQCE5pMKmjyv3cmuPnsi6u/Er3Vl4skdEqzTwhwKHv2VznNi6PZcT3q0lk4FrZ
TTsQuhMvKb/S2SJU5NPMd84JdEvAEnCW9OpmcLu7SK3vy8KmuBA197pD5qqonTKTZdU/wSedsqTt
G9PBBwyVeXT3YkU7KqvwOjW15ZjDO3cj5XMXgd1xSJiN2AmntkOlUMtNTPrUu9a87Krj0X3oghPd
1y7TsJjQlL4LpeQ2QDTaVNJ6iSnfmZpngNhipVrJoblVCPRzBbeKNjBZ2jr1SskASWOZYzCPrYCT
oa7PMqc7rfIYMrq6svqY8IuA2jgo17TlTvxsGOmGNvdWDbxILurjoj4T6gS1gfSOR3UMgR50AjIn
WKpFiZBKGdwrw7iEfxqephLhH5fftTNY0gL2X7TQ6j6cjIqmkb/afFuusL/wjg3HxhHAtH1OjZnn
FCBUyMaBVW7tIPHXXVrTX4euZlj3YQYcEmteQX4qxuFM8eVg6ld8z5wZzJVnc1AAGgf/oTp265HK
CzSLc3mUOAmgxnCEw9wZpV3b3oAkG5ZjDzvWz+1izuYR0i32FomhrNHLOCIaHZsuU8fW4b7VCAVL
pa7dBVZOhGgLb6JX0sov9DNdr7xV6stbNPC2sN++suUAffX71SBLs8RGgTWSeXWesdKUbBb18WMf
ROnE8HxOdiFVR5fyeOqZD36ftMtBqcN5V/jzAlUmOE4jJVFJdBzME0+IMnwFPqjo7hWwnZWEjB+K
Mda5lgOjCppEmYLHumX42cWVeAuv7LhVPWuRI05RVuYytDmjGHRuF2kvc8ItZeEPTdFWKbqHtO6B
b8XXhj7MzNi4xWgUz/qwnphjhJaduSgDGImsE2Ba/UKpcxwl9UeC60XtdOkUo2h8Es3iCmLJggCn
LDtdwLIUqIw+rFFrpP9hAsHCYvvcguY6iVy/wcw4GuZlXzMfUP+Y+eboT0oTT8geN+/cxFs6yNTN
iH0yzE4QBwGyzIptnpHkPpRlftpbsTXNEmmuoBpndPZntpZF26EPWLQnrNwVeisypBn/NoedBw4R
pQOFrTZSTgO3PnHj7N7IlQdI0ewRqXVfqf066+Fk4HUioYiE8IJjeHfJIKdYS8ZHY3Bc6uW697xF
3qnRrAnsS9/I2aMl87bJ2/XY472dBl9j3UCKGdn4ShtOAVw3q6Ec6nnam+tEsUGhJgRCiR6KESBE
ZOirKFNPO3k8aUpNQ9+JXqaJclTYJcmFRnUdA1lbmkgdsMHWh8nQNo6gDKu0xpJ0mOaVhfjeWK4q
Xc2omYRfrY4cxu6bCyuHO+eUbbb0nKo6TQoUvAqto6FI9YDT9TKK0Zp3nkVT1GcBFeNZTMWspWNg
K8nS9LMj51lyJX6WXxmfpVj+vxzHXmWRdppefNdsFT+9yIK0vsneOWP8rV96a3TvvtE/ctF4d8B7
frBnH4+/vE+8wci5ecKng+OYY4ujk45rs7g4P8UZwJWXH0so8CFxhHwfKciPX+Puh796Zx7yu5H6
wEGQUcb76ZT7zwfBQcnBIS1SUNUTFwyKnwdBYMpseoivqLYfJsq/9oJ/Z6B+/w3+eGI3DOfX4vff
eX9e8Mc5gJSxCVbuN3OAGgAVABUUh4KKGdehzoRf6x1/ZyTEd/3nUNii2qFSn7B+MxOoeWAJqlLb
P9BBMNAB2W85wE+CS4QIOq2Nl+v9cmAAUPskOoiLmMEn/h8vCr7H7bON0Zs/vVBZ33coCI/opsHr
MrWXkQAT9WtkUCl/WULE7QDHwJC1X7Ff/3xNsEUYFm7HtJ6eL1bZz2OAEI6jsoM4L+HzMKcDz/by
YC9t2+8b2D/aLZF257uWVZs95+cxkD9RBlXxwHyJoYc6Bu90D/+V6UCVzdKwPX6ZDu82S4XNEvEj
TeC1D3JNyHuHSArcAM8NEgYRZbh41Z/mA1umxUWr9iU7ObTgCF11782SfYLXo/et/W6zBDVqKzK8
2EPdLLX9Q4JGAi2DgBW9fnFxx59ngvVJI5tQoRsc6nJ42bv2iYvOJ0xaNR35693LQXhskGKiAn6o
gVF5maJ7DALLQSceCBvCl+vdPknuKNDQoEEOdSbQp9svdyQwQhZzIOXgmiauXwMjdtYKwpgGdtUH
OggC3L7nIJAxCbA82ddvB4GuKPNADM9hbpH7LwflE0kjSZGYDuJ6lzrrnLp1jdT5YHPn/fME55OD
MQDWN69HqXeDIAtwGeoK2svSO7w8Qd7/AAEWDlVLBuFlIohj2U9bJDUmogUS1c9+3295+uENhb5/
ZABNoQFHE6jB5+tdeFQ+0cJVOEwdasokNE72DI9wN8W3Dalz9yAonLqROaHReqjZwmtCu0e2wEap
ovAO5BS+rLjeZQsqKjEOKZV9qOFRyMnvORNMULIKoB7lN5UmcYzCPRlhuIMNjx8REwzhc4PDxa9x
kVwJM0XO2oc6BYTo8H5TgKwZ/x8C3vu31z9hF62hBPGaQBxoqiTAbfuNgWZ+Mi1gdJr8epB+FwvY
FQCqAXM72ImwfxPG/IR6FRFRp6PxfP2yGkQXgp8RMA/1+KTsX01Q2RoRB9PxlNy5KyjGJ/TGCZhU
IcV1qBvka8TaZ4NkPmgASBFzeH7T94UVunaOjbXJaxf08PJFdf+9AQo1xGaSpddB2BEZMCZltmAn
87poiEWHNxTKS+Dabz7gZcNOab1mjb+eIhTRu3NMYPaHeqh+7R7vMQioCpIwkRK+9aN+HQTKKwjU
YkQnHJgPcya8PNgeg6AZVFSfi42vNVeC4E/nSXYKUYTipHWoO8Xrg+0zCEQ/Exg9ThIv4XFXZFAA
LBzuSfI1p99vEKggIYNF3+35Isr8NBNYDo5iKMhSHOxxeu/lQEwAvEMJSfApxPXuGEGfBvkknQVx
qDFh/xqT/gm8ArJ+b9njr4UVdgfRk0SK5CXHPtTE6bUsvs+iMD8BYeHMSP35+fo1PFJuY3vAhua1
0n142YLxslr3GQQKbXRjOFX/rjdJR4qoILx4DnRRqHufrUGv8C0zD+Bt7ZwJbJTQmi0seOWX0HGg
Q2Hsf7qk2YAZogYe5uVN38UHcZogjzZfq1qHtyheW6f7Lgpe37JeT5fvIoNGS8YyNU00aw4ye9T2
3i4ptqBKJdrVv6kz0KvWZVWmJnWwOcP+hylACTI+GzCidi8H9gihecBuqb9FjoOcD0LdkQfbZ1Ew
FKQFZJC/Gwrlk6gykEkfag36tXe4zyBQd0KhxKD29EsGTS9GAeKDbsnrcjnQwKDuv0WQIYLX+r4k
3jWs2S1VXOTJKF7qOoe3RWj7BwYbTBfQNlQyXgIDG8HPJypx2hD/4QAurkPNo7X95wP9BzIGZv7r
4ZKt56ehYGnAnMAR4mCnw/5ptEV3RkZUkWn/cv0yBhywgQVTkRLe0we5Qwhp4D13CIPcUYXWzKJ4
m/M/TQQ2S+DyMui2gx2ElwfbZ4d4PktY7JOv+8C7wEC/GnEkQsOhhgR9/wOVLma7wG39vl+NrQvc
CLhCz9eBLgp9/42CKoMFB0R+qzr9mjgQGcDJs2IOFsmi779FgHs1ZfhxWPw8X79uEUQGfsiMEUIl
XAe7NPbfKUT2RJ9KdLHfXvXnIMl80B3G4WCPVUKfeM+dQuje4AQNV+5lEN7Nh+c829QpyxxoZDD2
PlAJRAedF04TrzFwx04hcE3EyENdDkJlaO+ZAKCDzVAo9f28DmjhWZShwbb8/SnwN44a37nHUz+I
n56pyZgNPbObXtim/+svvB2j39/gB2bdM9/0p9+8GfLty71f+Hfi///X5gmPyVlQ1WXwWKvPDekf
fvrWoH7+pNe/f33F9x/+04e9vdfbP66CbbkpH/3h+QfD64OebRK4zf8d819Pm928wD+f5j//4+eH
/eGr/+u758Eu8SxBLtr/5snmKSvfbvTGaHyhsO1984nQw9xxb3KCve893cSblq+kervXD89OMNz/
/miWVe++UgaGePoBN0/rcvPHNNtpCShW8t4fMdvGf5xl5c7xZw/e+/7z+I9ZVjJ53u71w/gTh/e+
/6LcVumum5P+7X3zZbxN07f7/PDgHF72vveqSb5m8VP9dqs/by8wjHvf/ijJt2Wwid9u9cPtCfP7
3z4ddgy6ANXsfeuTbbljzEWreP9bB6m3IxAoH7FWTzfRjhgmIAV7P/bppqq2u8bkIxboaVb98d+p
t423u0bmI5boevNEAH4bhx8m4kcs0fWmDHYNzUcsUXFvpKl2PLpohe79ta636VP2GOyKXqK19gH3
Lx+3T283+nPcBb1p/5tnPPvbfX6490cs0zUGMDtu/RGrlFsjvb0ddtz+I1bq2SbfNVs+Yp2ebdvN
+9wRx76PWKLn5YYQsGNQPmKJXsSbx11y56I4ufc8vEBNa1dyJ0yJ9775VUDqWAVPO0ZGELX3vv/1
5rHkSJDWO6a7aJ18wAekf0y2abDzAz5iqV5vxAeU6aZ82hnIRNfjQ95iFmy9XaP0EatWvMSCFfAY
VI+7PuMjlq/4jONsUzS7diuhifIho3TaBNUf51+DKt/1Hh+xmMV7rDf1dtf9P2I9c/9688dkU37d
7MoZRMn8I0aKz5jGuz/hYxa2eItp2Yxvj/vnFilK3fu/wl/ZxD+rDokqxr9YSbimhrFz8D9kMf+1
0+bez57Fm13Zgyjy7j/qf+VMt/eT15s0qOJNsyMPFyo5+z/9X9mO7Pv0N1t/s8u0T6h/7f3kN+T4
Qb0jaRPF4f3v3hAJdmzxgjL0ATf/S1H7fYf9jgdsdq1VgVDc++E/Yxb9dps/A5goRu9/6+brjkxZ
4Gz/l1vvKst+Jxi9L9a+CRvu+rOfa9HiNx7j7ab8r/8BAAD//w==</cx:binary>
              </cx:geoCache>
            </cx:geography>
          </cx:layoutPr>
        </cx:series>
      </cx:plotAreaRegion>
    </cx:plotArea>
  </cx:chart>
  <cx:spPr>
    <a:solidFill>
      <a:schemeClr val="bg2"/>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solidFill>
                  <a:sysClr val="windowText" lastClr="000000"/>
                </a:solidFill>
              </a:defRPr>
            </a:pPr>
            <a:r>
              <a:rPr lang="en-IN" sz="1800" b="1" i="0" u="none" strike="noStrike" baseline="0">
                <a:solidFill>
                  <a:sysClr val="windowText" lastClr="000000"/>
                </a:solidFill>
                <a:effectLst/>
                <a:latin typeface="Calibri"/>
                <a:ea typeface="Calibri" panose="020F0502020204030204" pitchFamily="34" charset="0"/>
                <a:cs typeface="Calibri" panose="020F0502020204030204" pitchFamily="34" charset="0"/>
              </a:rPr>
              <a:t>Total Revenue by Cal County</a:t>
            </a:r>
            <a:endParaRPr lang="en-US" sz="1800" b="0" i="0" u="none" strike="noStrike" baseline="0">
              <a:solidFill>
                <a:sysClr val="windowText" lastClr="000000"/>
              </a:solidFill>
              <a:latin typeface="Calibri"/>
            </a:endParaRPr>
          </a:p>
        </cx:rich>
      </cx:tx>
    </cx:title>
    <cx:plotArea>
      <cx:plotAreaRegion>
        <cx:plotSurface>
          <cx:spPr>
            <a:solidFill>
              <a:schemeClr val="bg2"/>
            </a:solidFill>
            <a:ln>
              <a:noFill/>
            </a:ln>
          </cx:spPr>
        </cx:plotSurface>
        <cx:series layoutId="regionMap" uniqueId="{D85B809F-EB9A-456B-951F-8B697A84981F}">
          <cx:tx>
            <cx:txData>
              <cx:f>_xlchart.v5.2</cx:f>
              <cx:v>Sum of Amount</cx:v>
            </cx:txData>
          </cx:tx>
          <cx:spPr>
            <a:ln w="3175">
              <a:solidFill>
                <a:schemeClr val="tx1"/>
              </a:solidFill>
            </a:ln>
          </cx:spPr>
          <cx:dataId val="0"/>
          <cx:layoutPr>
            <cx:geography cultureLanguage="en-US" cultureRegion="IN" attribution="Powered by Bing">
              <cx:geoCache provider="{E9337A44-BEBE-4D9F-B70C-5C5E7DAFC167}">
                <cx:binary>3F1bc5xIsv4rDj8fNHWDgo2djRigu3WXLMnyeF6IHqnNvQqo4vrrTyLJXjVqeVGEFedsMzMxYUNW
J3yVWXmrrH/edf+4yzbr6kOXZ0L94677/WOkdfGP335Td9EmX6uDPL6rpJLf9MGdzH+T377Fd5vf
7qt1G4vwN4Iw++0uWld603381z9htHAjT+XdWsdSfKo3VX+1UXWm1U/u7bz1YX2fx8KPla7iO41/
/+its/ibrES8/rh9j/z+8Uzey7sPnqyF7j9+2Agd6/6mLza/f9wahXz88Nv0x14w9iED3nV9D8QM
HzAHOaaDLefhsj5+yKQIn24bmKADkxGTOZh+/9nzdQ6Usxl6YGd9f19tlILXevj/lHzrHeBD/PGf
PsDd+CHGLx8CCL9//Cxivbn/cK3XeqM+foiVfPhSVe/J8S0/Xz98lt+2sfvXPyd/AR9q8jfP4J1+
1f90axvB/4CuJ7NarX89vNQ5IMgh1MImerhgfmzDSw4QsqnlMHMb3vkc7cZ3Qj8D4AnFniH8RwZS
c/8eEPMDGzGb2BZ9lGD+EmLCCeMWYP+oNx4F+A0c7YZ4OsAMjKckewayv8k+nEtYKH69JIOi5ibj
nGD7FZgZiDqjAPME5zcxtRvpl0PMwPol0Z6h/UdWxOIdoKb2geVQE3Q2e4Tankg0dg44XKbJ2VSk
53K0G+fJG80AeUKxbwjn63tZ/XphBoQpKGREbABwez1GAC0hDkXOw3qNJwDPZugVgLfp5wC8TbFn
AHsSrMhxUVb6PZZm+wCN6ppSvluQCTnAlNkmxyDiz9fmt/K1G+2do8zAfCfdniF/C5+7foAeHIlf
6VFRWIdtMKnRa6CD9gb5xshCE9DfwNJuvKcDzIB6SrJnKN9sonX+DpLN0AHmloVMgh8l25nqcXJA
KMPMAgd6vCZ6fD5fu5Ge0M8AekKxZzi7tX4PoxvcZxMDjug1S4zgA9MEkDGZADybod34bpPPgHeb
YM/QPV8X7yDDYIQRBxxjwO5BRBEEuLZtMZBh2wHw7YlHNZef3dhuUc+Aduv5PUMWIp7rZlOt1bvY
2NixCCacP8L7IvSFDix7DI4xiHluGV9vYWo3xi/fawbQL4n2DO1F9sGXFbhU74I2J45lkqcgmPNi
QQbHynEwGNvWw3SY6Os3sbYb85dDzMD8JdGeYX62qe4gMu/96sQF5QcUWY5lW0/xsGmQBBIXzMYO
x5ztAnw+X7vRntDPgHpCsWc4LyG9I95DsK0DTrFlmvgVS3sMhtkm/IMnGYz5HO1GeEI/A+EJxZ4h
fFPFkGXrf70ogzPFKeEmN59ykDsyGKMZhiGNtb1Sv4Gl3RhPB5gB8pRkz1BeZRshfj3GoydFAEKH
vEgwQwzMsTGn5sTKns3Jbmi3yWcAu02wZ7Ae1vnfMrvXvx7ZUXptCzP2Ell2gC1MEeQmH4Mk28L7
FpZ2Q/xihBkov6DZM6CP8mJTxevs1wNNCVjQxDYZxC4frqm/jM0DExZqEyJjuyyut3C2G+8XI8zA
+wXNvuEt+vexumxEQGPzpxTk1J3CNmhtx7JsexLEPprJzysIP6eeg+7z5/cM2dO1Upt3WIpBYTNI
LdvOY2QavYx7QWAEbjPbAkPseWBkPke70Z3Qz8B3QrFnCJ9sqnfAl5oHlD/ErB/V8Jh72Iprgsc0
piUx2Nzb+M7lZze6W9QzsN16fs+QvczWd5v3KRywHT6GsR7LA17KLj4AnQ0rNPmRl3ouwfP52o3x
hH4GyhOKPcP5BAqE3yN2bR2AcEJugpk/YJyKsAX3IHUxFeG5DO3Gd/t9ZsC7TbBn6J6u0/co7wL1
CxLKERT5PFwvEhPkwMEmtmw+SUzM5Wc3tlvUM6Dden7PkL2ps3X1HtiC4FI05vyf9POOtZc4YDRj
E7yn55p5Pke70Z3Qz8B3QrFnCJ9K9eEPEW6yzXvoZ3YApR+E2t/18zT5AO4RYRRq/EDMx2sSt3wj
c7sR3zXIDNh3ke0Z9mfre8gpv0MExDqAjDIEKvnTboqpdEPOCVlQ0Mcw+MvPpXs+R7uxntDPgHlC
sXcIQzLiHQDmBw5nkIhAT2nkqVxDwaZJMTjGziTscbaeydBr+D4nnwXvc4I9RLeQ77IfikNSmIH8
2k/Bj6kEg2/sWIzbBMyzh2sqx1U8l7PXkd4aYSbYWzT7hvdGwObG+F3Sx84BHkOYnD8FraeAEwrb
ZrhFqTPxpM7ewtQrWL8YYg7YL4j2DW35LkCDxQUbYn6Ug4xwTl1mQmyInqDp2jyTn1cwfk49B97n
z+8fsnpTbd6hRIBaBxa3OKfoqZhvmnuCQlzLtJhFp7scz2CHx1yeXkV4e4R5KG/T7BnS55tm/S6b
WWFvhEU47J54srB34IwwbFZmziQ2Mp+j3ShP6GdgPKHYM4QvqjV4z+9gYlPIIkP82rZe29wI+5lN
2P5mTZ3m+RztRnhCPwPhCcWeIXyZ1dD74h0QBhOaWhxKcZ8q9qYrMXjJkFyEnhN0UrE3n6PdCE/o
ZyA8odgzhK9iqK1X8f37iLFjI5PSpxzjyyQj1OdC5T0kKCbm1puY2o3zyyFmQP2SaM/Qvl7fVdBj
Quj3qAexD0wOm9IZbJh4uF7I9NhHZvwHEs87Ap5v42036jvGmAH7Dqp9wz1WadzL+tdr8rHnBMUQ
K/neWmRaBQThMAsaFZgQ9NyOk1y/gadX0J6OMAfrKc2+Ib0WH9wNFGG/h4RbYHaRcbfjKyln8LAY
IggqPSeW9/WbuHoF7ZdjzMH7JdWeIf61/nv96+UairExlIBBNfZrW+NgWytkn23wp7flei4/u1He
op6B79bze4bso9RUYl3dv0/gE4qvoQsBtiEf/XBNPWnMYfsrQ1BNtA3x2xnbDfYr48yA/RXKPZwA
frwJ30OXQ6U2hiwWVGtPg6AcSvKpDbPiScu/xH42T6/Dvj3ETMS3ifYQ7CVEVO5idSe/f/Nf0L4R
dkFyGyEOFSWPdvkOC41BA0vTpjvE/AdHc5aY1+F+OcxMyF8S7iHsx3Jd1u+VrAYhZwQA3qnhwWIj
DtQQOs5jMHVShDKq2Tcw9zr+00Fmoj8l2zPsb2ro6Zm/S384qFKwYe0GZB+Bf5HTRAfUJhjbZGK+
vYWn3Xi/GGEG2C9o9gzpUZBO61h9uPg7VsV7rOcmNCIhFuQ9QNeP1w7AoRkRgjY0O7T8G1nbjftr
7zgD/tdI93AWnEH74ffA/6FqhXMImL8SfYNONcSGQge2Q8fPZup15LeHmIn5NtH+oQ0dA9119ff6
XSoN2QGs6mOd2etdDyzHhg5j0Lr54fpuVD729gWZext7r2K/Y5h5+O8g3Ms54EEl+XvEaCB/AvXD
sEfgtf4m+GCsI4dU+CSL9oj9bLZ+hvz2ILNx3ybbT9SrepjjNb2tGz+UuUD9KWboezf+qf8OAXdo
GgtWwLT84Qn0mVz9FPPnY8yH/DnVviEerd+lPSxsxIUOzhCOoa+FYQnY8RDFA9tvot5nc/QK0tv0
c1Deptg3hONN9S5KHLqeWAh8MfsxK/pyuyY6gJuw0Nu7XfTZfL2C8zb9HJy3KfYNZ5mt3634FIqa
xgLF3Q4a6G3mAMgvkmezOXoF4W36OQhvU+wdwkK+R8NfaBbKqGNBv9DXClAfYu4Wg+0FE10NBb/z
OHoN4S36WQhvUfwXIPxzFrdeeTxI54/vX3hHBP2N5x9BAB0ON7Is8LN2Sy5sCLEwoA4J012O1vMj
mx43fO3iaTeyz2m33vHxFX/+Uf7rjjiCs5lErLJ1/R4lhxw6liBoIWa9tqUa2iKgcUcmn+zbehtX
u3HcMcYOOLf+Cg702kG1b4iPTbnfowkGlC9QQqC175NIvvCSYDMAlLJAfHxqN8/m6BWkt+m3IN19
atn1NsWeIfxVZu8R7oTzbzg0noKWj5P0NWS04AbH0Fbu+xLwGO+ay8huWLeoZ4C69fz/BaSvn1L3
46w/f63Xi4dTAp8dVPfzuw8fB842nJA+bWTesa79aNh4dP/7R9hfR03Qsc8W4HGg7W3QYAt9B26b
ZgMu9u8fDQxVKTa0PoGtXASyW9Cb++OHdvN0C1ZiE86xY9AaAzYHmCDbAs7ain7/CMYZB42AxoYp
NpjgDKpTlawfbkHoHHQBNLuCGkYMZNaPIxwvZdaHUvz4Jk9//iDq/FLGQisY2IEEWvH43MivCb3g
TaiKsvF4nhpUN/Px/t36auy6Ap/gf9SA4r42a+s8pGI4LWEXQ6FcaUcl840ubIbBHYKaNK5BrCjz
bR1wedajXNWLOk56N9Imys7sOka5dkkIvxF6CvUGWwRGzRJnEWpBhEuH1sw6t9VJHX5p69wo/AGF
zMjdlBtOcaRYhQvXaUyr+1QnnLg8MmS45GZleHUnvhBUxx5l9FALbrtKNdotG9S4VVzlbh0aahnU
6CYR5KwSVraQeeIHPboSfVy5GHfMlUFxUsj8RJTBKW67214VsdtxGbhFka/q4ijLw8Dtw4K4sZXE
Xsp16GYdb93YjlO3DobQbbrhS86dS4ya2s1C6hq1St2iE4ULVUmF3+b2cSX6e9Lpzo/r5k/dmdTF
YXaSx8j0c9lfKin6ZWs1lmfVTu0FTak9yofOT7WV+agXw6I3K9OFXnYLZNa9n9S49Fq7uTdYd5IZ
cejVVVB5eYDvu66QXm2qZYLKw9gsMy/H2Wlik8KLq+q2NvvcS8r2VNVp7TVxQxaDpNcGQ8uS12QZ
pIGXG3nuBlVQHLEoDd2OyfOEyKuybL2AFyexNXhRlwi3sUsX83LR19nfrC9at4oaX1PkNlnqZxEz
vKYIj1mQL6rCtlwRDNQlukvcKpPp0u65sTSoPsuNAS/TrEpOUT+scBh+qYVIvFQ68Yr2NPYNK7zs
eBW7zNEeLvVxUzeJW6LqSyh7mImpedL3+FqH3cLqssZNOnyYiuQqFM1pbFI/5XHtWtYQLwKzz9yC
GcFhlQaRhzrnEpmSL+ySbmSG1SGG/cmeKeS5iYVeRTRfCpp+ho6+t3lSurIoL4yoKDzupMRlmZN4
dpYskyy/bbnt91nk1oh+RUUtfZ6Yq6bNrrvUPBJh2btWEOVuZEem16ukgYlOopOiqLBPnQEdRm37
RXBC/YToL13Q3mKmbphKczeshpWInItEmZ6R2C4z9d8dD4SrRNt6NU8Lv0yxL22c+1TX10EypK5M
cL2QfXgUKhYelrq8qq3ha2qHf5Wmir0u7hPXSeJykTQMewzVn5sYWS5OWexLKzo2DHmMuLMWg125
KCyJRyS+dkxrGVfsplBoZVB52aK4dbuYXjOObN+OUO7SzjgPI3YW88LwaBovuzj7EjMuVgL36zwc
usO0Dw/rpmKuEdmOJ4xU+DTP5FJr8TURZQPfJ5YgZYN94qDe9h2MViEaqtPYSpd5y2GSkowtoHWY
5VpGu8xUf4Ex21RZ1LiyKs8Lzj/LMoiOq5xmCwt3mzR2rhIWc9eiReDirOtdNfTf2iZP3KbJhB+E
hHnE5rZXKI1XGW+lF2T1tRWkMHXgDCQ3xYaECRD3XtlL02MyOkzDbm1FWiy0JcSis5yz2izPsME2
qe6oL7uMuVXaw4TSfDkY6FvVspNQxof9IL8KHpKFFZVHnKatV3T4BFVls7Q7o/FJbV2xjrCjUOeh
OySgSjBJznCaH/dDtOp1cgItTD8lVXCSZ8lRpMvrICq/6c5Rvmir014GF5ZR3BR2lLi070sXRaF1
4oBeBN0oQXIzuuCybldJKr8IqXuPtw7IrApcM2irRRta2oub9tZRunZraYBMiwIGj9OvHdUUxLFb
pnWN3Nym0nM6ki/TPvpC2k1b9bnLzSReiJ6dRFb+tevhi2Knvs5aTRZBI2+rhDseVcYtYeYmCrXp
9ilH7kDNI6TkHRT7/DVU6FuDYTIUwropKgCshSShb8L5xKAiRLksc37ZJOkipAF2jbA13Cxrzk0j
vYJX9ds6uhhyxpYmK20vbAziDhk/haAH9SMbHdUyjb06sLsj1prXpAj+jLgzrKos3uStat2AtZ2L
20EcqrT5TIUcPIt3g9t2VeMo9/kxvFvr750s+ioOo6dTlH/88V83Mod/H87l/fdfjocw//tPq40c
rUA1fWi0kn489e+zfUer5MdBvxNb5/Ek51cMoZ/efN1Kem7wmJDA/5mB9Dwk8BhOeDA7Hqh+mEhQ
2Tt2HkJw0qcJ9ggM+N1EIpA2HnfOgjNsQ0hjrAZ4MpEYBCDxuDsejXEMOEQUfKbvJhKBniYwIBQS
2pCKgMaQbzGRMPzGtoXkwJlX0LzMAkOMQnEa2PDPLSQ9UFgN6ro7Fy11Fk0bRIUracJTMBLa5pNl
mP1x0jUiXSCU6q9asuZzylRXusoR5ZdnX2+HwTa2w5tyAzXO0EsPToGAQ3JHv+E5N0z0RepEdXNO
SoHPw3QQgVtz0ORe12jpuE3L6q+8KYzYrXJbl16ZVLC0B4PizINmAuLe0RpdwBhR7ZMsw58H07Dx
qrfMYIN7A3fLn3M8GswvOIa97mCxOiasDgRNOI55BNj2+px2Zhj6VjdknxuILdOl5qBg3abvcOLH
PLDdgVt9DCoC0VXeVD32q0bq+6hTCnuxUZi+giPMG1fnEdh+vDLTcBHKJLpMa+c4V06kfJB751ZF
5UmatWa3iJVhncVgreSrn7/VSxigKSWsiwSOp4UC5IeXfmY2835UREWmzoUOnFsZgoHtspTA1ChE
3V2C9nCuiwBnf/78Z8e59txah/ZbcLQip3DID3T0IXRk69nPmqgLWaFCcS7sAZ/jNKrPhaq82A6i
25//EojPi18CfwV6b0IvdIfbk3lWCNYPZRXJc7tAbF22sspWgbZ74qZFtEBlnQ0ehUVbegk12/w/
TZpxUmy/KEwU6NfM4DAjaLk+/XnIS8RRKPL4nJepuc6T2lyn2ciDOeRqYVVSuj0C6FdtVrbELVPJ
Nzpz1FHr9Oy0s2iFPNomMvUSLvLPtCrA4orsvt8URlP4yBhy7pmOZNWhSa2hflT0j8etXz4y+tyv
Go/qmPLPR7UB1SzgWYHvvw0UsmpTmGZgnOE6yNdxpVXoYiPVgo3LtAiP2yhO/w5tpzjthjJaWpJ1
sUdww79pPgzS66OQg+2RNJu4ovy+MYuIH/8cYma+ABlcJphEY8UN1FqZU+fPquwYVZGmZwkri8Cx
fe1EwwrcF+osdVPXXtWV6FOT92btRlHEvQqLlSJVscpYQbw0K/OrIjPzzuVZC45dksujXmntFmZZ
fLZUavtBKQKvlkkSu7GmCSy4iRLnbWGoi9IY6CIMsZO4xhCI3CNNlB+als6uSBJehr2gnZvVvDzX
QXmjSW5Q32oIfMi4J6AbWA3eKWrt5DSLTPtrgGp2HIGrezqEXeN4LYpYDme09/GRYY+2Stvbg49b
0/CHpLsrVKmva2TwyG1zMNsCVdZHLCDkpoxwm64CbuDYHaI0+BtqWqrGjUVp/FXnPPeLQpGjVIri
CJdOdh83hQVyT/P0OnaCjrtNycJjcNNqr4fvsMKMOBdlm3cL1lblEvxR3CwyOEM19Jo2tEuvIVGw
yBWt/LpwLqLACJGPsdSHsNSQ1hMosVxb8+zPLkfRCamc4tqk2lzVTmKQpbLyYW1bsloo1CXDsgHj
f2l0HVoTlbXfVFgUpjcQjWpXhKQJl51OJAhH2y76sKntZSWDyM80zQ8FPOpCO6lKwofOG+4mKkkM
jwctd7k0wSxiOgs8qg2RryoLbDJW9+hTSzHzY1WhzE1gJukl1a2jVh3l3amVDkMWfKrbUoOv2cdZ
L6r7KIgIGb6q1uh4HrlOBapc3pE+TzSt3FrXdYHOdarztDt24nJYNU6tg6O8iuPCTUgmrxE36FHS
U1p7NWAArnuJnA7gym3bF0EA66HO0rZcWGkbIq/KNA4uohJZXIJbwtvI77vM0aeW0hRmVBtIrMDH
grVwaRlRElw0IDpW6JV2YcOEo6kCBzGLK8fNSli8gkXXxJZnBJCGAZs2QILBkbxBnnuRU7fBss14
li9UAFbB0hRhPnj2YILGFCRltZdHlZG5jepDdali8MEXMoztb0bd8Bj5SBK9ipld22DkBmFwLCjX
YGd7olPl0B8q2LxaRYsijHi+CFQzlEunUiJe9pmV94dIqbzwTNJnscc7cINXVVzGhgewki9GkQ/g
h1IrzX34DxkXWYIMBZ9ciC9Jnjv5Ea0cnS3SSFtXQ60pXSaGJPgkaiPFBcRlSKRXQdUU4hoWY3qc
hANJl3UBHCykzsJhYeNucDw7gTjBWW73MLUNEJXKDzCujytqmpkfBjSsfS4agDPmCuwTMSR02GQp
pCx9GxgAD7fPwWfCKGaHYcxTyyNpWlI/lnHgD3WQmq7RVoVzmQRtwjwal8ng5kUyGCcoyNgSF0Fo
ArsQmFngPhrkURTjNlykDotad3zOxU7sCJg+IS29ro2NwdVdbPwFIRzZG24MckTO8SDiIXbthhn0
ps9aUp9bhdNLXzilPjNrAUtSqHgKBE5O4WsFcYTF1wFnIjou+zzrlqo1h/gE61DfsISYa7ML8sC1
MUzeZS06ThcKIhbAfI2T3M9omSrPboNFjOPya9a2YFkkYdJcK9Nq/y6qiB42vA2DhZ1C9NIVdgDj
mJlMuqWoGnw+dAVln5Q28Q3WBjzRWoayPY173i0akifxYdUR0h6BX6rIRWxw51agcpycSVKqFc9U
pC67nmnbQ2UL2EStAMakAqV7AiuYc0ttBLM7By1Z+XBiWSePtHICcplUdZpeEVs47KhjSVuf6U6P
xmfUd5dmaljdQrY5/LSUw9C44EvqYYUgaAMvP7Legn4CvoocnzNTwFvUpQmfKkplOnhO2oDoFFmY
xp9ExUHkqxqsghDugU4lWkQXJWZ9BcHGIkIAd1t1NYScIohnxqguu2UHvZjoom9KMioNECYP3ggU
SOfg0U7WIr8N4Di+Y7uJY9uF+E0K86IPrXUrKLDRVUl/RXWH1EkIZm5yIguRJtc2rBYrJRA+L52w
/Apbjq3SjVgUk2Nph059EkQybPy+4mULBm5PVwWBz+ohXvZ3aZaal12tkDwsUd+kX1orD9VhHhj5
t35wRh0Sl1nkgx9g00VM+kgtCyt3vhgoyCFEUoSlyxmoub5qo6tYanXi5Gli+iapSAhqz2SwHEXE
AU/caMJFRgSIyWAE1DliQuJyk4NC7o/hOCOQjXbU2IvENOCLds3QLGCRacsTXNXE8gIn0w2stLRB
YHqXyV+V0zg3Rg9m+vHg6ArfayV65eYQEm+O4pbAUF2Oo8FjEGQIjwqApfWM1LGWg2wafdb1PLtO
GlW6NleHLO8a83BoLQAnRVgNqyJLpTwTVsdODY2YXESlyJuTsG+LyLNNlUc3YImoe+QIUCOgOlXj
ppFqleu0ELCEVaAvr7OwxPGfWA7UbtwBLLD+c6Gp4cBgKqgWETfS8NgIivbvKERG42VcWelR7CD8
qVNGAIGCulTxIh5qmKQx0QlERNJsMM9zq8gytywaZJ0xHLHO68G6UYs2KgC11hZx6FYDz0F3KJUt
cEe7ym8yYlerwS5h9qesC7nfQ5haeUGhrPJLa/b4JokqmGuw0jm3MNdzdSkcgUHBksJJlnYeWRCH
q78Su25t7KZpwz+bRJSt35qhZmcsyOzmqgyUU8HiDjN6UcQU0ATHoe9OY6pTecqrIqKXpEOZdRR0
0oH36jojPEsro2j9XAWgM8Aaq/VZlgXAf+Wk4VJFdhr5bYfQUV8ykPvesjjEaYOInz1YpU8Znifb
+TFH8TyW8Ty0MSdGchbfVVLJb3oaJNka6P95JOVFvmlsIfXMiH+Rb/ojg7jQ/fp5BGZMUz2SfY+n
jI0NxmMkbVjSbUY5+CY/4ilQgMkhNIIoZJcoJnDre8oJ9mBBRRe0uGFjvS6kmP4dT4GUExySBPvn
oZEodEQh5G3xlBe+M5xbCk3RQKeAyQFN4yeupd2FpVPbUX2RxLo4tjOHQdamO7FFVnpmXd1aee6X
iU4PheTZsImkKo1Pdd+DjTfEHpgX2ScnKoSr0/6TDtmxVLlclpmKXTz0EBeAAO4qzhrmsiJahmkT
HYHxibywCJgL6iGMPKcpxTLnBcR9IeXz1Yl66RoWB3sBLIDEK4hix01nDMdmIboo8Hq7j49ryHX0
JDAOtVF9Cx0xQEgCBaseS3COcOocZXXY3BbQLP2EQAD7zKYCbP/4uqhpVCzsvEfLAtux31QG8nnj
CF/SgfpZFhOXWA6oC+ycpLzSizLEEEkmeml2xbltQrC7odJZNtnQuUagwaSIRHtYteocK+V4WpRf
qzY87XG7iFDvE0XOEAtP2kFHrk6K2o1BFbqJbXttDYk7AQi7YWDoBfxY+C1opfVXPyRNsCzNckxs
GGCuRgofOlV9FaX02k6QqI8KKzL0pxiL8hC8Gk+UkXVYmr0S15ZGTuVGdcAbl/KArShuIW9jBua3
NKjbo7HZy6oWaeoPubjsE3VuseJYZNF5iciJrY2lVO2xkVu+HEDVlMJFyeCZcXHfCnIVa+fru6iY
/zblYULB18+VRxGLzVR3PFJ91x1QHQYbcCnko8emhaAjnukO6AU+5rHhfPiHiCsoqu+6w4YGaXBB
+ywTtnBYHPTa91isDQd/wMEPsHcfOlCDZnlbLPZFxAJ69xCIulFw44FPPDbHfB4ACyveJgm1swsD
l1/DWINJBTlJ3JtHGc6Fm0DGUlX1gpu5ixrIxdDw1OnL89aG9ErQ5uVRHpcPGWOvGpOgoYmWCLKi
7ZgetSFR4jVhf4p04FuGBN8E69t4TKhmkFmNxhRrY1SHWarWudWFbo3ZfUBi5RVGHnqh2Z10kKlN
x5StnYIgghZeWH1junhM7KLayPwqNzsfVm/t8TEBzHpkeXpMCgvIDpPeNH0C+eK6g8QxrN9/0jGV
DGbVvUTWMYTpIAM4ppvDBhLPOWSgzQhCVwJy0oODvzRjkjoZ09VRZLRuNqawkzGZPYxp7XxMcPPg
iIZ62Y+J7xIMG5dALnyIwjPNxUkBOfII3smVY9o8J+SqjVO/CcN8kUJmPcDkJugzDXqozl3orQWB
2DERX6QG5CohN5/TPvYCu/hij2l7C/VhHXpmU8bhtSZJ8Rd4E7f9wNoTbauLgkJ+J8MthAzK6i+o
NDiKRbrKi9ZyWW1Kl7Wgk2saEDcK7LMoJLe0VNSt4/bCgLapizStB5+YQ7gYHLDWw8oxVoasr6gR
3ZtZIFfguXgY/JETaa11twanbckKa616Kld1hVZZrUJIV7e5vHVwJK4zlBXpJg6H+7aLrgaKQD3W
hYR8YBXZ9rrCyXkA8/sIaYEOO03kBakC54LlgTruncBjDmjWlluHuoKUK4pQ7EXM6c9pMoChFMu8
XUHM50srWp/HeXRGO7kBO5AcIhk6pVtZdjQ8RiF/tSn1X6jnwGT47XlSa6so548cTmSvdug5oPqu
58aDDaC6BgppGGw0hQKcZ3oOSisJbGMZW6pvm0hQlQPHoMBxKOPJvRCHf5ZygmbNGFoXQLgcdjLB
Lkf+FhMJ9OwkfAx9n6F+F2L9UKYLh0GPRfbP1ZwsTKh16AN1gTJ6k0p1TZR5kjP1Ke2KxG0bFh2H
COKWmB0mfZ/4eZoGy6CxWk93deCisgC/sG9rHyIZV4gNUMdRcOy2TFuQD8efNCohX+HAWILLaJEl
BT5ywoq4RZRdV1wk7iCk7WLZnRklkm4uksJrh8bwjM4MfIhHJYusIYZb6bY8RyK/gcof84w3gzhN
CNGutEgJNgaIGMn4iikwb+xGtp4VRZDnrsRNJGywfYwcamcqdVQW5jKwdbhQKYQ7OMs3EBS/hYAi
JHuJefi/7J3ZcqU49vVf5XsBOgCBELcMZz7HPp7TN4SdaSNGgQRC8PTfIrOrKrOqu/9R93XREdXh
tM8ASHuv9Vtbglj31lI5Udar87JqB4ufv8MwBBwCSiaWYkpbuS+dk5OTb5q/SRIPYb4TIsuTSY8w
CJaxxDdS1UlbmypxF9Wl3Vy+TQuWeTPIb+MwHZwBaEto4wNJne2VZLezFXTR3KbWchoH52A89uqX
dC/s0ovC2beTMPBPMpe3RWNM5GkGa9A4NxWVdZTbY+owG5eEBCoa8lztA+nZEWTCOzefvGto8a/G
ba+qZVAJalLHhcOdjdsLN1KBdjaEYivrMjGkdSVBNFWTE0mbndyC7+ex8CJf8qRk7Z2pFJacZXTS
nsDXYArFMg0hOFOoDGneD/o+H2wSZ074nFuijETRbXu7PKgqePDC5c2x8nbbzFU0YNkrNQ8T4XKw
TRAaQdF0u8nWbkyH/oBjoBSuX78NSQNyJ3Na+7bzhvaeZT1eWCpsB+Jm8eTXQkxi72rrFjf4WygA
esgybw+8cl6AP5wlhNLEYh6cv4l8mGn80ME8b9RguqhXLNtBu3xv8IhGAm8lrlYkpJjGe9/N1bFh
9kGX5ZduCY9L76BWFHwrJuvUz3MXKZvZmyEHLSCqDKySUpehXPD46AeeZ+89D9iuJVCLS6u5B6rE
oUSNzz0J9lU/5DvmiwMq1hrbIG02TLV7mvuPktv8oIeWRlW53ONvTqde+xrikRDpkFMZfxcKtYTi
64TrxTNkjm2a0cTJvGclShnrZRwBr7XtQbmjiY0VBBGfiz6qVT3Ei1HiJbezfNdyLm9L6ofRRPrE
tLOzYWPzxNyljPKBQ5spnUi5osAF6to0q8sROlEFoGce3D2YGg4siPJEuuPeXgBB9IzvAyertxTv
JeopmSMsi0PEoC+oclgi0bc7b+h3pUWTUiwDdPwBfVBtOXjSvCGGjmii2eNBEuYqGTwHSjD+w/L8
2zIPI6H0o2PKoy/HgyDzJfTkvQ5AyS2q2XIrq6K2yZaorZyLNuNjIfw2qmd+23jjtcqnJ1aZs2qW
F5VBrqrgY0eNKJ/g9Rw8Y+9mpR4GRu2oH1s7soUgUVibU6X6NLCl2DQzU5ErzTmT5Fq1c52ayUkD
tzu449hGsxo/PT97LXLnBobaBf7fbV8GqNG0es8y30RjtbzUHNUFEBKWQux8VQ0YxGzO0D+53YPg
3tFYnUh1jbsGhu9cPZGx9HeFR1uyRUzKTbmAVeEXIvmnVbFXrtb+n1wtbLlR/UXm+PFbv2/hYKdD
33bAZMAOhj7x0xaO7BKyaQzHoviA5iFY/N6qhDgrFqgJguahz9ZBUz+3KmtjAX0E6t66v4d/Zw8H
4vuXPTzAqaQe5gXjLYCyXX/+k1dvpiyH5J15N9XSBfN+oaIh75qTIbuBnEqa5mzBvtuxLKhja+T3
s5d7UYXOOGld8FZORosI7naVjuHgJcpv7J09VWXCDJHxqMWbMy/AQf3ibemVSRoC/EEqegTJCjU7
K2/LHhping1p1ygPDCd0TDaDQCxCqhJ0KRmsvkpHk9XolMuhTjgdjmPbhWA9i2ft0GtB2i2tGxkL
k7R62RY9Gi5tNzYWQXFd8OQKKgDvKj8qagGLZrDyOISyGhVyeQtLeaW0t3GCuUvxyLq3rj3U59Fb
xAbmRZu4WS3gG/afJMvfxhJNUWMF6TB/TMb1E3inqbZIntRNewYj99y1ORZ3NnU7T8EtlmTq4qpz
eEQEOpCFhTJ2tDmSpShTVy4fI8s2o9BHJ5y2DjA2jLrZKqJSCXvTLR0Nh7CrYqnJxxDCzJ6wQoV2
5C7k1M7LbvFheo55BmEjGGLdFA9sBD9Y192uAXdiRPlQh1YClvHaSfvILeC8Dfhc6TdXjUs6Nh44
CVPIdjtYDtsw2h0cv3lvFcdGH2QnW4cnOGBt7NVZSw/oxuXVMXaXvZayBjKoiMjbq7UMc7dtnHZG
QVHZLxBqQhFRXX11fbIxXIJQdsevoeKbwA1zsML4cTFOH73nqLhUJowabXbDzC9em7HUmsy86Qf+
OVlUolucv1A7fBgWc3W08wpO4mCL5UuhyzCmvgI8mHvfCtccJjufX2veV7DxO5AJpMX6CVfcB3xc
+vIKe2AXSGad4Nc/zAU+FtQ1lIA5u8kMQFR0N1iF/WTkQxX5FQ3BUs72bgk+nVJ4MLuGJz3A6Wg6
z01qOG9VHpKtbxUw0oEkdI6P3lnL2BL8a171S1yP87JhE+rScs63rqW+FJPYCTw2cctaE8F5jLpA
LdicV6oSqr6ZvAwlinU7Z9aLHOwD7YgDDLd89DOew7d0AxRn2BoBQkCn39VBFaDoEYfWByjI4aqO
PfMjTqtPxYebrvHetMpOtMa2XM3lBcXKsSNQ66gIjy0s4MglRMcl9jTJCx6Vg562vYG8P3DiRG6I
bG/FviyBSJt6BSLzL6Qi3f1iUb4is4AfXP8xsPi9QaVth9NLz71i3/Fwv5j+mOWsO2ZCvVCTbQEN
3VuU7jlhN1aortymH523XJpG7iqBe3Oh85J0TjsmICjutBbbCqZTPhZbWfIwrUzYRnh66KvSas/d
crzLmOaAHupNY6YjHVSV/rO1/djasNL/9+4UXvrwn0Q4/NJPOxtOcFrH4dhrLIz+3Jy66FvRE2LK
aYC9ap2H+RsQaf8LfSkSveGPDpRCn/tNhMMhJKB7oLr7PsG5UaH3d3Y2xEz+urOtR8YxvDu4BQC0
ft3ZdGcUoAZObpTxbNStej/NXp84JSHQMfqNIO6IznB+DrCYJir3vkrCTgPKpsRffcvSQCMeJD8O
k7Cj1m6xE9oyYks3Jkbpi5HYoLxQiliI8X0O2y+8yFOY6XeVV27beTi4xL3rO7SvZT+PUdi5Cuq5
e2obYAG5FTyqKhRxHTYDHMXscRHlsw9cAq3EYmJqmhs/JzfORNOwF4eg7veVv5D9opGsGCuXxZqb
LdDK1GXdJ0yEu3HK/UObZ1swv++smKNQLU8GtkNUuY0bEaAJEfUa4O1dhqwBZMSg40+TM75WRnsx
r/jOHUFjdyqAsMbBuAxoJeKiI5eq6Q915ZFokvKz19yJjCXQDNTspmgkmu68vyl93R1MM8AGLNDQ
Bo2o4HRKbLV2nl0UFXaCbmqhUe8tn8zV1UV7wdelwJfbZQ2/ujAZI67kB4dQfy5FvfdDcNKZ281b
3ip2owrTpEEw4aqNHCh7PuRxhcce4EHLI3QbdFtoCJ5UwqP1TJBf7Zw426Ur86jPixr6AMkjIEXY
ehqSp/ZclztCTJ1aReFuS77CggvQN2pgTaOCh8OdOYljZuhwnio2Hra9jTcB4pfN4G4HQZq0JeUJ
ZsNxGcqbqnX2w5wvSdGwz2wpaVQGjZdaqiDJPM5l6mTBvK3GvE7tkjN8Ec4Md6MPt0NJoYIaOW5D
FwZxk0vQf0Ar7qDVMQR/fJ7i8PFyZ9tZliAhQCJFiHWtMbsuahZ80t5QikyQTTcstwZsNhOLZpF3
qQVgAw5sVRx8dIPb3OUPs6tuwcq3KbfYHImhexe1An7AKSChPvQOXYguI3dWyHVZv6LCbV8n5ZeP
LeiUSPGw3c0jiF7X5AhGZK1z4zMIJrxbUFLhe4+ItMYdm6Ao8smDvhOMxbeqQd7BLoMs1Xlj7eyh
3Ix+nWZZiwYSPnXUhK2MUEE3EfrtMbLKiSWya+qY6pJeF8dcSzPe0ampUoXCqIhrt76Abxt2QCA+
h3Z5HxzNN0PnIPcU1vJcwM6OiaFJLXu6p/OEXdAK9JZlrXfnWuNTEYrBSuxhxNbEXeM4KEm6r8iA
pcFiVQBCyhqVHO+3VjE/ONbkoJLJaYyS6NCiWEynaXYQBxvhqakZ2zgELLBFadG21gEJpl1ByKNG
5xrDzXto+vIQlO3tFKjYsoKz8l+zwD2OguoXKD4fEx1OxrOsqIWIm7BpnE4jWKZdGA4lClXo5Xll
n1y8Gu/4UWvvswf6EztLfbYn24l0GDwtDORmUS4MmnfzTQXAOUF77UU5X8G6n1CFAzXkmiRtw7C1
Fg7wFs39xMzCRLpAoy/xz1sFLyFQxN/MMy6h0zc3o5Xf1yZ7tcX4pfOwPDC700lQyWMxOW+mohSa
GAEpqJCHc0bkKwoC3NWTqS4VpLLFaSAf6DPq4ucRBxskgeXdhgYpOdEE7Z75Pv7lYJdocmtkLAZx
HEt7B0qgjbWXITsm+psiHOaoBAkWWSZMBiM/VEZRpekiAahHv8DEa/xUtObcusNX4QX7dvRfAAf4
+6JxolIu70AaAe4Js8OHrjcceT2AIEtS0+DCS6wyobDQok9xFSJco4Wzs3q6m6ce5VcB/LOYrkgx
nmpXQaQq6veBhbugJRcn77aW129zAHu4prGpHfx//42zoohVMX6qIrgFATykWsz7YS25x7Wd8qor
ICsLe8EY12Q+8qG+NqjWnYI/1KjeOW13wVrOj6jr62KIQbhI5NZUEDWo/TNApEUdM1sZQPxuDAH3
IxtRgmMfs+atYq5ikPyqOs5pe2cjbvdPbfQjTrsS6/+9Nlona/57iu5f5fv1V3+vkHDiErRxmwIj
WDts/Oh3xGEd9U+RNEAfDxV/PRzxD5sS0xRQs0DBB1v+va75rUJaB1LCTfz+x2BX+n+rQPrOTf9M
r0NZwP5A8bghJEDhCfxaIKFyghwMFu1mtjRFsNWFJcijtmXlno68vYFudC54wC/Ul9tsof61n6sw
WnL7jmTeXSXHD2FDwjeG70utjzxwNpqMp8p1Y0svh7p1Tqx1ksVdW1PPvM8dOdk1Io9kbC6uxzZZ
HpwUh7E+W1da8sdgbp99M8SQaT+Yx1AtMShw7b5CgJFbFrZ2TvbYa57kDEjLs69YOC/jDFohtC8m
gM0XUsC8bNn60omnIn/0+yKy8InSWk7vYTGcs7DaDJK8krze6mE4tBndDCQ8aq+/ZJxfQmE24eLF
Oe8uo4u4mujP0rjPOL94xx3nEkK0tiAel3DahOWkegyTXi0Jsh5fwkLdIrByzqc51oJtsfWlpKYX
6XYgOj+VDN20AXAY83EEjcbeVmK5oN5zWeq9pcJE+wpxsWVrlTBLuiWinbyfFXC1zBQ3uR/skOVB
AUsfwZXtllndITvz3rrmYrH2wrP+pCnQ9GU8NHLeAQmD/Nl9BmWH+ChytVkIW9W7CzjcAmZ1O7ip
LVKj07kaA3Cmc3/ss+qNCO8u7GjMgWOsXDvW/uGUu02ywP2USxurwLorQwPoNXvymvkRHXBKWxQG
PUeitUKMmWd2HwdNfy5YPW3o1JtrPY9ZIgr6BqREbrvebFnnj3FuumfX7XjUTOa99b/zJTK3+1TN
4bSAG2ay3JVhy/eDkLK8gUdkiqj8LmhCxC42oTPh6hu19y1hbwUCH5HFursKVc2hRSEYq77CFlY7
5Gz8RSd6hhtTG+j8ITDOJCNLeec67rZybRX50NXL1lErLgqFtYBk37rY1NGPBlHZwaQYmF0i4zp5
O0DTCPrQ+b7w5n5NJJgoA7C8AY3cxYhigWjN1SNDA59WdFw3LvdasBmJ8vJzQicfobZ9sNzsq4DD
xGbvZnH9jSerS6+qKakmvQouH8XinVk5PFsTfu8sx0FDHANg2ndjhToVtUYjrq5A3ncciqTTaogy
nzrxwr0qKTvvPQdeB+8KmwKSBGOivPBSSJ1HgSm/hdaIXd8bm1hr3idoKT7yLnxtZ/fR9+kH3j+E
ZQHwb55JjaZhRonXkC7x2xKiRZUVke6cXVfLhLDiBqmIA2umJ8/Mn2NgH8qQHZBKReLWGlNEEJ+K
xU3Dpu4vczb1m0YjneyOFj2LOrtvO9SPeVip1F3Lk9Ej8A+d9mUqF3zLffPNEkxEtplkEiBxsykr
s8+selvaYRGHi/6yCA6DYjA3hR28c23ejYetXhpAWohr7QjVPn6z3uVQViK3dzesQ7XfE3ebCfdl
6FGbYpmKe4ViIR+BmtPiZc4J/rjlfS2yHiA6AiDg+9+tUSbKpXNsMjtBbOSZ5GtGGCnMBYJo7MHQ
J6Plxt4g4SzI7oFPpElsGKCI5OK6myx7ITUqj6zLAtxfZNNXVh+F4YRHtKhmdJN4LOXEFN4e+Wzg
aWx1Bvti9GUE+2RCtdzvi2KheG/60IFSMA1IiBmMBWvIfuL2hQ8atLR9GCa2RLUVhlFhwe4fbfgR
3L6f8uHot/wBsDWCtCVNWllqVN0TkivGOhUjoM12ruAmeZBMmy5I6u8UGudVuwHQBTbNErBoMBfA
RgYc6Jo3FBu+wmytzaytvQJuc4vZBe0KvZnRhYU3XyHwwpBZwTjE44r4H53mh04DuOm/1yJIrr7h
tME39ddKZKWifqpEsNeHMP3XrZ560Ep+r0RQpIQ+WIHvczr8lVX6oxLx13PnbKTDEG77BZj6MS8E
JAFDdmwlMf9WKbK6IL8E0daDMtazRynoThfHhq9azk8uRJszNLWaiRvbrvMd7IAtz6GWQzw/joGe
QQS66oT7SGyJvcDLMuNtW3po19vmXXquSJSldvDq/DQkco7ziRLsEryPIRQscFAnN+EDs6Kgp0sC
cbm57fPwmfsL7E5JSGzs5YiIwkn63o6JEO2/xbf93D1nLBfx0rPzImegNqLSu7EeDvk6fqHy/MPC
CoxE8IIzdb3H3AfFOBTsGk5BhYeqAMEg31zfgwrt50+68btoQmIQGZlAx5VezrQNMF0BUQqHkJew
Fs/U6GNYOacpqB8svzkPMBJiUPOPrczQ+DhIP2XTMVi8O8yk2Di59cUtTJz3+QawRACqrDt1gXhx
Gb0QjmkC3MfqYWBk4qZ4G2pYkK3BwmsFQ4q5GTzC04ilXRqKeFA/p4y1Y6q1nhGAa24kHA6kschO
cBdzSKbxMtWwS/NlcrZ+NWxK2sPU12XsV04bW+5ySzL61R26h2rEABFMgIhI3t4aj25m3uwLJCmi
LFC3dAweeZ/laefNL7QA4FVMfpdAUaziui3EhhQzwv1uAPltuUrTBhuH1wfj1B98aUDiD+4j5ajw
ZO1mMXTsm1IH7qXOgp1h+X1/8TgqWLAGEzvSuSwxScHeFIEGr9WDkh+WMh3IoEHNsxdOobyMfetG
tSi2oPPaqGrE1yqgIikHLJpu72xqBgbehrg3zLtiBjTaNOW7lOQDx7F+QB3Md3nvXdb8gNF9jsyn
btJyrr0n4leISs0MLXBWxKLtD41P97XvIJTDN5LlsOGR10pnYzDSIqfzln2nuVp/HNJJW9eim76F
SzXJ2LfB/GImw3bpPRR2oBw8C3MwenAPIV29dDcDJ8Mw9wPTenbuikoIad6QJHoobJFo1aT2yhfj
1sV9FD4LoknMV+gCMlSfFiHGlVQBKhX4yQFkBWAacJ5QAPv1XaiRiHYzEiHvum9Desq0cqJmxT3q
vMRzEdRjyoDnbMiKhVA86RtrRUVsRBKOM+iRDBQJWXGSAVwJWwGTNf267+DKRXzA4BBrAR3ggWfA
aI0bIfCklCusAij5NgO9whvbTroVaKEgW+qWvg4gXZS4Fp7XRRIQDGNNtjdUXExWw/4DKBO64pun
apAaQGgar+nSoFIVBgZZVdKtpM3kr3xR7+cJX6wtQIhyeXVXNEeeynKvgOsUoseAjQy3gW6yt3ll
ety5P2cr5dMC9zGdt2sdbkE3409WXn1UIx4ZtxW4twELqRAo50oPhQi4IldRP6Bg+AxXxCg3uO/I
Sh2JNk89xGsjqwPSoPO+PVmu8c8OeCWraPqL0chtIVlZppgJkSVmBZzGLBNxLgE98Umftawwb2gF
ouqwuOcSd7Pv5c5e1iVPMfCmRNUBBbialytGDGGuygJnRzV6iTuQV6SXI9RGPFh86bMIzSDSnCuq
pTHZIxH94O04rteKc1UIP4J37K+NR441iC87sx+yFShwXH3IVsSAfC/R1fdyHWNE5EsVwphKqWpp
GauxPI6YlgOhTJPGBSuTtaDoC/WFhRjTcvqnJvhRE/j/syaA5vl9rLIa/hOcgN/9vSyACrEeZoC9
38EkrzW//ntZ4P4LEQv/N1Jw9Wn+KAuc1fEJfUDOtv8LnIBzsRyIdQhO/IAP/x6cYK/wwS8KBTQT
9Fr4m1gykBP5U1kQNsEStuCXbmpdIH0cy17Yh9o43qGFW1LGJW0e5zLH6oqylaGWTkq/ASuAkpa3
GBLjDOWDQbFbMXOvUfzOGbq/jlMU02tljDwjgrvD09TMlwCls19QPJKZiPoV/TUG1utIY7OW2wvW
lAYiOXCJEHtYaLYoGz4Jy4d4+h4FWCt3pJjcVK7V/MK8zViWDE0cKn3Y3l/mtfZXtTenkDHRD6Ax
8ChAK2/tFTAiIibdYsfzNETe2k9INBZ16CTD2mmA40r8YnqnaPrKtRfxneAr4KAi1mhTKEKCEUZb
7Ilh8H7RySAK+0Jzb8uCbomziWz42vUQaAbu2gdBmtiptTOa1x4Jlsk7BvS8N2ie7LWLws7+pVj7
qsarthUaLWj77cZZey+poYuyvPuWY1xcYtCgdcLHFrH2bNk4fNDMXS4o9d+Kzs+OkJuRxfddjJnK
aQoVxrlzYS0lHpLccbFm/gSM/+00VUfH7zWWANRikGflsMFEgXjxggKLVyA29UzsuEawO2UcK1Ee
LoCu3VZhxBvDUDIY7hsGVjDJamuOB3CvkVQVh6uDtPlsF1na2qo4YhestyychnvX18sTOFGeCBsJ
zUrV9hkUHUD8qaq+CAmiC1o4fcGe2dwp6fS3nLrFnjnSYPZchpV8rsUBCUp0eJbnladsars1QGxO
o1xqzPZp7OzdsMJiSLxZ/b517Svmhzkp51P3aM/44rcZc+mrVYb5p8ewezZr3GUa5jGtkICZG4Cp
ag3F6DUeoySiucjLDHDHDfIzPXI0Cnkaew3WWP14kWvUJltDN4GtgYqtQZxgjeR4yOZ4a0inb2wM
mVhjO8jvIHmeR9Ua6WnXcA9dYz6Lt07tWqM/wRoCEt/zQG5xH5DvASFEhcQaGoJ7pZ9C5Nf3FHRU
xNdwEdQnBBqQNzJr8Ajx5sSsUaR/FvMfizmM6f/e4CUf9f+74Jb/T2Y8fvH3lZz8Cw89WjXn34G6
n1Zybz2PDh2c91u25beVfJ1OZNtA0L7P/bTddezjv6VmnEGNfDTOPoKvT7AL/L00HbaYX9ZxqNbo
MKE14xxz4uGcjV/buyEbS1UvrXvbwnuxq+IU5FVM9Jz+9M3c/tgYfp5ngtO5fnkhfBIXuwXgdnSz
GDyD4RS/vhBGUlSQh6vpFgJWtR+QgPbS73pogYiocPMKcfwABssgbsJ5PPVV9xi4EoFtEL3xhMEO
aSWd6qilHyZ4hjCdZR4gIPvdmsuRL5PCsL2GcdBWq4fOVX3f4QVjt6tvhV2ATQlaRGl7t08Ygswx
gf0Lf5Yd+8bEIeiBGOrikmBuHXxnaCkZ1RuMchqSEcmYRFUGJqL3bLHgHHpjGOFjvnCvFjE6uHtU
kHdWA6nX8i9DYWt0N0UZYaDRHhHny5Q1OdYQ5xG8TY0JeRpT21aaZ9TDFUnpDeYtPYdMfmD45Wve
zF/k2kdB9wUqNhe3Pia30aApNkhI7WiYya3iEldIykdB813BvDyuOT+C2XhvJ15tdGN3WDaQpKmF
6RJrXI1gVLIbZ1henaZZV2+otQwL81xjBkJHkp5Wr2PgPEqVn4Vpxkg4813Qj1tUEzu0ThZoA4yv
mDxSAB/GpAru+vfW3GFg5ICZaUH4Gg5oYYhJxh67lBq9KsINkTCwkrh+5RbNyyfDrL7Ipv7Z0iNY
pRawQw/izwnmiwvd3cxADCfuFJvKqW8RWS83hExbTGY753mWR4PjbcN1YiefKjTJ1NdJ10MRBU8A
LOROtMuckEU9FRTScI74ckSG+l5N497xK51IYn+FvwElc5qf6qLwMVxkuXENcGzFobDJRX5zaveb
O9Ug+TAVUtThHnkNB1jftAUVcm0wiwbzPukpIFDaad1+XcoOs+AUjxsqHgDUlYnXB9VuGskWKETs
kmwD0xdBatxiEBe9iaeO4f1bW4pcbhZmYZge5pViwKhtqgKynCsR3UcYv03sYNo4bFodXmkOde2D
T56d2M7QOHjk22SH+8KHpbOgj8S4q04/VT5ZfejJsZfIL1ZOzjhFUpXunqARcoB0DGuXzPo3YKF3
TmV9sBCXqQfqBSV4JQ806jE1gEefEjFVzt5qfDAUkz4xDOFMLFRYflHB9FW6WJOq0xdaBio1eXfO
CzuLVWeAoq6TC9SpKxH7GtRumoYXDOZBj4P5l7q0MeBBnCuKR5a01S3gNEwktfYLBoCiDuE8XcwM
uEcX3+iEcTvlVBJk1Z07jBLZGjF8VABGYzPCh6fdC2YPIjSy557ETAlrN9PgzZT26+LPVRzUMGbm
+rX27vWkQESMh05gHKsFYLGVsbtBx8pDb0BXRdKJeDsNrVc6HPTJ0uktCcphYztgcnLtvbaeg7ke
YkoyS0rEyrrt6LQ3s5i+SFGCzZi9JwxEY+fOwuiah7U8ypkns51wMU71/1pGf831rKsotovVlIQa
CHQZiPEvapxSinjZTOdb+FhB5G2zg7kX5305RNZb+wwvaw//O8qOgBrHpNyS/f9exlcw64+q/98v
HwbYdwBI+bAnf315mY2+tui43Orgrcv2oQ1bz7xaoon+/uu4MFkDx11H99lrAvwn0TEcsGcVmCBx
6xQnTG/DwMaPMN8jfPx/vM6vu9+Pz4PvE3ugg2GACJL8+jo9JBp/dLh9S/2jpMgUomn3nv/3Z/lu
1v75S/v5w/zpRUZu28pF2vBWb9QTkiip3tnfMAQVUZ9zg3ssupMpqK6Nu3u8sKSOLvpcbJ5UmqXX
8jBFOxT3pyHBP0zEBv9Ln/73+3PXL/PP72/N0eO0AAKo/Xtk9qcvu8YULNDBtnML9O2SXe3UPjvP
+QGDoyBmJHN0+OJsTXzpN9PO9+PmCF76CiZog4ToP07BD2phfU7/eyF5fpNF+1eXYP2l34tIzF3w
YGTjXOu15Ft/9LscQBA3xIlKiPOEGBj3J14B1xXjv1HcAWhYByX8wSuw9XTMEFEKHNGCC/93XAJU
rL/cQ76NNwZwlK7TLddRcH+ecQlt06fUgj5IGv7UE6SRakypi9quB9a5IAXV062DPJc/Y9SzCZ8w
yzqP7NGIpAnpQ8m8MxHDvinLtNcswxjGoGnDtFh7snrtzgTatNxCRG8AOhAig1da7xjjBeWsdYjm
xyDTqOP81s4iWgflTg0YK9sgEnC1W1Q4YqT3U4VsN9PzTejXgCRbknQc8497Ix7m2XpCpOiRCH+M
bHeBOiqnPbXmG16wgxOAEeTqq1yQl67aKcpL+64r3duQYS6tVi0MDIh22VCddYfabMzaz1mC6eau
s0EgKU9c2ZDUd83N/2fvPLYcN9Kt+yr/C0ALLmCmJGgzk8n0ZoKVFt7bwNPfHdUqdal19d/Vc000
URUrkwQjPnPOPlBu3po8nQOBGiOQVfwJ1m0Jej3sQON6m0jvIfxWmPiYcrthTQ8rD9Ncaet4ii4M
Vv4W8whOrItlcNe6wTh4LGLF/B0v2rF+inX/RbNdJgE5Tqaq2/SieMwSMHdtujz07bQdB6M+GeG0
Kerqm1MrGNvk1h9qhYgoLuuoOBiFfMy64UKrxm+9FbjQNelSzVjsTJMRkDsUQmYx2b7ptHptxVDM
ZMW+HsnWGsigd23KWq4X2WRrRr35Kmak2vvMo6tUT1aFLjXIU/CYSjT5mLzdj1hGIMoMuetDFGTd
bKC/Nw++Y+2Hob0O87YEFJnIq7hpm5q73xmKXS9yyh2Rgxvr23XXCUhRELCtCoFLXI7oQcP3jE11
ls8ag5w5SMv5LXLQvfKamIcUPAN56hSPDg2D9qa3UYqTowe3nllro/O/ZJZ5V0j6Wevr3bA1h9i5
zCdrX1NB3MUYzU5mX1QXhhmpnb2fBks77Flv0247MKfz0Q28ojB2pZb0bCka5zQk3g5x3UFrukdd
iL0+mI/T2BsIWjo96DvTOFm1mV7WJZbSCKjsJhbFsgrHlIpnVowycOTgQgz9VM8WmgWzcvdJNu58
Fg1yio5FhnFmbsw3NoMiwMiWXLsWx7gv7K30iu3Qd2hUQOitxVS+y67ammPyXFHfI+CDxRfzeaaI
gK5tG8Xq/H8hT/9y2eo2pw0aB7xRro9a6s+XbW3NY8bG27jOC/i2n9SoU/F/1Cf/yz/BitKxQNty
Epo/ppa/XGWyjuYuTRwsU937kJ1lfV/6/0yu/3VHqSLr7++oTf7/gqrFF//Xe0r9xZ/3FPgPMD84
zy2b7u7PY2vjN0CVOhwPYGPMjf/tPLD835TIDdyQCd2MYQj/6+c95f1GzWszucbpzCL0v9tmY8//
z3vK43W4DNHVUe/xun9+BpsonIVmjPji7epxUsbYEYesxnhm5aZde4Yjin2Whu5Z2HXPNydvVr2r
ueg3UP532lgelwjHANjklnbMfmJt5QYtNqh1zeW8XWxE9oUi/tG4t+veHqpNE/rjulGG3xTnL6RE
RtmzFzPCdh983MF0PuXWWXB8uziHKVqjfYuXuE/mp3DCyTOm9V1bxTiytcTfG3r0UeJEni39AgX5
qdLRN2EzM9ASpcZWCuSCNU7mfEp2UlmbKzzObDxfwt489k7dQWIc7vQxyrdRA+VymDDGIqt/dxiP
73tln26hPm5R2305lfMFHjsNEJajUMJ17c/Wc2lW5bEe8gpWj/dmjvENR3x14Mf88MviOhNokK3R
XWuxU1WPM+6qDRfNLjOAaggIGuiEt1GFnjZkO7eI4svJjc2saBtVXu9s+BtuO91OThbtmXV72M8E
2MVpWYI00ZzNoM3XLsqdVQLTI4HtMSrIB+dBhTAeKVKpECApLJB8nA6W07/CGQS0ZoELGVgeLAog
4unykTyGyTvPHQPbup8XVNC0bf4lh+D3MsQC9+6Ybrp0AMw5o7W2l3zeFQmagiZJ/UPdyPjGyswH
FMHYqKGH7k0vRoGZWS+L7q7qAt3QcD84eXTC4lcfF71oocZp2b4W1WaihDDYpdIIe+yGWaqvMj15
VMt2xO2Dt7I0FnxWBFy2dmrqhQooLlEL5ygNKXE6DGuOfg9hllVpCnxgYHiXO0d7KHmLWWKE6fxU
i+TT5VIPtRT/tNE0WER6iPva8GYXHStV23rRzPyVERCEmcjdSd+u2MGke1NnVe9WXTAPy1YzrRL8
gbeVZRbMqUvxlV06oQuZGEY4ROS7Yim/9bzyUFx6BC0IiU48iwBza+mH4WjPAv2cjOfbPO4v5ajd
o+B47WnpGGT5q2bQLpq5PelW+DCX6YWcCj6t0HyMCiyCcRveQ8S96FPeodqM7K1VM1vJPP9UmvZL
6E4Pjm6gpIryFD88Yx8IqO9o6W6nNj1Fdbs1Q4WOcMfrybBvCQkpV0WY3LSdcQCBtrY97xgBbRic
6aLWxHsk+0c1UotKgQdGUP8te4uImFrHZZ918lkMnrdLI43gmQRhN8ccd3WjsUmSCPVDqK5EpbTP
bVccLX+8yizzEOvL41BiKhnBJqIcmw51KxSrWdlrtPwWD8o78F8E61nerhbH2ylM4AZVubcJe4o4
9mvFFs7efrERe6R1kcLerNdzh63fpIpRJy6nlFFtMns8VwNTMhP913YY5U2kAzQw8FjqvAWcSTeW
dK7Swf/gnlb+RufBdCi+7SZFG4dnYpQ1uxd1xLXxArtHvzP9cpu7xEOYdVesOgxPviHyfYFGwch7
NCdFTxoNz9uwRHeGbr+7Bbr4yPSuIKeFuyjStC0z5lvK6BazT2ZAzXTfTZCsG6PMIf849UZawFOL
xLSVoXSboctv+yW8S5slJYvGuC+TsYSW5CYfdaydHPCPG4hf4IWSJ0q469aP94XwvhfGNJseGQ6G
Fx0DUkOFmXRCw5DcLcVTgbMrulrMSK56Z6w2LFkvhNfe+8qn3yrHPuDs12pJfOQvowUfbnkORxz7
7ti9O73WrJehPdtJfopBAVggAWbQAIZiBFhle8xRUWaRnW+GXtyABLgafMi4jiIMpKAGPJADusYa
rVUUAjEhGkKCcW8BKEhCdqcAC1JFLsiQl/PTLM++gho08rEQ0009pWeeB94E8AcFGIRFsG7rlXVq
1MsdSqyBIVt/VwJPMJzuCMj5wtbnh9JkJ2qLswNsofbtkhUh32rFYXBzh9GhYjP4DtumRPEaSh2m
A2dsMCX1vgTp0Cq2gwvkIUodQE2K+yAUAQIMBCyIOj0sig6hZUBXf/AiFDkCe515wBSTBL7iSlQW
hIlMJ5MHpJuximZG2YpD8aMY+YdUpFOh/H1VtsVJ878FiKm/9UdJBkHN0eGqUZThXLCp1v4YHSgX
hAfGSHd0/oQKzvipJHAxQQgcEMaPFdOPau1nSSYAPaIsdIVLgc3w7L8yg7p/xRz4anQBLck1BNMn
ix/i11lfVmCVm4kFO2HzPkZ9M5ZX/WRKZ50WY10DSk6GZedNXQf2uojmx8pXjMLKR5jMtRCTMtPd
QXqWQdyV2Xrqhx072IBZMdNzvTRZnObOqvLTd6ASCV9UkWyk1oF3BcKKHbZnlq+9VFNxi/nzaRoq
I7vpcV/eYczb+2S7lG6IB4hvcqQn2ikLS28iO6zBaKhFL7Lu43MYxolzjnPpnkXpsRCwQQFYKwc5
YhWIsNDLewfc+DbknJo2NLhhD7u+i5PHgYsYlHs2PWWmH2N1zap9Eqep5Apur+BSH6dB3IrIlriX
ykd9ye8HG/9WFdcfptI3OvGAPACqZdunnGfWe6z4vK1mn5zBRLI4Pw5xItYWBaE2aoFWcAREStZn
17WBuB0gUFe69saw4ydUZB67jAyhlbjLvOk6TUnMkFryafrufTHYX7rNVKXDELASXn/jWhl3H7K6
/cTrE95WZ68SyfUqm5K9vrBHaNQ6qMi9+yY3zG1VZkyEYL+v5tTcx8DlynFsg2JKDlZMry4KHLaQ
mZdVp2flxkwbMOK6PNIU34QmWvjFipn32Oa+yliGmB5pSL6czYMcDRZZg/6pV37gDV0BV12ESOa6
HVOktyiuLsgxvugsAA+Jh4/PWvw7N8TO5oNDnkPtU/jLNtfnAwS7U9TieMTJG9Tt4uyLUi35w/q7
r9geOMnEBEErPqbYn9EalM880uTW+aO7d1Tpz+N1YxM8tuq96tQLOnd7Cc+A4m8EcU6rKDZuw1pj
rsqNimi+FWu8uZ1y+waxqJ6H1GxXVdQfez7BnrEDPM1kNwuUso7eVJultA8FI6y5EU9G15/8PrlP
e0IqEr17LKL4VnGjEeMNJB852oFD21qNcXsr3fAeK+LN0gx8RQwEGbA+o5WfJDIw2vBMPN1e5qGG
UEX7aBstDnS7znZScEkthp+j8kWUEokO4YpuB2Cyl2NVu9cppPNt5QmGVkNprXEOkKtnT5eoTj/h
kh6TwQNZ2CVXTlqjZ9HdC0iexk73QR9LKCMGX4DANtK3Vq+nrfT7a7+1n0ct1td81clnkwV2lwGt
vRwWgkOq22Gp1/3gQtfAEOWqoCUw1GjWsvHBVCFMms3TGaqSriOhKZfmwuXoPotJ3DExmA+jinPK
W/NAm2jhjvAu4xErswO5Z62rGKipSa8TcqEc8qEKcqKimGd7wkBFoZ1h6vDPpgqVclS81FSjy2dD
J1cN2VOTCqHSSaMKSaXSrfyDacihmSzu+ainn9DML5skq05FWhVF8ViokCuTtCspe2OXkH9VkYOF
W0YKJP9MHO2ja8/OjZV66PwTUhEJ9WjerYnZlSkg/im22ECOmKPN/WbJ6K7G5b21zJfG8629rwOx
qH33vAxjSfBijPy0xYqMDr1cQaz9AE/UHXS3v4vLHq9ired7qVeSNKAs5ay1XmvHvusLMO4T8OYt
QSRT0A6sOdO6LqFV6acRReyGzePXuEiGsoLKMjVx8oQMprKs9KFd2jnWjAaGiE7HhuP4g/VvwYAN
3KMeTuKUzAKzStfMrOXNOLDM5nYqKWCkhw7aACGeJeXM55QA5LJkkIhUBjKN66vCnQ6yCF+LcoZd
o9nFxnTxN88WT2vdph+OW9KFEXG3EWW4jWxL7p2ybQ5VbW8zRNNB7Dr51vNo/DgPCc5Lm9fWEzDw
Ndyi4a6iZL+JNUIaRJX4QKAmfcWa29/OWgk/BbjejVOa9dZtjAMJAJdovlB6F6m3o08GGoeHj3hG
KY84yj4zWGnbuO6to1lbiLLRuELMiMp9XJbLw0LwY2BPUtsKNO2Y4vhcsXVxIvbjAXK8iqD0AJYI
4OW5fwz95UJLlgIvFP1NmC03EL8D8AR3nuY6l0tHpxcPKMip/8/1EN/jlJJciEa+rS3qsCHW2nVq
9R9OgyKvgAG9mz1EFtJAMgcjjDizPD73CZqQcNGDrErGXV0vF4CHLqHMBcBTziMyro2VNjoMHtrt
xG1Pvkg/PET/RMMxkHB92lSirUD0CZBentwgbGI1ujRoIPTp0RiytyrTznmb3GUg5dZM85xN2hrO
qrXrrxyuS1ToNgZAGypRYvOSeN2DKddfahIvVuOQnEJ/QJBOmmYwNW24rsLsovSgHKVzGj02pI2i
YX1xaKZWJl9dAjW+gQO8CEsDe9qf6h8b+774CIXpb8hyyEhgyB+HykOPkrCPNzXtZtFrPdDy5MpA
Ngf+IbvIkfytbe5UoY0cYIbxNXvd3h3CSy+UxY5B9RHfPc7DTFulonwqZHuaSyJMHVkUjOFtsjfb
Y9MZF0yvP7Xa+56wYa0cJijkw+zDLv1CoLLthqrfdWRPdDX/d6q0Rz3VCaa5KHB4tYOLPjt784f0
HWD9uh5RVKatewDvoJ4ajwxVpz0uHZGHbsbHU9Cpp4x+5oXnOQlN2mLT/rJ0SGhIde6SNOIPc4CP
Bb7llvWIDVQU54OX7KjcXqnADskMI5tKB12Fc1xEVayHOrl2Gm8V+tOTYfHi9VyhwkwvMqZWO6vo
P2ycHBEBlOsarbTuFujFy0f2NSw7ymgnYnIopWedUD88tNNEO9oBPdXq5lwn/iWobJQ++BgGDUYR
IZl452yiVquZvtRMN44xFeSo1cirQdNuAVsw+1kQoWAzuSvGhl/NKwFTUXeyDklQOVqqemiJUYyP
k0y/Y0Mk22jyrjEe7qpl15FraHq7VpaBMV96WnaPbwpZkk0KEFKtHVZQWI6ESoLdfrc8ZZ+M3j0n
ubRNdgpaqMd8WM0buEEVTTERolDrY3vB1+c+kozV6N8ejdpFXs9+pms33h6n696EpjH2WRB6Vn2D
L7IA+lcmDgJ3WxjaUzxWlb6G8ti1R3QpU8Hcaxq9cVvloyZvJJ9OqYtEC+wQhUO0uJguPT87VhAX
V3NGTAw9527xIxr6ihRVNwUPlpGFmdhVYBfZEBCz+IxffdmU3tjQ/0cGKQ8piVfl3WQ78xbFwTcZ
cE+EYopVQeGlhWw0fOEfYtd+g29+nhMybGIXFlac9AWpdnxDssxGrzqNJC4yGOE6kdSFOhdbx5XG
56c+O2rzwQdL5ceXTQs2OK/tYO7d09gn1/7gXirtMT619M3wZdD59iV4dqqbqn7nboGhkufrrPQe
uiSxj/2gfy04P3dLquOYGb29PQ5nPEXA2lUkFa3EirpmCpyw/GynAt9hrK1BiSzbpnMu7YbMqGwk
Pxr7jyiqac+5e+lPSHmk4LKD0LEfRr7Rqck/KFrW+HberToDaVEHOAWSya42qXZ9I3vNmmRtx9dZ
jSZYyBWpGAfRwu3wvfGkIQ5lRNlfFyL9hAbDWt/ARCWTUxXpJwFkOC/Hk21eO4zqyNEI2laLjqNe
PZFDdOjj5KV3+4far5CyLPqGNIjZce9Q7qype0+yMV8TnJ9+p3EyFtFhke5ySIf8lR/wIVatvUst
uIn7GtVtob3aRTU+FQsrrKpJL2aSUoJuJN1JFsvVNEpMLI7xXI862prsZprKt6z2MGZhZi2k/5KL
6jKx4qeCMLJ/Gvp/rVlUSvffN/Qvw/vbXzcs6u/8bOdN6MKI+dBrsnJXzoBf2nnjN4dWH2wB6ZXe
D1Pgz3aepHDLRz5AQjd/xFX6gZ/tPOx1sl8QZ/6rmWf58hOM/Luu8/+bB66I8b+oSZQSgDGDgaaA
HR8zxP/c8uV92wMwmvVrQsKeQ78UOyeztAugLnhtqFhuBMuC/YAwjnM/7LZVlRjrnlq3VVDPqZyb
VULU3GXb4pq1PfiC3eTsRnYWuTfXV+2icd3pNg3WB6o26o+C76qDhX1xpoMferjJuLLrJNoNXZiv
OCiKtTvZD1PZ7u0kLu+bKMLdXtcfDh60aqgfOHrqtV0gbnSi5iOXXANVR5/cTNOeOw0PHxbm8ka3
vJ2R2vZZs5yL0JkA0E3o3opJCwPNQKma5w1kuP7NHaKPsOB+MGWpbyJZNwev9NkbVNotPr/8rMJu
qLtissCsVi0aXDcI2VquIxjFQETkOZ7hs7S+9dklzk0smpPXoxit4+w5Ma37vvIRdqbmFwrXeQO0
/aEdy03SdIeB7DFUrcY+bPxP0kQB2sekD/vzDRlwV51jvhRldJEu/r2RchOJhXlja+r3tZsy/ORD
6ClS1znkH1CM4k0OHUsvt3v2JvwNXa1IAoLpoK2fvdw2gphJeuKrM76YvOkoJTJazMXIBqAAOuXJ
I7dqhHV0sNLudnCYzs+Ca2lpC1peB3I7o5cV/uXAXRDYNpo2cDYSmdlSaeddht+zLWD2AJjyFWoq
RxewGp30ANXJv4rgUZkNYUK+oixpQ0armogPX+GrGml+55WQFJM/4Fap6Z/yGOBVWXLikv0VBb0o
MhLZ2MxEMCNihcrSYWZNCp4FWk1fRbL6LhRYqzOq49CaJy4e0r6sBfhWYlOTKyCXIbQd2a32eoTV
5cDsgudE6uHgrxszRrmvIMhdxJubo/rk1l8e3USC5qzeoekjJLTso11qN4bihMVyM8TzjmQpD5MX
QGAdGsbBgS5GYtNx7sXGhjomjezatqD/+rnvrIiwfNIhlIkCl22voGUx9DJSOQQ/tnkZ1oDNNG8Y
Vk2j7GG6fltAP0OfvGuy9DaBisaU6mXS23ehcGlGBmJBQlDzWiqD1pmYRkBXE6QRYFvTjuCt7J2j
EGxc3PhogYTojfFB08DsCl5bbZn4Iox6W3cMwKqe+0vO4yGjj1iPpY5JlZwk3uuNStdelw5Llcqs
n/ExXPksOhyPUXlsdSsP+kKvT1sIXNyC+USOlltV6ywdLmaZkbvl59m6lOKzn8TV1MAWLkhxbMLW
hIlWEKxrKmhY9+qlzUVRlA9GtjwaWnfDz5evFqzz/uTDDikx2JpDEC3jRHY4iSsNvsZh0W8733qV
vV9fR7aCbc7afCT5STsA4W8BmSaXY9bc4Q/6iuvs1nNKQYVrF+wyLFrq0OVVljYW+4LJWhsCd0gt
LT8UBUHcOp2AR2bpumElgR2IFGCuYH0lPcZRSMCv06qjZZ6qHHRSnq3mCLiWqevAI/QPMlvTfyR3
v8sZuOL+/p7d5V/l/yK5U+K5Xy5aRGu2YiVCAP4xAf9jbm6SV0IyErQfIcABYc7490XL4AjA508t
w799G6gcUOnxWvwHtamy8/8XFy036n9etEoNqDu8puchuOPl/jQ3JyrNNefB869NkDIUmsZS43xT
yFdLK2NzI2KiuF7ZDbY3OOcAxBaKFbsAjXVS/7It/YyHNnvPWOhJmvLR7KOttOGCrGornxUedzmU
s9VshtG/YRz8rcK81iBaaTvNnQZMK+oSZoLNTgey5ZX0cbW215L8XbTQ3dy0uozS6SZTfC6nbwPm
qntqkL3OWBkM3bSG8YbyCLgX/pSTyaQhQULGqA3+16DLvVREsFIz3lMQYTOs9EPruc8gzg5LO33Q
d1wB7M2FwtQ5L0pf1ivmGMv1r1Z6QaZoZCmGProOCGULS0jk4Vxro7FvgJghRRpZFsA1ozppIRzD
OuOG57fFnRh01fLEZP6KLxyxr4qT1ipimsnoPbY5Wqwh2raKqma0kbtJAa15ANfQgoxBoxhsRDq9
FEDZMBoyXauuiarDq1KEYlsoghvEysOkmG5giZi2oLQP9MkeIa7Bfqt/YFYI9VyjuERKL28KkR06
QAIICtNPWYzeSlc0OWJXETGgTrci+QbyGVK9YXz3pnY0QNFhWLtMFZsuVJS68Qevbhqmy0ox7KSi
2c1g7RbwdoVWTs98nhe9eF0K0ugIpMEQDRYt5RYP7ybFyWshR3cBgvQmvtTMcqBdTLIoWhFiV8XY
lrl7mtMMCOmQd55NZzXGu8TzsCdAk/avTCi0Rzerxh03YnXgfan1ja2TIkA6i38XQojzkYwaM2VX
xdh9FNLesSa38yAf5mhnoJVEH1O25qWb58OTVznenmpJf/5xCvyzR1Sq778/Dk9f49tfU+FQXv0i
7VKJJ7qFIB/H2e/k2D/OQ+M3OA1Kw6XORMizv56HAp8amjDTVOmYBqfUz8YD1ZeOrAspIEeYYf53
yDQFc/vPvsPG88zcwUEoxk/x5+MwHIChijCR10l5tiRYM6ClRB32/sO8mNNKl9g2fbO89Jb8FlAT
xLOcYGJtYa4fA+2UzNdBN/jgcPxrS7cq1CTOux9nV/ngPy5L88Dc/Xvge99o7IcS333Ja/ABHkX1
2piIITWLy4pF2HpEMoA+zDpNehOvc4deBYPVoxM5y9aqnILqr1mboMspfcRzlruPkVzetdAr12Hm
76dmeMiS/tz69olYdrUs8e7IMX6oqhl5/tgz2lFzKK27MLwU4xRq12Ku+J3RR3mgHb3hMHjxFtd2
qAaQ2zLWnhjVrTFVrJh0nnLSnRe1JipdJgFh2RmbBRBomjTbxsu9gITSlWEbn5WfXJOm4rAvbOTd
ohVBMqJfMeoO6srsrEQKg4koJWbVpZZufE28FEtmbpwpdDdzoudHl8F50EyUlBoYTyo4Bc8cg5z2
LvClvfImsiMtY7hzJHuEpRWPBHsgG46S1r7zaaN6hVaqOMNmp+uWB2Oa0IOMHqufQCBwUbkz/ch4
VSJPwPgX5XYQVgz0Gyo0z2F30Mmdns8wfEd0Yx3HVRpFu1m3x7W74FUKhfFgu/W4plD7qlNxleud
D6BiecVyGyOz4sGJw+GBcOPXJP9qQ3FsMP1RCnfkp1CLtm6K9KXcI0/XNnFWo6NyEcnpTEczaV1g
iX6SNjdvzWysEPKtwU39wM73NirsWwPGJxukwwBGak7TcJ8IOB5aEu5BvIOQaKwLOUCz8LXaPUhN
UlQW3qM2tt7KabTt5JtMm7kMyOtYeeF0WHyR0RAAkbCjMvBHYLMj6eEJoMCV7i7n0gy31gD6QkPv
0bbD45LnT7kwv5lnFlBlmmfdqy7LMHuQbvwSFe2ZeVCynntvn5Vka7QlmWhVvA8Rga1zFi7l3B+L
weVpTpfnkasWkdlbLxPS08wLP02gZdYvrEx7YG4Tszqd0VfeqhV2+xB3zALrAcaI7mYXGQusekG5
2Lsvjc/6tB2cq7Z2b6Gl7VCGPRlSm3e4s9fFMLyyJblF/L918WFZiLTmWkdH5izmZeqhg2mckntt
PJlWtM3KzwxdOF5LtHxqq5OoNY7qXekOzwkyaQ9OBvU2/W1Po7uojjd0zDf4wiXjwaxf67TFBjz9
Feyde0d1zHMFmt1q3fuSZtpr9JfFi69I9rixTG1nqK7bp/1m778vfDSBjtscWHrxAIb3ebrQsdO6
i5SchmQ07nmMn13V3dMU4h51bug94MrIdgMb6VyFLJyLzrDXYWS6NNylWOVqcuCpGYLI5vwM+PE2
yzhXYjVpCMdY3zClnbal47/PjCMyxhKhmk8AawkD1ljMLGTjb9pUXIAos89E2+4Y0jLiCMcmvatL
g9Ugs3IA1pCvq0trid6N0jgOEPPhLvvaps9MQGZRykiABbrMvXLrZ/0XG+FlM7hxFrRZDdO5Z+9X
9z7vgO+SCCPydh3a7eVioOczDZbDxiGO+9sWSyyWWVrdxT5h77uoCn7LJGsCxBX0nYtmBzKKgjQu
hrXn2sE/Vz4XNe5ARnN/f+XvhwJ49Gf/12mj+nt/NEHWb0ocxH2PqhuXENf3H5e+TRKKMAT/kvU7
QvX3JgiHuko/E7oHLhVKCFf7z0vfVkWEYWJl+kNy9F80Qf+p5rY9jE8+U0Pya0lhU1PNX6VD/QAA
2K3EdB70I/6NVN5W3e6XN+X3AeevxvV/OeD/bI9jpklL53BqqdRIZX36xVNgINlL06yrz9aET7xb
2aLDGRpbZmmdY50bS/mY5+xmgaHpneI4dp9pCszsxtOFXMeQXE2AFPW6I+a8iQlRDnPGHwlEQYNd
+2LBcMzPodCCvNIOsvMhG1d3vY5JVsZczY17OyfdngBWvuEFGe1JbwTCbo6ELV9rXvaey+xNgz0+
1PUBBvMzsmU2ZUl8HfXdxjPzgxsTkW3M7TdrQ0KxkynIaVJ2SQOtUsOjuiKke9+MXFGDmz6QbdVY
3Zpf7zly9IPuY9+1jPpIbuRX3vFlDmcbvXPxFdYgjryiJqtNnyGmd+2WxI7LsAeE6pVK5ziZ9GOu
/j535RHvSoFupLwfjegYmuZDO1PQm0n/lBWyW8dy+ugc+yjtttw2aX1VxjMzmQbrlUhCsQ6r9g4T
HfJemzSzSFpXRYQCv++sm3witWQZh2cttcCEkBpOyw6p3Oy/U5fETQ+fDHS5CsKBfeFOrY24E/Rs
njXp3tGB0rOWj9ZzOjBCrU3EsqOXrex6eTKKCmESl2c1aLdi0lAOm/n9VPhqkJ29aE1rr8ypPviw
bE55PxnM3rIjtyuRdEZjrwwvuoz6Dyuttj6wmqSYQE/ODcvPvHwKF4aGYeOh5YiMY+uBruxHd7e4
4qNOlDNJtheDa394XREHXpp8ewWbqcj2lqDp/Xuk+992Mq31JvlKGvQ3RpfuY5M4N4PpYRUV59Hs
3o001detjeIKpMEBxxRim7HfJp7S/Vs4le2unza2pvtY54YzetWHMRqAoOc9QSBxq2Rhd9HcN0Hl
MjQvQ1TJNqzqkaaXmThzKi+9M4koQenLttEfnzKdZVgine809V+FkSkIFt5qi1E/ycNU02XBLRCl
Cc4xoT9EJKyXtqhJdbOuo5w5eFzFEw/r/DqmTL9qquGNN/F+uO7ykjkhPnta9jEtv2xjcrZjqz9k
Uc4KEK7WrKlw5KhHGqJ995r3AkMfqWoWr13LQPA3h2io4cc7lQlkTmaH+odDe7LbJsTWhRoM1ENz
L6IJ05WT8ZQzZXzI2LccxDKnZ8ea7pvGpO2sv+BlHhJ1yeVV/Wn0DSUL+g+UvwhVsokUpDZJn2y7
B2Ae5izjH3EzzjsZy/SywN2VaNptO6QsBaY0b6CkF0QKjewjNBdLZOvX1brLhVihllhHVo373bqy
SXBi/EJKKZj6mu+mIrCdusp9jj3xlegsTjjWGgRnxrbIazIo5AXd2ps2DxdTn4C3G16iwWYKvFi3
bWlsgMLdVgZYUkO7BScfOFr0aGbOS+cJRJP6hT9FZyzTZ0nY6NL12wXtGNFln+xBcfW5aZB1uMag
pK8zYG1u13LHI6Bp6/HkEknTNhk4aVwbCBCnVeWzAU89DRmUdi379rFI/GwTmt1XRyCd2cxPWvcl
Bp7E0XG3lk08wzospxwbRTgxt0oHqWkbfZTuoxuN865pmPWmEWw+4dV9fcos67mobLhvC6luYxmB
JUo5t1ZZZddyVZDPsetl1a69nFGMZ2GLbLpt20/P05Q/EhD+gj/DutEHsZy58JptmzdvjUmF0lqf
c+hdN4s8MXKPFKAfdw9ymiDBqwpkNU+2xVL49wyA5VVUxHdJFL0j5NPWUzbkFy07WOZLPcb88n/Y
O7Ptto11677KeQFkoC0ULg9JsBXVy5J8gyHJEvq+LTz9mXC288ve2dkj/3VykxEpNGmSKFR9a625
sHDZXfRcsE/Uxug+jjkSeZZ27If2qTfKGQePlW+DBbZQ8fpWQ8y9Z+2lrAGU/4pN21fzldZJ7V4k
uKEUKGY/XIQzrvL2MfDafmN3LqDpopebOus2thiG/WB04w7TR0lpWKl2Y6FHDHio6Qo79ve4W5z9
CNFqz/jqGsTUbWtHi+67S4ZlJqUFVDFiz5yFcc907akxprvQacTBs/unkkk1x405uPzr2+7Pp3m2
DqYOfwIonWA24MI6/fmmK7K+AjFT99elBFBnXCXyXvCqHQaEyX8L6P+8i1iei+EuUqqB2uLia14G
rZ9u8G1bTp05tuO15DicfqnVNtK+/PVf5789xfL7T09BC1uWjX02XldcmHSCrqLhq13d/X88Celr
5ixkXsxl1/X5SdoIIlhSjOO11dzX5cWk0VR4+Oun+PePhbfq01Mw6Pn8FB3mqNCwp/HaZiZRb+ec
Y9t4Vbgvifovz4SM/Wmc868P5dMz/TLOyaLByQX0yetazSujwAVqHvscT4I/5MeZWOxf/8WWF/7z
Js+QHkx/GLyWRbHf8nI+fUCcZaa56YyRoeeTwQDEFfdhdFL5P+PFfwEOuGj+81njFBdh+ycHDR70
46BBcHThG9DwTosCEAN+9cdBQ//NMiBhcXUKZA6+1j/EFkHpAv+4OCFobDA/QbIshwJHLBCuiULj
kjf9W2KLuyw3/+/rganBs8gyQlHQKWUgQ/HrGSCwOig7rnMJjdRqHvDq0ymIAJmjgVPcRzwUjSCm
QyW14O6JCU1kzG50zaJhycpyDIxTF687Vw/wJknRwh4tm3mj3IHoXe+0xL3aNjjSX4QLrszKOb0p
SSNQLn5LTOvrNJr0vVvWpRJFvbGXCMPsTtjJ6+i1dBm/m0vQgfNRBOBWY2JDWVGRMHIyU7UZyUdE
RvBUfU9M0DyMGTT7nqRIwYSu8yVeMTic2Cly4E8V67JXXXG2NUXBCmHA2I4DUnTZCKQWhFZQDNUr
A5+vIXhykH55wEiw2LYTu9EyT/Z1ou3jmP3Q1BSvutUku4zYGwy7/CEOtTfzXBXqXMLAn0irsBWe
2VRkwb1Ry5u81H1PDbtkvjE68TAO7aOQEFix7Xrn79+/f+b8BoyP/3whHvLqvYlfsj+5FnncH9ci
J/sFL0SO77u6+elaNMRvBiQ7l7vyd7o4j/pxMTIp4CLR+ZbxQJfx8h+Hfsv8TZDgZjSDagok5O8l
hkgg/XI1AqqxIZwy48DMxO2I1/d5sXYBQRSTVqvzZJFi2RopRa7nysVS8KHPc+Fw5qGGmm22ReJg
3pciTceCc2vCVkLY6W1g4gOUxAT3jTG4irYG8y0E2LguveAFyNxdGqQ5czVGwPUszK3lGCAebL09
l0J8RJVk65vDzjQKmsewd1Ny2UKK7sToAiM2nAumiPlBK7KOczc+eAoJBKmgJAmby4rqWLZ13gXZ
jPRE9K7YtNWoto3DsbKrmVVmANzW8OJIm5CMurQHdUwd5tllF5zyOEu3qebhGkTYlRxycdFAJ1Pb
yXOjZXSPY4/DFkYOt9rUE1tT9AB4Yrb2nLGNqsRUHN2ovzdEpHPqwAOK17Rah57SLptEvI0FO+66
dI0d9NCPOUm+Yigl9mkPRn5gsB9cVHaiHvBRBwQfIkw4FmpelLx34Ww+c/4kY0LqaTtgW9m4bUZe
lckiNZ5e4Z3IvxrIA7p2tKtJv3DiotvFkQl2iHHvReO6NxJm9R0jCaoS1L1WYQgr7YIJsCxvXIGB
Bf4dwHYWac6JjFPmFG+vrY/owyrVLoyoJ96scF48D1VImEe30lMXKKPb0WumOK/OTSOaq4jPbqBy
Lz4rg8PzSguNIKzJQ+ujt5aeRjWn9GoSTaiWzqHqlEkdSJ/FB6xF8xGvlXcVk5OtV+UsMd3SaG0F
Vx7+W/yvlMkMhpdemESRjDCf7+yBDfPmn9Xr+8jS+cvV654JT9ypf1+8lof9WLzMhY7M/heWJX0F
YtnJ/bGRsH4TJpArhpaftxGMK7FEeq4LnsJi98fy9GNciWeDnwPiZFWjk2kBKv+NcSX1zb+sXKxb
9NOw0fT4Fy/ll5VLK/JJ1HWbXxdGZdvn1uypalF9rOeQANRIWHeaBiQdSj3e6iH/OpdztCNwcgf5
Bee9+6oGKIJVDyECD1ZdwbXspJPRyuJe6p1RcxqlZqesGNEx7Bg2Tqg4XFcCGmwVwqcMYPIMESWE
QXnVqu6bJojwOd74za60kgpyXMQezgIiEKcJ4MHK8pLz4sdv9JKZQGTNjP3FgNOC33Gh0f2yGAj7
5nXAEj7nKXKbKV+1ydhGY2fAfg73rttdFnOK+zuNgpVTj8+j1B6yTmXrJDXuLKd7CjkH7oAp4a+0
LHEVxmrJZnsdO6OUGZQKX5j+UL3soBPg+bihEvKqxLENvs+8g+u2xF3im8nUj7nuvNtdvsNe8tLa
8ck2oQE25O0maZ4ar+P/9va53jz1Vnwop55+lTR8Klvx5JEPHUsWSuut9by3xmyvmjl+dMrpLbVl
vjFpt9jgF7rWeLGrholpjp16lXSMBWcgm1uVxnck+S/7SrucrTpYQzsyYTqiLTu1zA8JIyjC06QJ
Rx0PqTNmJ3quwxUwBBfkvHFKIhHuEq0X2zrMgB31uLvb6UG02tEk37JCQznKkoYD3cuvKmV7a5xw
8tBUhblTHPAlvm02mn0EOT6TMDejZpPoVHOLIWAm2ptAtzN+6ypz39C8HUh3m8X9tdB76NIFtDfN
q3cNjRgTs3bUn/RgOmBZp46koD3O8Ef0Bma+06wbExARF1qwHqnH5jzK2HtmANc1r4nW3EKyvh5D
/RAmLm2pZrKzk/Ihh1XvLf6OdBYPHR0deh5+aaE6Ct1kgjQzpHV6sTTXeNFW9vMTgawKjEB1DNzq
Uev7dpO144PmUeLEQzN/zrTat4b0Tmmm8kEgMLo1sGy2Wr6Oy+psK+8qtcGMdWREV7IcL/ppGP1J
TuWVO+Yh10ojN0kZm7/r7h0uyZS+jZcuAJOst1VAkqRdRqfJY5+Sl48frI5pufRi1+dao8xhQI/C
jr8rWqqcnLGp9pNB7YVV6idVjWecnfMmT6gYxX50w1w+8lVRzxvXzC8ZWBaI+Gy3Y4s69imcD8FU
vqTTEqmy9DvbOmrqI9UX/2PY3JagNi01JRw3XF/CrsGM8YECBDPdtT+aWX/2Wu+CQ8dlBZBjAfCs
nFaLfAF3Y6Xy+jbq25fMXsJu6iDL+Wj35OS4M+FznYCIoAOuG6k+zLb5SufhaSy7m6zSzt2QpFvu
0xsMumeAFtOauBXgrWI0V8liue29CCR6131UOJao76LOJZvcl7huvuIWAedVUtdplgwnp1EKYhoU
NkBkkEzn7CdW3ZpcVMOgKxNvnSEZmguieSzIJ6DVdOi2fb+N5uHYBUyZzSa8FdH0ksQOU3s7JR1W
t5lfhTC0Wrvei1xsyMuSBo2mu86pMUckhZ9N7PaoGjP9onAaLrqSS0KKM8mzxC+n4LLMAI3YfTBh
BwnvgsC+KivvzgvsvTUpuRYFBIheZQR3CQeHRr0NO5k9UbYUQ3AfLjQdKxxRby5sJ3kETtWtxDCm
W5ZVHN1m9DoVpVgR294OY3FkQb9Vdjnsa4ShDTeAm8oewC9AwxoYS+winQr4gczNyoEqiynkGAU4
w9M6o45vuIlprCHNhlwfW1SNYObyizDjscNw54hE7ueif21LSlq9qqEGtjAjDAq1hodd++Dwzf0i
amJY69pNocpXRtoU8GYuNPxcautswiJB6K+41CmbxWDGMITujnUHKpjAB6YPcGKM9GkvRD83Qc0U
+jaJdQBnXfnae/FjWfFFojliq7oQGxwfOcJQ3qxHoMpQVPVwi5LHezrEQPGtce+Fdo7ORbsM7L2M
d2l4iBRJE+6J6y6B5hNzOF45rgPlWKOEuJfU94Cs5htL8cBFpc00stnJWWmgO+nso71DH0dqACni
69SuKdQ3p3Suk7B6nxY4UGsnT0IAjh4bugBEX1wYRMwuXWfG5Kwz96HWVTfoCs6qZm0rc2G+6+UT
zL7s0C4mIJMLPyusR41euC7uvo11tvWC5IGbvX6KBTVa3P8PbRxeuXF9Tz/M3tIof3chw1HZV/Yr
ZYODdyy8bBBtysFG6mmAGZuu+0bETtugBITruqzmrSrlrRHkte84EfVd81TQXAIse8j64KA36kVo
fBm6aDC3sOru6eIBuxxoR8bPL03ibsKUMMCUVHTvlTzera7pSDKYxAMC1gx0pmSiCqGLn/HhUaJX
i2u9F19KW+yCajHNhNZHoo8uayy1vSZ7e19ORbQVNMrAT2kXr4ni65cY3cqIFQ6M2XgWeMfhCjOf
qPhgG41VO4IJsElcaiGFlrwwqDjTlBatO6KKa1THUzygCFHJtlMzgmRvOdT46ek+CYmkxpLBs96h
I9YmfowyadBOPfmNCiryAhKM8mBQQFDmQLVLhuslXC5WVfGYM6dcAY6GV1pr91EzPjSeRz4w9tbl
mFHfCzEg7GWHh7WsNyYyV4dNww8QvvpFAct178FGEgtRF9fWopLl5DCZinM9WUhoU6hlGxNRTWPn
xAWJzjYiuMFPvJ4oqwsXJU5HkquFPmKXit9HXEZaJT6Ert1rFiqeu+h5qZd+uIvCZ2bm24Dk53En
J2PovLWIgRzdcJsjDwaFhaFnUQwnkT6GOfEJkEnmWiIrJlq+DYNXHbGRjQGmKpsiCKNPjpXTGOsK
p+WlGZeHYFErJbJlCDJ9lY/JvdGAk6mQNl0QnCsTsdMmyDmx54IqMXMYrcrCrxdtVDl9yCkTvbRe
lFO5aKglYqpEVJVSgaxZdFauuw9horzynZl8OFhbHVG2At4Fxcm4yRa9lu/C2RJx5xdOQt1vWt2J
Rd11XANG56L4crI/k32hyw4x2JDdW7KowwYycb3oxXmvP8xwBSaV3ZuLojwiLZeu/joMJGfkWBCy
W/Rn+g8uKgTpYlGmdUVczVvU6k4k7x57Y6iPuJwRtOeclOyicIfNfDCRvGPqPanzeagWObxll+em
LH3RIpVHVIftykU+r9HRYTd8iEVYd8vp2crZ8y2ye4z+Drn9EKDH08j3EqDPJ10PUJF6qUW4D1Hw
SSlyp7TqvVq0fTT+ycmB2KP6T6j/le0dPNwAJMavu8UdsNgElBX5Eb4BCiIvGg6+mB2Jg+u0YbQJ
8cH6u98gK2bxpL67EGrNGdKbzOmogmbeuO6dSvun9OFfo2w8Ln8xQeO2+O8H0MUX8+MAaji/CSbV
lB3Y8hfejiF/owgCxKHUych9H3L/mJ65jNyIGUB1/f0I+ukMuoyyMZ9IfLdgEBej/984gxri14Ae
8HCQwLwGLLsWm/RflBUryiojHDiV5amIiN9l8WYqc4wFN8ocZqylsRdRKezb0aBHoJuGdPQ5t5hA
eC0SbSO3xdji8CKxhV6B0OPmvJL96JBkMzjd0tvtZJG1M1ykfqYzdha3cBSCZDA3WuCVxde5Eb19
7fa91xQbl7Zy+zQ5zojxztDqpH1xZ7rlZi5WCumIPk/N4LW4MqJml7SVx8lIjw7h1LCzGMn1casE
BwcHq+7L1FnZaYLPpB6HE6dItQWSU1y6WdrfGiIdX/XCcSpIhVH4OtjNtM1aPb+IRVriayiDy0SD
lAq1LgLmYoDmlqOlbtAWggNxfMp4C3e8NIB0bRqAMCU9oNxfuTG+UCberrOOHPg6giZwiJyku+fQ
Rm48KhxiO5m3G6JsxA7ChQ5gjJm4bd3KWc/8yYKYk9H/aTPAJw3gdB0YFqGry0Zvkm3KZmdrVwbx
5baFZIgXx3rlY+r2daCD0TIq6ik8LzK/WnM1X0fznHDEMnvzNbVb59TXbXhQWPefLKe1qAIzoTpU
qNizzPurvk/feEuLQw1t9s5oMe1ybIVlb48gLxy3jC5VnoabUDnxpRO37c7zMoyJFCRfclMj4FQX
yNOKDV5ECOGNuHh2Adms/dLnZU/HWkInMW7Ts2UZGQibqE2BvAQc1KZa3OAO0bbM39prK6a7lgR3
eQICMZzaNj3CUph9xUxgWztq+hjJYe1llYfHqYxtXlviauc4EBz545YajlJBlOk6xoi1ksWuCqHM
cGadCRw2yHmz6QXHrNHEFzwujyAzzQtTk9UVLz/YaiklE21pcpxoGv1KzRGVC3JMDmEMP6AExIj3
olK3USPHzdCOta/injvcMAfbFq5n+M90718rK7LZf15ZT+/NnySyFtL4Hyuri44gmMQJF2jDrxoh
JTYGssDvAWfW4x8rK8vnd4egwRSPdfRz9NlmZSX8rLsLlfi7fvg3VlZ3EQF/FgkxK1DlytCd4gI8
g7/IEkYVQuSeu0uXyOwqBQMJeDIySbfWtrdzB/nCvGdkaudQBKLmhDxl3soeco4bm8lzbELYuYqC
sq8PRHCqHM9LMup+pTm9e13huxqvi7G6rKw0vgeJwbCQgZwLW3BuGZxHyVcrc1jECxXuKj1gvQ4x
Z9AUXixLvGnP0XJc5ttaO1PTH+xAy5Edjc7N2uc8AuBYrSYQhtA1rF60cbs1iyk2jnk+zuVdODNg
xzKIddnvqC/ZeVZIYMsF4zENndg05ZjsiEjW/liTWRhS6NXjVBOLIMj6hT6v3iCGrMTsW22vwo0y
PYzQWc/hC+Um0IgTsZEGR1TN4twr/O+byizFXSxEAx/VreB9cGDaGWSgu7vUymCpEj3IriZTROau
dvlvxV7+aR5tj6EInEk2mFNUugfYY5bu/zOA/90zjNb2ny/Ri5f0/U82PzzmxyXK9N3CQsvtURJP
JO/z0/SdSxY9ngIoEjo2v/pxiXrABgkWuabLL/Xvs/kfISH5m2Dvw/UEU8CCsvK3agvBIPx6jS4W
Ao+fMxsDo/Br4QeiGV+GunCu0iELT1qY18HdNKUFwyMzTncjASeOXwBga0xw0DWzg93grnR6zdmn
AWekXJm4UEYdCS7J6K6dloGW7S5Ve7BzJAXsWPro/E7D4qh5REq+B02mTN+KnFA2jqutN0vs/wND
L6DtG+ZNM1G/KDwV03hKimyrySFasSL0t93QojlN4ms2eQWlc5Hnj7BqMr3cz7gCRzO8rY2ChlBB
+Kc1sTAWebPvZuOSaeA73MKb2JJXM1NiTFZ3oO92Wtk+aaGsTkVQnuqIhqrIjg+GNz5lXbiWWnSX
m85DGMtphfIasZ2yKjYG4TM35oMlKz/Rg2fLy176iMoDNVBKmnbDSClVzGumN5DdLfPABriAW3qn
mv7BVdqYRCOzyxqsDByf8Fzn9ksTdVcd3OCON5ozG03OJXMbFVTH3E1dMtHd3vEkBb0zSBWTpORM
F2tq4k+uLGNjueo4B9qTbKIbNdr0fXUJB/cCxovbzpgIcFHIBX9mBJyQ4U2wGXtOWRjZcpRrx2rm
bahomQ+r6K2lpHCtKsPZFHQQwNg+Zoiru1yal0Vlm5uxy6JN3DRfqiCyfav56IXS9yIVno9qiBIL
EYHb1Yc2MRDEqH5VZz01kzGmxcGt72UjYS962R4uNofgdu8NDeV/Q7lOuspdO2HBiF0P1VdVzEcZ
2t9cNmp+MiQePOz52QalAP/x66TPNzW+P9TE57ECCdZ00QcdZuD3xhRebZtc5q7ap+1ExaJttNw8
xvdJMvNg1MMJvAq3idm/KUYhKw4FW3dI3xR3sxJu1EJJZnT1OiBcXbAV/37QJnTZ4YbPNuMSxeTv
DwtRLfN7OmXJag6Ejl3EJxcqYs5qsCFLiMe1JrS+Spd3fCYfuooDimsKGug9DTAW4AUNBEMFkkIN
+tXMxXCjZOLuUk2OzEFbhyGxebSsxFqDjlpZNY+Z40q7IrbFxGzSS59yaHKuTs04MTUUGVIrng4Y
fsm21WV8lHKaudU6ow/Cq2OyyHxTH4btCOdL6uEVaDb8iqZxtiiWprbBuyFGHW7aLLmsRRWvTOOR
E426awwtfS6MBIhUDf7WQsI1gqbyJT2Pq0ZYKbSkcDXYULknCkbYlXPNSgIRu9z0tI1bUMNljP1w
CVKQjqwSvLymziltEqmHVblHO1/1ZANxwLevTU9sCMrlaqB3uRC9tbIdedSk5RyNkEReWSXGArNq
vppsJRi+44mk65Gc1+KzKSIX0hn8iq1WZUAyu1l/qw3zKcnzYOu1/L9jM8od80NWpTRzdmWOaNdq
ic5tumZWZC6fb0CAaLaDE+rLLhvHy5graj3O/TFBcItG/ta65tBqTuOFsnZxHnR+6UFASuaG3b0n
11MEtc6SPZ8Q/SnQybbAWdU2L3IAJrENIx/sIajIkwyZJo2Vvoud9BlA1q7X2jvyWgMtTw0ZB4q9
CiM9t32DqNbn9JG6DRPJai/69iO0ArJ/3Dw2kLO5YLEYm2c55fd5m2QXaBGk3GLmqjYM57yERB8C
Zuc09ohzajva1akP5PtUmgbG7fzYpSP7eGPauZAO/9kh/L5DwDr5VzuEtn3/s208j/qxR8DqR1UQ
fj46xLjUflLokeKXHxMKxtnzmWCESM+WgnMv1Q2YAQETfxbpXZ3QMZIXv1zCxH9rQLLAlX7exztg
lWzHWaLOug2v4ed9/NB7k4aJb7xSo9W6fjQECaZ5FwZZqGIyp2Zw6uY0tHyVDEP6xegNiAGcPuLu
UM3xUsct5vSixZs9+8lkdjPlBVVRgt8vLOG8TdiEmP8hz8w+IglLHMOM/SSM0Pvw9Nzo7lTbMrvs
YtcONgHN5t4mq8pxSbhqy065FqHJfLZJR6h+c4kfd0VWdjL83GSM6duuATBhwclxpE6NHcN0dKVm
CG3nITMoZdgCYj9w2mDBKYTd7SttUPvJUn3yMVpy2oYJgwk/DBPcvRRj6PsIVOWRgHL2GsNa2Hi0
DFKrXqnB1zLGMEOOfEBSGqBtrhHOYBL0OjjMRuY5x3RP4U/E4hzaO0dFH2LU6N0s5Ac7HSBOeZj7
bsXvaM+DkDD08MzccjxFIbRCuSyqYZxDz+mgH3B+x1HoonKY4AYAB2PHWTW6hiq0GLQottH39Nez
D6H098WQy8RhLsNj1WjZta2yCHnS8HayKt5Td3Z2VmbRBR8N9g4ZOvZ1atDZttHlbjt9dp3qyACo
YFjq0Ofyuh59qVHYEErrPQKvtscyydcCIg6EAxscdBkSsxXaa5VSISLmrF9zd0XQa5oPdwwC8HBs
kdycjd9mbEDQZ53JPLnM26Pn6MnG1KLkzGvOV2EpymM6Duu4TxCDaaFkFDOqG88LnN3olbnfLv0U
IKtBcDa2XI19ALlubniZ0nrKipTsZp2EZHwRYBHFgLvRiMhAH75fj5V/BxG7viF7g28qHLsbl7Hy
alZGTW5MkYthFpJtZ92b/HYoAenSVOxPhtsDWoRjH0xFujcyEHicBvP9P8vm92XT+csw5v179JK/
/PvRannUj2UT8JvFCNixv6+MPy+bVMCx/hGrlGyzqPH942hF3pKZCIMP1sXfE5w/LZsMqXE3MXbm
QX8P/OYYP2cD8EhjjWbN5LlQcDm0MYL57MqkysHSM17G1cBa0II8sh5CBxhrUZBvyUImDfa8QFPZ
BoInmUbKJuhvE74xeMfOScW6YkrI4qPuuc7qXZ/QA1IYDHZhJvhJX72F5mQYq7nrgQkIQShvY2n9
l1bO9q3Kk3EnGhFcRLYSh2QizVSb1rpyh+bsmHa/clDit5NrvHZB+6HTiL6vxuKyMRMjXosSmG08
9bfsb29cbM03dZUTvEpHtrVZATlTsjuiM4ztRI9NU3lkZ3JelZzSbRL22t5IQCkkyzoo+/ibUQDm
gaOIt6srkmEvFp9PWM3BqqO+bQVC3rgKTHhgU1/ws8gr9q7BrLzi6ec4K1YNzjKehWPkzNZq1cCl
ISY0njM3gA8VHeHJ7ruGmuCuMF86pKSTCJmqlt1A6UqQ3JYOAE4B5EYDPsFulRKNvFa7OTLixa3l
S3p6100kAl/Hi1XN7Z3XNPsq0uXBAe4L64UyXeE9WrX7VjblJdgCKimMCEXOuXa64D4clnMuLKwB
v2NT2Qe9985OO7Ybs9Uo9S3Il1ZZ+ZSM2VEU8fOUdC3QLu1jCiXRw87bxtnw1Sm896ogHU/MMF4n
RSe5IfG2sKaylaQR9iKOsdSmdRt/NQu0RpV8SXVunmNeUmpcAL/TJAmonPbf1dziFh/aZymmdWmb
cKnDGLU9jPFDZfWX0vIoZtJpPJ6kYMOvT/clH32WmfSYxIOOJDkbw9IFAHnB7q+rFiOs7o6JD4fw
za66pyFKvxE6tbeBZXyrghSg8xR1x4LyoYC9+jYs3GErJkxRM0N3nh6sQ69TOUBNVA783KgBwtrW
Qes9bxfKnMIVWXIhlPJDJWJjp+2rVWH/J+/m+kbS4nMQ7Qf19cS+9AViKPEFV0WabePZZZYecKZA
1F7XMdcI3iEQTmU0bwJcgFYG933ESc8hwdtEcrqyhmBvOgVgweJKpPKgafG2N0GSbYLx7PFntnZ3
V9Uj7DtaDNJcPLq4zJiLZKvRArlNn9AuNWggRspui+7JzfAPk5uCD5dUnt+6oPVLD15HlxTbMq3O
ptnvcGI9tGF/SOvwosurfG+Y7To21bWZDXu7h2zgjsw1mmm6yjOT06+ePUctSoOowCUjIx+S2r0w
PdxSXYVkgrNGtjBJS+oDV4uLA+i1QQIvNGKIQvGF2ccXRl49Z8gLaDctVGUjAPDhPPZNCyYrtXfA
hzxKjAyo3pHtbJoCakUUsqXQekzCdo59Q1D0pan8dhTB4wzAclVXfcsx1GLp4XFhnk2McbINJceH
YG7e68KyfTojmT140K1CaPSRgkTl8bauh+57r8JNN1ohdvRe+UPS2pt04Did1voHdtGTHccXMb4u
xq/QfTMSHnoeP8/Cug9QQdYNNPV13WUa52rj1pHes8F9dxVaxY2pkYw1ZvkhvH7XzdrCoSfEZrbD
TRP1u6Aw74eoPeuDhn+9kse4wYoduPlNRsc0pVbaMRqzh9jpcIh301EoKpzCZacwmRQTkFnD/DSm
aGOEUmedFGgBC98JymmjNdkHqb/7uuJgrgwMGlYckVONkm9N5VyFJU4jXY7zxnZNE9CfrZ9G6Jb7
TkJMX3Ykc82oGgeQrw0Y+lIvvJvIxPemtkcfOnleTodj1RyhDNAoY0QM5Opc7axRwNkUpbMNcvWU
NzpUeP2lJnyym8wIN944UHyRP5jOcDEjX604Dfr2YG+bJPSHUp7iqtknbdDtZ75EnG8FUU5b3ynX
eAM/cnZC1uzJs3yBV682mndqRGmWrF/mKfRdbCurVvVr2zKeGS9tgpSk+DQuqUF973aspmG3xc21
1zn9s3JXZII5vtMZmtFv7t5XfXwGPviediyUsSVKf8jcPRf3tKLC42xYIyPr1qPOaKbfyx6/ZHxv
MTqR2SW3TmbThJbJcRy/0ABVBEusjjeWe2fDtCPqV1qEcRbNV1zJxUyruVi0mrZ5ivHZkgjNliq4
B8PtnpPFituwLqzajq8GbmMODJh2Z8y7ViCnXeM1W17fa5MwIChk+a1dHL9eAu64WFzARQrdOsAY
zD3vPC5O4XFpY1m8wwB51tbiJvby/hsxasLwbv3NigrqRLx2HSwe5G4IAKrjSrYXf7K3OJVJmeNZ
XtzLXGX1OpBkrVydq2zxOGtxuS0xPSvIP2QtXq3FDU0g/04t/uhYS74Sd3hzRpc60jzfBUG6Yx/B
ZxAMd4ZDCRRYIfc4ay5m/ohbcYHfLGNrtI6NWWFLMtorb7Y53uU4LtNyLfPxaqIghCkJrhorzoEn
VR9SYwQJKOIZGrvhazWe7bAQL2lEULsKtSe97oMbTDVnVvPWC842CLQIije+uj6SB/07Iq38nZfW
xDpWO5hLw+zjSQaq9s8++vfxA9vOvxg/lO3//G8Rvmfv7b9vppcd64/NtIGUiEDBON8kZqZ/LkXC
pOFh3XBs9zvlbLF2/NAp7N8w7RNJxsGPgrCIEX8EBczvKiPjCYcyHGwa4u/MIBBQfppAuGiS+iKf
wFBmFqIvv/+URk2ky9iu8JJLqEEzW68g2tn146c35vp3XfIz2IS49J88CxEqqC6OTZzLWTb0n56l
DpA3nNlJLrsyibNNKfWC3QfwxHVgmamfWC33dGbEF24Im6ynGHCdzcFpYIx/q1fRTUafrelE8cWo
62gQhuasDckFnBmxvtbD6DCa+aEfonM8YGvqjQt9Hm+4f5/ruQSdZV0hkB71JCWdPywXA57Trbsc
02mZVwgg3jcD6y4AB9xRSQcgGPDfR4x4SWWR4AZLG71HuxmPn1wq3hS9SuI4ajMLwMgBoNNasJie
iUejn5m+pF1BMMy0vwQAtHdu5lhfTai5K41I8C7W00j4UV9XmV9SXfxYlgb5eri3ah961IgcDAs2
PBNaeSlUqxgZ0oQCl0xGEbv6ypJfZrMWkFXMbNdos3B2RjnCIqAWlOFVjQMr71Sw0qkfvZK1qZ35
86vNgu5KF0BDqRU7ydRyA8kaq/+iGjeujPdWZqfHHreEvOb5Wuuro0K3PZmqHErWKwtjeONM1xE4
Z7r1lHfyGuEegXiEz8T47MfBZb2TmSKH1BW9jfUbGQL6nDPOe8lkS2Dbaz3YcpDjBBKsT42SvTGr
CXJdT78SsGx1GLidXnp9j+2d9xxC2Ny+tAhWk4IbryZpwruKDxo0DR/ZnlgqzZu388DsWFeZ75WG
d4uDxGBvCHVOKvz9ZZXj7EntzVAayOPxo8y5Y/PRDZzb4tlvONggaDEfn7IpPor/Y+9MluNGsm37
L2+OMrQO4Jq9CRB9wwiSkihqAqNICn3f4+vvcmZVpsTUlSznNalKM4pENID78XP2XptAzrVN633b
dRnx0Gizb1BD64M31+1WGMNuNAvYIZPe3oY0y+nU5Oe4yM7ElBSbvIlvzdLaO1GfrAKR7cqYJMvQ
UK+tO953mj18hCjhfANjw4wtXYlxEt/KuF9ZebtKg1r7oCr9JhQdUZhlCugu36QOne+JCUArqpe2
7V6LuHmdk/kT7tdVYwwHd8o3LCC4BpetOann2RlWhtvtUCGcQAMDQx2+qlbPKEzZZKNGH4c8n35+
BqxJ/+c5UHttNYrMoBtGYF9qDY+WiL9mizDXKG/bA1OQ0FPG5aTn+t4I9bOo+tXYp48VX1/bGfTG
HXsdDGJDEOOuV5fHKWjXYc5hpVZrzyAhiUzEQt0nFjhQbaapbttX3uOdRZzhaoqXkJkXqeTmoMbn
yBRkOwT6bZcVLbzl7sjhhpuZ2KKsxkKQBlR0Tj4fXR4itbQ93W1WE9lKTmWcKB4flKXzU8u+7/Xw
tqirExIvqhn3lPfDbeQycdOrtR4QLhaGk4dnR4NbPlZ+3wB9Dhv1JlXSL2WqfanS/BC36bHMnEPS
a7fLqK0yYmHYVc+WiZ44q+fjYtv0NGm2OYQc1am96yVvsGG6EwFmnpcRG80y7+ulKA7EdL3kc2BT
OwGDnkOSK63JSLe1W22DFjDKMiv15tcr708MrJqDTuWNkIXdk///ceWNZo38VZGR+VADTBwydwZZ
Ak87J0CLk5IxruyBzKIyyuk+Lq9aVbe3dZ2qH5zFoR8yTXd9k5zUKVilrv2gTt22jsQ3irKQegk+
DyGxZPrO6qZcuKezICYbh5bASGPXM2uEeLbT7QgW+UrYWu/HSftJx1S7hhMC35ECiEOIP9Z+O+21
KmXKFxSQ7xtK0uGa6RixcvtlzvJ7cFGHntCdpc0OdQ+ZtSpPTqu7226cyZGY450+RZbfkokqAgIp
IjPZ0hKyOc+2d+bcI0+OxEGNXJ5r5CSgo5CSJ830MYkHk4MYY1R91i9mvBQorwU22jg9DxUmtDbZ
p6O1teDarGIA6UGRgop0CDdC+L1BsbW2wuqUheQb2YV+ibPxmPX5jn0NglTFCa2cSR5ImkuaZHdA
QRjlFUO2EoS1U7zSNG2aKwaLYZWjDqaPmnw0ZxMX6xQ/uYSYxQM308QN6jBITtNa5jshTaEgNLVH
FMur3CAS1TV3I+uQ0ZawNCUoXR3wwSovgSYWrwJHykBrIqE+1/ZKJdey7hTb4rOuZhtVnbG6MYKc
c13zk3ZOkWOGF2OxNApwTLVmhdeDiKiexoYxHjHcN+eMjvD+17eq9CN+L2miEBE0FYmIJDHMMd13
JQLDvRH5ZU7UUh+vjOTQgHf/9RUomb67An/SsBm3oCWw8IVjs5Siqu+KEEPg13bcMLzJROIp4hL3
8S6u7pox4U4AvS7qjZusf31NBjm/uap8399dta/SjlaMopzVubjHas4Zlv9gV/zMlISOAJJwTC/W
gwgM0I3ESg4TEOWsGGVOVVz6RbN8LhX7FHem6qPf32TuqH11ItNe5WryUXCAwH4xH+3MfBRBOgGQ
JKOCu6ko1/1iF2unUuqVVsEPwgcy7/vJNr6WRcLxkZnJOo7j54x7dV2rIlqxAs+rzhEg9Hv3vjez
hYF5+pEJMA2cEAgdRk6Gqzs2pQ9t02wEfThPt5KdoUYKgg0qlGwsCvwVverX5H2tmpFTtR1PdzKj
oCDrCtN4CNHVhRjVDt/qFndXW8X7xlR2yCs+TEvyYKrpweqInWkk9jkODKSiHWcz0Vv7dEmOKCxW
xRzoKyODVm8EKaus+jBwQoXxnZ8dkg2KZlwPwcIdrK7TLswRjVarMoGbXy2Js2qy4FzVjh9a9k4r
xeI74XSPMI0CrlI+9B1HScPoVH+xu61Sxfjv+/KJyI5zo+ayY4sNbeq8VjsMFkk9g2XsbIb0q0rT
PhZztJsCguKGpr+pBHsk0ZZ75iOvTq1CxiRlvLbMbViZJxtS6W9ut9/d4+8646NJiaFjATwnp+KK
DXdTH+tP43bZWztxcth6/GdAswz7z8WX8fjri8s8mJ88YKjKcc7pqB/li/vuVkcw5xQpppBztbK8
4qT71aYH8HtUHuyNulY/XhT/9DCsE+RIT/xPdjOfVO8Qb4IbmrD5b17NjwebP552Q6W8hB7BMUqO
N75/MbM6ohXRkugmUq9Q5r1YfWiGP0ZIz9P/hK/lTw42P65Zf78Gg+Lvr0G4SK9EURaxub6Gzc6d
b3/9if70Pdhox2w5j2ZU/OPfx8G9IGap2byVa+3yPFjUnH+sUP/Fk2jcnv/38f389PLa/GQMJn/r
z5M72HAWZMvUdMuVar7vFIbqvzDYc3bnxIaQ/XsMuf0vm7M0YzC2Gkg+36sHxL/wZKIN5hcMgpD+
mcLQFPL2+n7LxKcBkAgxMQAVW2UQ9uPtoaja3OqdFl4CN+c4iym2a+FYZMQAGl32UKUKzqPOXS0E
BdoyMbDIQ7buXtoOX02ZKTi6FivjCI7Ezo4TTBJvwYZfYMdYafiI5XrtdTKl0CGuUJW5hUHsumsz
rp61Huty5/Q3XY+LVBseBaGHGuGHlkxBjMPoi3CzlcLh4RNbuboD9nwM8zHw7UB6EDut3PQEK5ax
QoNZ0x+JqS1WtUxfxJHK3Brc94as5m/D2L6iNib3TKY2OswAfE5Z92Ua3ZJq+bQQ8KjIUAlXZj6W
Fie6lBhIS+ZB9uSuQVaMZq+1y68OoZER4ZE5/CevGXmLtDzTdVtpV4WoySQLz1ghj7i0wQI1FskM
sX61kuSqFsbkMfno/FFmV2ZUF1thVoM3tOMzIYr4MbQ+9tLIYZQdWSCP1OQDBOcruCNICipoltbI
7BM4z/uW+Mw8127bYmw2CWTrlULEZkTUZtRNx6okjdYeI8ivxHGGWoVbrETrBJqo9MreIlQvbp0V
qdTLR/Kbi51bWj0kSNDgoUz8RC6egEeeXhh9zodwiJiiFCojKJkVagBDwMBsnERNjKhJd3zug+B2
lhmjEaDPzRyym7pZDqxPZpEWMpW0FMq2lCDI2KaIrb/MqKa3bWhIVUnE4TS0Sckj5pS4BKTkhJCS
fBrQKa+hX9qkolIXP4NlJoZVJqZiRcnXmUxRnYhTzYhVFWFTneO0InQvhDKIhwaTbzGtVOJY40Dr
1oNMaNX1+o6DX7SykaiuEpnj6vQgsuBlG7tGZ3IR9stz36gGuY495bnMgk1kKmwv82HjhKTYZXbO
iBjdlTOJ16YaoEa62k0xdoVvdNzKnOmmVTjEJJeG9KU0RdzTf/4yyITamDOU1zp2tuvaCcZmON4r
MtE24NRnm2Tcjjm0LXS4DHFlAm5NFG6gIgoF4W7uyNx4dBP9K6edrS3zc/WpPSu5As1ecYBoErK7
RPXX2TVnvny7tldF64pb9KgdxsSFnhoFusWJdWrm3DNGooajhynkmddTp6R50pPpY0+b2eiMqz3m
jwzyWkIeidAK2g5IuTV/mjhvczJC8DaBknBGGTxWdjPZiSUBF/24HTO4YDExU0HDLJgpiDjCG65x
vkaJRy7hh6UMLo2oIBu47Yo8qm9xV9/rRrQvdOc4OMB4uuS40CPXOThHSnRWEzSy5Yw4xMxoB+WN
eaeWED00/u6mhkLhGHR9OAzuIb7C8k954W64a0fziNDmm+jsTZviyCxJNiqZwRxKZX7SZZFXa53l
1cAiIAwM4hAv3cYhvIjs9MTuuocirIdyM0UVIgDyZ8t7Y+zbTxxlRzoTOkmJQm2HZmfEjvWFQC7r
0LVVFl6zMAudfVcr5pcgFHpwTixk2jm08VXvgoWnM7G2JhzlEHyydcD9sjNxOa/HBBHiyH23tkhw
87gLH3uz3y1wmwCti10kmMbbM+LAMQ4Z+pXBrbMsl6noOx+64MJQMb9mIqTMhoeF+TdmeUozfd2H
ybewsW8bgQhbGa0NwRHVDgZz5tvw6unx0E8YPtUWwZI8xVsnwP7g9pCk1OXqgiTp05m0qEp90ibW
cbgbeOjyO23UMr9Dm7CrM4Vohja4zKmq+3MHa1qBTugVqK7SfSHDRVujeLLLIQJ60Te+LRgfpslX
ncS5Mpm+TiSUFvVceQuZpYFJeCn9OEat5Jmq06mgb5iTrIawt1i2nLa2yuBcQhmFOpCJKshGherI
gRoAPMiLtUbB5mkySDWTkap2Pt7nMmQ1knGrjQxeLQwiWImwzr2EYVsn41lnclqNQdUIx0M/pIv6
Lk4sVGyNTSJZfS1lzCvmPbrNKJrrSL8xI6JgrZAA5KaBj0xKLPKFa0lqrEJep1+q4gG0/3MyEiw7
TtlxlFGznMmOAZxm8Cpom+LLLENpddJpKxlT2yfVJnZVcnIdwrgJsiXtNmTWU2pej1K/wHPmW5yy
izlbIW+4t93UQAtrvoqB4dcog3INpzsmMjoXSbrgH064kpuD2RGv28cEu8Uk7oINZ31GC58OBJQr
8T0pSU91b+911FUpGTwD0b2pwVetEi7U9KT62sT75lr4mrjuziL2t1T4aUAQMLCNl4pg4FyPtm9l
1H/rSXmy/1U92cRV2f6kopS/911Faah4TxCcgqDEHvtDRQkN1MDDKoWqNkeB/4yC7H/BgtS0P225
lHn/sazYKFUN7GnMVEzG21SA/8BVZsh50/uC0qVNQsVLgicv492ZKWmUVLcJErzkKgLtc6QT0zRp
KhNFqyGA4lqyCh2WvhZfRGSOHHiUAlfCOCnjY7PY7Sc3Mst7142thdDvfiw3RmF3D63Ra6zNFHhr
EaG5MWPl06RDW4BEY/qZrqe+Pgns/cW2D7VLPwBEzeanMVye9CgwPZoHonVyUr3VrZ7l8UWfqYm0
VKynARa90hw4uYOwY4JKB5fE51Cdn9K6odWAHN2jESzTc5kXz7Q0fTheMvd2ktnnDhwgd2+GTeMN
I2DuXNyZg3WXx0JbpQadx2C6WZwmJOFEe6qL+p5Qvy+Rg1S/DBpiLwrgJwhkl60Tu7nPnITuo2nd
JcI+DU77GRnIJhVFdgK0ceyjlK040Ilfb23Myg3QknysHL9a0ruhrj7W5lKdjWYovaVgIWS6O7Hq
Qe4YTelDyLB8dAbDkgkKy6lAmrnYxBmKevBbTa1Wvdq8Lm0zo/qfMnBO/S5rExJ9kMKwg1W2nbBJ
uD6g8AmWn75hecCrkfAZ4KKDZULWzS4u+C9zmHqiMctPBSoklqpbxwQLX2XPWhp9ECXwma5LzFNg
BXv8ErdxRfE9WHbk41kKUK2JUyhxm2Vm3kVCfDAbYHr0WV5EWRwXxkjV7NDGVx12BWKBPCqxxCvD
6VjIcFZ1xLBSFtsshrqBmA7ADtE1GCg+JaKlayrGeMNuthZVd19YApLUiBoNNdnGrO3hppeFsj23
DrEu5r4jquQT456JkJD+dhmwMVhGBCKMBJZaUan55/5jMydfg2GkPxI1aPdMlSRI50Hozmc7CH29
0Z6yPKQFK1+GOtwpMzbhYLlkgEc4IABkAdwxl7AT+1PmptdlFl9iQW1WgO3eNFNMgUcJgdtwPsIz
ox1iJadSL1cONgpU1s6DYnNKIRch9rVkCnylkVj39Maq8ovhNkfSIq5DS52I2oGmrm1uFKP+Qqja
KrJ0UFdZ6InSPlSDuMzxaCBr64+KS0t/qNl+g/YDrpevQpnOjehf9SD/0Hb2XrPFKRlSba9GNmTV
DLWEVfI9oPZ5ybSRR2xBYuxMGeaHQlx488Lrxuhz3eA+09T8ogfalTbWpnbTr7DefAfUi0ccC9wM
I79KeDPbXnS08654iGQaazZnuqeoRXZUAG4jiQIfH6A09e08f0KznK7BtN1qbfAZWdzsI91Hg05b
23WWU1Z0515DR9Gbj6PInzpDIxaei46kXFbxKgsICCfnus3UrWmYO6MCXUn2xbmnE+wVJpkxc1qs
TF2a9tF1zlZ0cPvOOMZaU9y2Mhv4MA2aHNgUA8kLxoLNvWaCljgPfV5kHMJyjbKK6cWmztRuy3GA
Dn1R4hydTP06zeaBPo12E/Fg+XznFpxquNHWgC2XOnZ6WOoivCMyLzsmZmJtOz6C9Zgp2U7Dq+NB
FrUNL0S6qXqD6KJdpxio2+mYZmjfVW2jJEH6RzP8v9u0TpfkF9v0a/FSPsfFT8Aa8hf/s0/jLcVf
TbK1boKnfevh/El2NGVTCFwYejmJfWRO8e+N+i1wRgfg7OKtgBAtHaH/2aihcdCIVP8dUfMPNmlL
8Fe+26RpZKqWodt0fhxBV8p9P8awcU862C+Ui6Zk6FtZNVVzeQ1Gpu+plYH/MtQNk9ZNM6MfJLar
au7cJldudXtQUAbaZWHfhZweHdyOs7GCT9Q8cFi052dLYd1E7Zl7ujRqJYRXeq3uLLDRRsmzcs0t
ylCEY9LkBWV6Wg+V4m4aHGBFlarPYY0prNanalNGGMXGHsvaIM1jXcm/NaShrE/15kv1ZjKTdrMl
GqzDWNiHJGmQkWIWIUqUgQAutV7vv5JnwxMhDWwoorFm4Glz8LbN0uSW29aaBYL8YGmAy6XqzpWm
uGbGkUkyNKEwRH3hzUQMSc722mGj9nRprFsYeurd1F6TFohPMXfZI5vffK9pD7HZxiix0pu4DqMV
oZi3yQJvDyvveVZlqjJL40jzq43HjXA4ippdhlJUmgBtaQcECBQfijeLoDQLcnxV1+2bg7ChYGBB
xVY4VKgY+FqUC4SjGbW4i+SkNKBUmUS+YUxMhxJxNss2sD8zvZ3wL5bSyOhKS2Pw5m5MlyXesAVg
rfWNgvSSRPogG+mIXN7MkdNkOis6FlgmieVGxAuRO7i3uOx2eAvE5MYu9kUzDCxmmBkDoTjn2ISM
4nXoyVJkZajLNCkz0/roMZPCswgFWtgweRyB7a4JSnpMtS5cB+jVKDNyH33fKQsi8nCS+ZJJcVuE
yi1arBUjn+4y4yCV6Xe2bzZO6rvgMHHhiH0zIJjTpXRuSOb7SIrpdJR1ppTXuQ3H7cnqiTueJYUg
7quRF9C9wUybYdTN8yB5Q7NhY2HFZXO13iKTGtoEautNluHrLVSRKsm6U1O79Py40S5YTcSmqS3E
7CaLuFKWNLkkZtBZ+i3Umi/ZgKhHnTQCFKb2ME5SLDuE2sYyA+cGc/ZGyd0XXWnJt81vy77/GCjG
ua1sZpa6Ut3MCuhDXeIEkOjuFGtkW+ys7IOaBMHacV47ZTrGGcNd0z7NUemu7STa1tO8Fhzlec8X
Zy5OVg6UdVCOlhaf8oiDYNxbwblw6O3kojI2fRTeR/MUkvSU7Ru0/2nNl+RE1AJjzIATn4BHg+gp
7EeeQBFfpqEkOadgM1a6IYc+XPuayPaENa6dpnnKG+w9KB9wTn4TdszSkm+o6jekg/jq0JbIO9S7
qh1XUZXsbUg67jj5oyZVzR0zPs7KH51MvVC0fRSD6pCG65aC1rQrDoGzfKtqFMVLv7eJCzHyfC06
knvVaDpaSurjbnuKhIGvYliTnUh8i+Vc27S4c0r9xU15hvPMeO3c+c6EY7nK6+o81ws4FdOv+I4Z
TuOHZqLPFN4fFrVCiJA/YzD6MMr7UUuTfdNH16VE/Y2OFmO4JGDu7LwkB5vLw7e6zYvpZq5nX0ev
UQT9SnEoQBZlS7G4sxmI5hUZTu20USypc9DjZ+GgD1aqHSJ7PwWVSbDkpahUZ12o5RaIEVPlPrzq
yLfjIdxNqrPKS+VEX5gUu5hzO8TWdPJrHhGsi37QaCvTVf2gI/wxey2D/m5CBJY46m6mXx2PxWeL
ziBZ50RbcY0OkF2gX+hF37edQAps0dSY7szJlcF/+srNcMyWo7rNzcZ3A5c7MEBQbasbx82/zcyU
WOE2NM79NnJWwsHLHbbR3tDw5y3NZ1XrKLGceyGqz05EiOQw3/b5SzFXr7VKOgr2Ns824g1E700b
zKs0NNcRVLzQiG4NYN3lYNxRbH7TlM7TG1WC2rxKVXeKO+ycVtmoUXafWOWps7SPHG08m0AZT1jV
OlCA8qj9hkfxpnWdjWa0ByOYuWC9Dis+sKloV2UdFOCe9OexLz/zp5gUwP2fW7MiCzqCBh6NPvio
p7Zo/cJRjiAj90hykdvZkTc0KakrbBJRRToq04HU64W91bvhIe+LLx2cgZkUTIY8OPbw+5ddsysc
a69OOUczy0WfMnweG/WhbLC/KBqNr4lqs+ezc9dh0SHPtrg7bZIOhluAKMcKTcmg9PdZbO+cKbgE
Mu3azA9DoJ2jknlw0RPrk81XKOL0kEavGp3bpHFPhjY9VgKtUMPgWHedj0FDZiP+gqK17ogqVj0w
Tve95HkC0PNwj3iFlZ0yKwQqVKveyEijkQvVUn6e0+6oN9a2qqQpZuR8PvrtKIuegs5W8bGp5oOm
l0cFQOFFCdTgKw7U7L7FkecvendomA0sI5GzUCUUJQGLKD4mXU7zCWGMBzD4ER41J7YUzC2OlFh7
EbniFV39OW2ivaprF9ZbnI9NutXG9mgtcqieEUm/qNpjZLXVxjXSD3nTQdea0m1qaNckdRJOsxVU
mdHYIF7dBVi3Rl3J1/FSQi6lIRmOBGPPuszgJoW8uNLn3ibBhG1pfqkUNIZt8tSBC5OJFDwB5N0n
g73u+3DdRErh042nc9b7ecYmMWGOGhTnZRgILo1VHC32JlandVESkJe3NEbDadlMeXGEOHpsOusD
4ya0oZgKipbzWZz6SjQqh0Inzws9uWbi39fKfaZ054UWSdtUzwiHkEy1LkEU03kw6anmKtvfdyXt
T8bS78bGbxUizR0ykg05hX8/+u7Gpmn6uFAuas7sI/XK9E6hh/jri0g9zl/Dxz/KUAb9mqaSe+oY
+rvhI2M7VTA5VS6T87VhftA/TiWe+VWOkfbXV/pZwfv9ld4pg8oA9ucScCWdzEOT45JNVuGyL8Wn
pP8Sl+I3Goqffno8TSiVOQwyMvtxqqozDnGCrAyvg/Kl6491+Fxkz//8HVEtUyxzGQMz44+XCAR8
CXeuoiuYTdyE/Tyvs4jeb7iN4azp3W8Srn7yjmCYc2iBPU9XT7wTPskRmj6rXXwlO8eLDZy5YJvS
37ynd1oIedP9cJF3Oqc2UDpLBFwkoZvWNafEjVa//tR+9zbkz7+Tl5CVTAsEwseVkaFAEZcCLWb8
+OuLvBPQ/O1tvPtqqnROqyFv4+ukGB6KQje+QshigXu0aO5h7QIz++sr/uxtMbrGTQsuyAJV8OPb
SmMnjyHbxle7vq3VEAvh3g6+/fNrADQQGHq5D7BO/ngNIMCKcIYmuRL3vAZdbReljx3r1xf52UdH
KotL91gzbN19d5FyjGw7jkkvbKrHQpwiTooJi4Eb3Cf90WSWOAa3v76ivKferUEscX9d8d2XhXYO
ra02M6KfUGG1DxCffrMYaD9+OxaQB+zHYCB0GuKC5/Xd4tOWJrSBScuvyanZE1Xp92eoPmvrNrqz
fGI8N5gCN79+Vz9e8m1l/eFdvbsk4ot8wkCfXAeBuI7eow5mTC93v77Kzz87Gv0qO6clrHffllg0
YXcoCK9B7fo601gIxb++gvz03387SGe421wXCdP7G7sipgqBipJcbY6+s6NTbX6JTTxRSfKb9/Kz
T+z7K71b4BAtlg0tzeSqWa+Rc2sF9/Xym+Xt55eAiKq5mHVggPz4BMVaOjjmEqbXorhYqNomEhf0
Xvxmq/vZI8TN9udV3n31aUNixhxylTh9zhRExMq6MTdW2vtpd1XSbWb95jv629sCPELqCBw1tiIZ
ZPLj24JVaVe5XWbXbtjC0R/Ful7ufn0b/O1Ge3cJ2mzfL9sFCa6GiOrsOgLM1hSAfIn1m4/t55eQ
civobS59th8vkUxTrmSctK5t9qwse4YEv7nA325l3gNQXNiNFo03NIU/XoCl0x61Ysmv1Hl5j2Yq
2cfYYDCVv31W/+3Kyq/k/+7KXlHEP7W0X9m9u3n/8v//H8g8KPbyt/5syRLnTWeVZD4WJoZ0fAV/
tmS1f6EXB+TDUmaQ1cUd9ldL1uRH4HzA/aF9lcv3f1qykABdvkrX0jkws+Ba/2h2ast77K/VTjIp
sBdj2EP6x6EbMuGPtwia+aLgoKpdrGzs0l08gHKpnTo9J6TympKbGS0PQUtPBoP1dgzdB3wjrZfL
pJoy3LoBru44nT5ynEBtUTa3Yii3LmbmnjGUyKe9MbWrpYcwpTyWIcHW4Yam0EVLXHRrqMJ8YUm8
p7ag828FXrZ5eckkoHKWmHX6Vo8wfhgMGgrK77F7XMp8R15yuDKs4RqPnbGusSTwc/W4DNPs6QY5
wIgOvd7OPhVKP9NjVV/jCk7Aor84qKJXZU/gcaNP97kzjX46MZ2ZlYdmMYWHHW2VEKVIN8a9KcQ8
HxXS0ISGCmIqGI1MQbJiV+Ifwsiwgt7kH7bPzaCtOITqK+QdxP8FIPHyCLvSUhrPavrZmq9Ri6EB
VHNsMX4WssYM7K5ZjcY4m76VckYHUoZ0e1WRcbRvWqNzn7QYYRrQjSbfRcUQ+a6kyrBn1OuMDByv
k8wZVbZnwZfAodGR8amSTWPoQ6P5QhJrZsmuYWQFxWbJmtuhhGzTV5Q0lY2HXZfQjVYScCLJwskl
FSevxedyaXSIOUCtTcnOKSX7o5M8nUmSdQLJ2BGStsO9adIsgsCTgOKJJJOHsEKCN1IzPgeS2DO6
fXuIOJBuJ8nzKVBUtataUn6UyAi2Wtp/0yUBqCbLx68lFUgDDzSg5PeYbmC3kewgDQSxF0uekKmK
V1cShnqkMetCUoca8EOZCoeIMLbs6hhhutbeKEXKHK9dpudbUzKM0qG1tk5Uv+aSb2RJC2UtmUc4
xMMDn9ziJZKI5BAViaEGSlKgsuO3kpxUSIaS8YZTQgyYcjvBWKpmjiQlg1SSWsA4dY7SHEdJZQpH
+ExuxKmIlpqxrTqRrfnyMG631jf6piYd4Yj2kmlscbWDfVIlASpxq4jJuWN+hWuQeowyaExKVkqY
S4h3ZQ6AFCVSKpF0qQSj+leeufDQJDryrAV+4Dqi86SCyoZO5Q5Wk3zLCDLeOZqm35ZaTYADjlmS
3ha1ORpV7DfQPTJFCxF9AvwoJPqjhAHCqD301SVgAAEZd91Gk29BDFHC+iGTCJFAwkSiHDDtIAEj
iQpqxIY5osEeSSSEZHZp2usSTDL3Du3vqsO5AGRTkkss/Fw+Y5x6T9j7awTepFeDzSh5JxPgk1ES
UCxQKAwRD5mZfZYYsK3RQkvJ8kYuIu6Zj2LfA1QpeU6Vnvuiy50PuAivNeiVSjJYCmAsFA7POnCW
IVOAEjYTKQGNs6dZvCsBubRY/DGDwSLoQOfVwF5o4Mf4NWLoCfqSgFkhAMGhXzKGLZE/0V2o0oqx
JT+mzyDJWOryNCXkM41AZmJgMynQGQf4jDIZ9WqWPJpJkmmIMmNoK2k1ZuHGXxOnKL6ItEt2oTHE
+B57w5vAZx0E5yvPBLHjmVb+1W2x1+RqX6yFUV/LUbkXbTtuE8L4DmHR8yiXiOnTeXR4SUpHq58+
ajWxJgXlGN7mQKA92MTK7Rt4a1HJWWjkRTsJVU7QQW9VjCt3WdhUKwcOBjqVBhBJIhhrWJO7rUxt
Xi9J5Mg+cMYKY8/bCYTrOmiJaYrRoq7dJRGeaKxv7RwuhMss+7lLLmpRH3MjOVFm5mtjVHWku0a2
NtQq2EBaJwfSttRtFgR0jNUS4KiYLGky8eIIzmhAZNlWN6QGJOHVRjlPrT4yv8sKpn8iAl4+V6xS
qoQnjwXv1GoGa0doTIiQTRNbBWSDl+TgPmoY8mBegaexTP3bjfXfUkfXf1XqnF+b59eXv5c68re+
L3Wgi1sWfk3JEedH35U6ukmB4VK7yDqIeuYvmRimAh3DgasxmOSc8lepg+/AxOFP9WQgFwGN/E9K
HYqa96UO5ZSgOSZrHR1B07tSx1B0xj51ml401eyag9vFFTvykJsKWuLUhpIkEC75fZ3Ut5oMUcKc
j1dmN+33apBsCyk4l9O2zvnEAKvyqnj4oBlmc1SnrIw+B1KDKjpgtTM9Oj9/E6imKLShBO4q3cKq
h4y1TOfLpGQDrRn9KaDQ86HkHSukr4WYsJwhhiXNcEuM/LLpnekTRoEXUdl3lVHyB4yl2oWTtRl6
h+2wdW+J5f42lI2+zpOccZlU4lbUcR8DxLlsMuiQ1Blj8aRdHAS8Y070gZCa3lCqe6fG2Q2iYtdP
SVwS+qMplcBjOfcsiaiDy7Ie1vRNkl1l5NjU8dujtwkQ+9bR5z6tu1VhVYBECIP1Fin4gGFCQtWb
CmSUgpDoTRtSv+lESAoFQyDFI1GksoBJQUkrpSXApsM7W8pNhBSelFKCAq7GusRSlgK5SLuZUarU
UrISSfFKIWUsosbjRj5Zu4neVC6DFLzoKF8CKYEppBgGki8lkBTIdG9amUTKZuCaGUenamhy5+7c
hryGoo4Ppq0Ibe+mDNE3OtilYbZT7atWG+aq72HK1ElyjobeA46KfYQM2gj0LXCWZaNa+a0JAnYE
YFPChG7SV7wqD3WbnkoVE0Nuj9sMjbIPYv/cuMq5xSPvRXm8sqqMcJviUOnNo66kp2SEdVDr+Qcj
jMZ1FzlAteqrHto37CSorqPOTnF2zOS0GcZggDO2omQ5wwKFJES1llbETRvmEDDAj/Z9HiBVDBiw
TEJ31vkSPi8TJ8yAtZe5AsPgUkq5LLeImGxbzwzZG6kjSwk37NqVEU3rXusIYZo/Qp6ZViReW4wE
h8SfZ1QKVLk3nRjzlaNayLxDUrcIWEKmz7+El+xFTJVsesV+qkpvj+WmPhi6YTtH8bBSJ5VAMcj9
aYMnYq6w66tqdxTxNPgMnPV1nBErqOb6FzFpmHfm8n6Uad7uTNZUULS2V7PYuyjhPcQuLj4Z+zUP
wpesRCnJ00Uw2vy/7J3HltzGtm1/5Y7XBwdcwDRuJ5HelncdjCJZhAcC3nz9mygdSkWK0hm6bXVF
VWVlZiAi9t5rzYVPmh5OSw4fa4C5v9raXluP2arQZl5+0btrh6VPTGqwzNWqgTMuGrpWCrNvFPqx
XSR7UguLu39L5feiV6d79del8gkHN62rnyvl+Ye+Hx/v0FuHCca8NaNT4p8+HB+gaODQ6PgJZ43S
78cH0FuadNTKQtCvm6vh74XyOw6XshuUPgKa9/L6H+iXZvb+T3XyfHBYLhdmftdvqJgPXfyyKFG1
h3F4VbYM+bflO1pW2BeNaoblHrxzZ0mI74HQthI0KD6smU474rit1s47tba3ZoItoThbagjDf4XV
EKurnkRp5cCbJt5eQ0dCKgVO2ODKTPKIOqA0Q4LRtFYfaN9NgmwvL4WdRA2FUYnosW6E88ZslGvn
uKjG1qaWqaIy3HL3oe2TxoKAzgEGyrYMKjfmYkQCn1X2aXUJqMeYqlBy2quAED+8QI6Fh6lplTcR
uc3m36X/vvRNbhp/vfRvi/T1V8K9+ae+r33IpaxejasRAxUSHlh9v6990ppVix4hQ5D/+DK/X52c
T/P/KuakKq5JtEJ/X/yG84l+kq3CzjD1GV36j65OmvNjg5cuEbIBGAfwlnS6vLY6X60+rH7ifePK
bPXx4sBjvrJj4H+RJu0n1NL6fuwTMAzEpKydplNP/Sj9RUegCaaRbnqw3b65DdUi3UyTFh0sjEQr
W2lAmLNIV8z7z2kauqfO0PyjELDbDOyTiw5rFkfv1DjQUuSwhWK5H/QJS2ITonAl4eVLhFVtE+e9
v8RyhtJc1sNLFobBvihDIB4gLpZ6rs4GOEd6YzU+uHrphanxOvqZvW8tzVk3OAMOOcBD2MSogjCd
+t6AGCgx2mLRRhzaroVTICTHybD0uSg24DmqiOuIy43jNzlqvXnd5NmynKbgmx3L53AI/BVUNS9K
5D4GJzcnrJITPLm919CLuwq04ElNxn3UGtXalPm1KEp1RUKosmmsYNpPQWvsuSLZq5QMMfK+6h0M
BXcJpMDcJGlurjpd97eW1jlEfwbJvsxkT+3XXU8VtzuZIhYgi2OimhMrtAgFsxj3HBt007qRT0fB
+30T9ZKRd6Rpl5rG0XK0e4keq963evxSSntAt4R+EIhtvNICSQunBEfjd3xhSq9Vy1RJ1LVvaVsS
egiTrAJvECjymgQNytTK164I4hO4ujclKVRy+lC3Y191lux0HgiWW8uwrzMbLmIyDBu9Sx/0uG/c
o8mVfFHp6aUrtatCdx7UoLa9lCBqqajgC7HP2aVY+fCjF+CtkEt1ZnCqa4F+Js8OtaG9CTGnaln9
LSxSYnTp3XABwUORZerFDtxtnhWbzhDHeHBPEplRyMZKTnJAw8y3rkY/Xk9BdMkmkhEshGSuCVlr
EuNJgKLCmHyPOzpdToN5sHwY/VPrv2R69dnoyTx1ubBB5t4UYrxHXw6TwZcEhcsaf3OO2fNcJoL4
cB3MxRey5CoP7k0VrmFFHl2sjzwV9H6OmlWi5ydMt9hzSTPojFbDEV9ftPt3M/5tM+Zy8DebcfSG
JvDPFxE2yD82Y1r2bJxMZJyZ/fbDZqx9UoWDEeqdCOda7JPfN2MX/zxtdBbAnJ4jKFa/30QM9xO/
BOyzLex3nv8/SuhByv2nqwhWLO5D+J2QdHO/+XEzniA4hnoRqReOBe7z2UTyk/ZSBF9Vl7UKnrOy
8mPkUK1Evasfe8l/r3T7Ymn5pS0lCuDgBvftS11PHj3IYVMn4VOOyIon/8bInZOkhOJO/UyIEc8Y
zt/JTg6NsGu0dqJjP2nv5ZDfxXR8SLcmEa8sqRQQ6T4DqFpygTsI+kWZBhSUnViLpyfdVEqP8fA+
FPnKHWKbOPNoW7dkd8f59KQF9rYPE8SQzAsHO4QQlN9PTnF04/IJpXuGRFz/pvT5Iw/HQ6KhtTZb
saaaWk/2dBW5IJh4Zxvpxi1wgHxJ0gBJzGSLUlD3u+adITeS2E4/2C6VdVWzeY6Z81D2OhE4zWjv
0EtqTPrNQ6wSlhf3ypZxHGHbIL62rTJuCnPY6Zhpemnd9LK9wc1Z3adifE0lOahW6eyDUH1UM9I7
VEyWUh1OQUJzqw9sZSXifNuQmugNLZICs95xClLq+WI/al9r2oKB396PjqBUMdk4Jqd/SdTaXaSl
AdHafDNsroAo+++p2mk7qiZJuSZ+dTSni7HvIIoNI9DWceOQZSJJfW5rPrMgSM1lPwYxV9IkRoRy
5i6qhSvfjotNI+AEHlC4kx9jSrXZFQ7lWzNnOGiQEOJFWaiVvdLfhxD1+0ACe2u/ixtACUvrfWQx
vI8vMr2olmOK2yoIS2h+pnvK2rLk3Da+5PMYRJkHIoZJs1ufhyS0Bpc9UxN2UNNzk/KbMw9U2HqX
4zxisedhSyCSG3vCe2Qb9lkJcS83uuR3ICktlPApZWaTz8Obbuhu5TzOcefBjlmKrzGTHn0c3kjI
HBcdM6AAdQlUHAPGL+OhpNYP1Tww4sAxiDHoCCOeh0lusjXD6tlJRLM2sOGvBJOnsYHaK02wSzQS
v9aO3i/ytMdvk0GnyOfhlTqPsdJAOQfPKeBX5lv5EH81GXkJRl96HjDcmQ4WaKG4kNfU7ITUMiyT
kCiwPwWblDEa1Q3UdPy7Pkj1jeC/OFr/GEzlNV4gbzSRa/f1M7GcNYWwgtTRtqcZNRUOcGOTpTLT
IiwrXShKCNKhGjB8zUUIgtKbdiyCXRKGh8nKzxM5SUMuISEjrU3NDjRwOSYVVRvb6b/9UZ3S8q/P
lVORN28ADP98ssw/9/s1X/2EPQclBsoSbu3zzv77NZ9ClsODq7VlMUGeD53vJ4v1ydUwSb8nEHwo
cA3xiTu5i45ottByLf9Hk2AGyz8fKxQgIOtx5s75dFTOPx4rmSTgdYR2ds6MqVuTj2gSGG4/22wL
hd0+6o11n0zXPsx0jNsrvXSu2ya499Mp8fAxkCSAiLbMxxMWvUD5YvTJfaZwgdGMKt6MVf7ZavDV
kOe2k1kMBJyYXNkWWH4qsslIFPB0VXtR8k5+1po8YvNO+1VsRj5skhgEATRwP6j2ec9oLTbCxwwV
dj66zxNK7VQ6lddH5esYJ9duaLxWlvY0dHDQrWY44RkvvBGs+VKW8aFtsb+IrOgeR9V5gZoeHXIy
0FZaT0iZKuP7pE1f1NGedlz9dj5jR87LaTuV+ktXZ2cSDrzRskkD2CTM20oX3JeI+/s2jJ6dSNn2
avFYV0qwt9mv3Nr0srwjEBfOYDqehzE6z97QcqxmIk34tcD9FzScoqXVn93ZBllE+s4s1niYFqCq
wZDezvQu3AxN8lzqsMn5Ezcc3HOvt1syJavxYAK+TmIdnbXpLwg2qGnqurnn9wwWfeVoZUW/LRq7
Y8bSrvoixg1hHYEzTGuTvcPr0nRbFunXChXwstFreneVuqmsKWT2116NjrtVYzZelVTuTZjjZ4iw
/KQ5rwf+vBYB+XN29VmdxghsIQI6otsL9MuD5bsz7+SI0vqSSvecSXNpxcyMoWsc+2Au0mym6UyM
mWUDhlW5W+SzwTLA8eBZfUcEVQJTMLVroPhRk5FzxVk7RozLmgxWRGO/4qLZgX1p1px4nq/SYsYD
dt3bVu3Zc25FaXwZ9bj0zDK+ybUsXoZ8c4o07gXYhTIjqhfNlHMsFW2XOsVJxsNLlw0PYU1SfUmY
rdaP/nIiSwOKf0vrs4LCwFm668amWHZQcNuI7s/EyMGLwuzar03DS7phS0hRsa4g0C9w1vaLpGAs
HzFatDGpZMWhkPJicvlP8IYLLcWmgd8D1h3mitS4jaf8BUTwodH6UzHpJM80+R4mylElXlHPAKCm
qtw5nfM5JrvYDQO4PnoKbqe+6+uIA1G5R1+8U/Ni3wJwKyxrl5Dsho31Ja/Teysp+VCn/mgaDIPb
4tR2CWPaZLhOs24z+NHRbC3YF/1WusVOm5Vco0n3KNwHJh6VajQOElxkX6tXamim63aqln7QPPV2
CHnDnNZR1VxkSzrEONn7ytVvRCQPSUSiQTISOJFm7S7uoFaq1SmQNu6TDmfaiHE30G/ron4MmCT6
Q3xqQ3MZBuNNrqZYr3nokzRccy17DBJ7I4Jim1mRs4PysrG6fk5Ba04Gk1aP0HFa8sGOm+N1pnS4
u1Uq/7baEd/3pA7g68hRSJeu3t70oTi2JD8tQKLCwp+yJzppW7vtPDk2S6JeFa918pORWi+T4256
hca826/TqHvOq3ZbC/XbRIADnCXKSFzAkYomc2FPSp7d6IiGPGKSU33tFIK9bzCMPSgh4L1WenCD
loI32Q1N25BA6B7CMLyYXXrwg7Ff4EY4cRvFMuDmn7uI6Tl5AmdFdTdl4Z4rQKbYiId1VqraKhLa
Q6S1x0EzH41EORN+cDvNXyHUhs+SXL6CsA1D7w9aoDwOanehEXVWEwgllg1OaOxfdQWWYCQDLuCl
XJbch3EAiHXeBtGmdLIXyfVpdLMGs0C1TYp4k+SyX9aW9kA/a18yRA5DBl0MnTsYBJ5u3tlBC6Nx
+hyn9u1EX/2Yi1Lu1MC/kVl+UnLVX/hlujIn8aJJa0OA+MI0cLPHDfzevhr0LbocnuXgLWG2TKuz
UA+jPR7hTehrTZNirUYGd3nB1TYNJSQGfE9WoG7rrH2q++i2zCckCMGdX9XbXJkCYKTOQ95HSFeK
O5ItH5sy7HaDeZUkeD/UztNji1iHbNgIs7j0TXAXqVO9dKxuq4CTbCYHWY51PaXatgpcPhrtopRV
vghxGHWtfpswe4BTTzSFQzjMotOIazSsU51y3q+YZujpqu3L6EFkUcPmb9kHPadUy5y0W4elhfAG
4QRFG0/ndCyxtTJg5y0xa9lWw7ixg9y9ggng4Mjr8tWkRJBfuxKSdIc5v2uzz8RSrEwrj9ecMJge
4W8spT5PQ7iDEhXqh0Bzhjn1pOjcbh+nSI5KZfyWVzXmVbhTyQjE04grbcEYxlmJNH2kjaPTXLMq
nEmY0bWwtpVFFltwJLPgyDBVXnIqv6dYs8EriKlSGFn24rruCepMnYkxUU/eUUT+makxl5xonWjK
Eb/sHjzsle4ka3OIV7Y+PZAyexOU1aEtdby+Ru7pKUGJuVY++b2IZ8PMqtJqCIwJkTEmtnujaT53
VHta4jybvnHqesyb1ADwkteNj6jAqO9wbo1Lxw5f2VkfVKPa4ja+qGJ482PjAMKI6VGItycyCjLY
jSc5iYMdZSeo74Zn2RlsNUxDEsdTyxFNax3DWUW8kCqWaVLcNHWCiiObdjKwjmKItloFmTqRu8wF
VVmoCWKJBA1cbFy7fXbbkBDSFSPk2zy/o4zIvUxJDmrU71RVOZHc7XEV2uhDuWt8l6DocBfY5QE+
2qNlGoc01/aVwUlrOKC15Rc/JjkvCa4Hn5vCiAFt8sNVBWtDlM1bFrpHJSdYnkU3gE5v3fQLgD8E
TQTZF2p0Q6jTipaS55rxuDAyYE+DelsnyhyXpCgenHjIXMEKtu3a78CI+DEJcm5NXqW2zVr9CU2x
l8basBZkARkMdrlalAtw4iW7e/KUGi1zW0GGJYNpN2FugZIEgm/8QEDbxnCmK7UDOp802t3YMzWO
5WOhWSr+Sri9Shd99auio2/at0xBjXMv1LMfGAS8NtYK/erK9G0kU9HOjVR3HQQA95OJXqw4N1Lj
HfeYZi2dxRIUvQB+Z/fcpaS28kfLuRRasc/NdgUf21qGjXqdmsoxbYaZZ2Ws6xrnsS9COCY1LiRS
ap5Fj73XZafBrDUch8HBY9kXjwNB4lKxnnU99tcyKp9UfHOk27XrpO5SnFW8a8fXtgSVoPLBCdoV
brgNqjT2mJmfJPPXJFCmi6JXB6kFCLRwaS7LKvvGwJpYvZH8GRgk30aCprSuvA2igYCfKdv1NhbN
sWmBpM+ntjCfBtrhSLEAuVYDhslyNM9aEp2hcXhmbIY7O5zqI4G42DEH41GHF7bvK//ardNnejbm
dn7cIcQzUEWgt0bMbTw7IZwSaV5r/RAdXYOGiiZ3gVTvdFBgUyFUWkvtJlALgniSYxmom9Y2qWJF
9g1lQsperq8Cw7lLmmIfAVhLOot7JlGitd48jVp54w6Ey+bSPsdaQCxvvKbNMZLvHD+UqftsDsYN
RqfiIIw4ByhmFWu9MZ+nzN25IMe9WI3yTd7xi5VSW5NShXAyN7ttTFgV0QeS05GkItW4HbRYp4yo
KsVcwfg39dhLDEtZ6Vrko/T6UPFd/Saa/ZgXQWH3YUQIVhVPsMt0ROOMh6Wg/lRA6ZGqDrqeR5dY
orHOTzWaVte8/fsX+VHE8v1FCCaAq0qL0p6ruA+TmMQnFkKp6+iijjslP6l0VRTzrunv/v5lfuwx
/udlbCax5qwQRi/748v4qupSBahc3PVvfXGvGP/F6/eL388wV1N18kP5uH7+rGqC7gtS69JL3rPQ
to5Pz/b36vsX38Wvfj/Kdz4hPijh/NwjDWwiGAxRZheHukNcCfe39Ji/ROjOyvk/ZNN//nx++q6h
/WuhwlZ6geOmZF4CM8demvB23tJ4+fdv5RcvNUPGZyW/oIXs/vRVpE6gTj1hTBc13mK8bNSFpLdn
Iq72YDH+/WvNf/ZPb+uHr2Ve4h9Wl6pFWWdbaXqRhgcvUVB3NUv21LFb//0L/epNffz+f3pTuR27
+BV/eyEDmh/TknDNOTIfxfK/rLVfPJfwRjB8zoR2sLfzcPPDmzJErhccvPmlNtZ++toNNPe+/P3b
+dVy+/ASPy+3ibZ4EaDDueTOa+w/m8r/YTm7+FzoBeJMQmH341sgaEw0pqKTEMUOaMAnHf8Pm5ej
4eebtXaMoGZd38cPKVdy7veWVlwm+7W3zy2+Y7X5L3vXr750FjFaDXOmE889ro+vAU9V5qMzZRes
7EA1gENp4rojIE8uJ+O/rORfvJaj8jZ0DYcFvr6fPrHQZ2TuxiK/hHNNvYJIHxIhUS4K7lg371/+
vy1Pgyfp9013+dq8/ke/c37N3v73/92+5v+zjN6CXzCJ5h/83vPUrE+qQ7bzrAxVbdbYHz1PIqbw
scxPpUD1g6jmj56n8QnRAd5SJAdzEvbHaZqO6gFINR1UnMgC19k/UYXS12TR/bHl8SfxyxBQoK3A
coNkYv73D7tDFMdhHVIXndiD0YMLZI0BehpLJPssynqpe1o32SgJ6X3o1Mw5SUFt4TPsyIOj0cY2
8WYzi7eE31e+xHaqaVe9VuO9j7tRIljocveSFc20D4w2jXZU1/odpCRF7LRarRRSEJXmkvmGv09G
i5RNPSHF8Day3dQ8TMGU1l/cPLD6U2VIQOrzjKADzvfGNB4rSx4RWteaTgszL3a0tVs6UXfTlGOz
M1MdER1o22Ra+erYvkymDUHOLkP1oIOGPVRlGbteTkt1FQ5QVaqyalatOkYH0YyQ8vxJtsRD+e5r
W+ehuzBLv5826FQmL8nD9irUxSvb6gtVzpfYolfB7sXkyxJvssneGHFBNumy0vxKA5COCzVdGfS7
fFLFukmUFtdeQDS2rkaR1ydEneAtQNBPr+NRUyK6p0nvfxkiCnBorvqOZO/wCOgx2yZaZZ/tsh12
k5TlhiFO4VXd1CBjzQdPOHgpkLRTK5Ghx5crl1bjAI2o/aXTZAendXHC+pV9GoWYdomJF4QkLe6s
brixIyaSVTCHNY5O7BV1m9N7SJbScd/gCSobp5u2qeZejDiyNqPf07qps2QR+BWqe3N4MkFvLJN+
IlWFgCtynah9gG83YdWfE5QtoGPwVLjpDPdjo1zF5Jpc1CBJbmFUGjekduVvsWpW+6yM8se4Y1RD
cgkAky7+LWjg311r1n3/9a51fpWcvX/SIfIz3zcsIGpz8BfXXszgJr7zPzYs/olpIbIXfKczkuDD
+N/5hG6RfYTZDsOTd/H7d8ee80kTpsu/GP/ZA//JhmW8a60+blizFgsZwayWd3ULv+GPG1ZV1hlL
Xp8ucpaWMKwlwHiWm0h0J1pcbvxZODwLUnzZflZRqEQWHgkVzUot/HRZomJxOxJUZ1XLxDYl0Lno
PjwwFeWLBUh89J0rdZbE0FTUVyUqmQS1TI9qpkA946CiaWOdNgiyGsdi+lMFsxEHzY01i2+gHL4p
Vk40vQvrYBbo2LNUR5lFOw7qnXGW8YCx3GToelRBIqVE6WNL44p2xUXMEqC2yjswMuiCEmvc+APY
4VG41ynKoYCiNp+lRKOAaxakyItGdEb9LDiaZulR/i5CQo00zbIkA8g/wu4trRZ1HQxIlxgrhbRw
0VvBUJL7lmdvpcs+h7dqu8skLL0oFWyj6eeAQJ9m5E+XXb1pywpOSkE80zDBLLdVEtr6ZAtedjUE
DRHDdbiszFTbkTt3IOU72mvg/H0mVCQgkUrsJ8xBErK63N66LbXIWo9O1XjMu3gXbmVenNTa5X2r
LpCMwfusRbpjqHC2EgNSWt54deO/1IFzFyswfSLF2Jqj/0ZtlS8yUDeOa2XLmkEUhnv4q4ppbovQ
r5FJZ+odExxIRYPY0XkalmYgb5DdbyGt2V4oAGcFU116eDF9HMidCicT5ZSMCaCmibGawmhclT5m
GrRmXyqNthLqLGTayqTfuKXmIDlJVqEAH02wQ7hU8CCsu151Ey6pegaSzc93FoK0LQrT3usVJ9lJ
R5Cta6JdJX1yQUUdb5pCpOW2qoPCv3Ug/u81K/waKIVcOX7i7idJ/LWWVruqDO4YMiHCa/StqcjG
49aKT60Vq468WafLi0PuVIjCsm/FQBy5OfX4M7onWdPUtqboodVL7ISGa3idL5+62lFXdj0d23w4
IhIzMXzFMOEdQhmYzze9OOWTwyOhPDS9pnomqYCxTr/FCsyLjX2g5dAVEcI7mHfFAgPBJrb1Y2rB
IFTd5mWS/qVTk3t3YHaXwZ4N9FJsmB5lXqyV0aqKi3odhTmhWckpDBTkh0G44k50ylN328xHW28r
XzGn3cOR546hBLicdPWrEcmHLnGWChjXRQUV8rWrxErRlOfOpBnbN87JGIDsagQtX1uJ+QKa4VBr
9ld7qg80DM+TZh6CaOLYKsRlKAr9lFfZJlXpykvbOhhD5ZHqpS4UPbzpArVdJNH4ott3ibIyR+cg
owijIXE4fhhVXk78UNTBB26S9Booo+IhCnmWSgNUuPU9GvBXIanInoXF1UCxmUXxSlGs7TQTGhuf
AZ1aQReqSKqcxaC264JqSy7on7nc8K3rsJc6ewg2STa9uFbXrJHfeBY6bKyO5DPEAYm55bHtp50r
o89g+Ugo0zRotb2LTye+bVLx2a1gbLUDfs28tB/wzuWelvk8xAVSCiNssLWwFy7cKUUS9a7Y+7dO
+E1yhwLtr09c6gQqh8Vr9fn1l8o7fvj70YsFgDu/yZUcRT/ZMBRtv+sj1E8cqir9NYEiTjOpHb/r
I8QnDakk6glrPmSpCv5Q3hmfOK4tnLbc7n8TXPwTD8BPlcLsuUdwh4uMc96lUv7x4DVCTekbcJDn
EMJhfR6G5w8fy696Vu+g8h+OdkxfVCPkzeKDEML+qUBuGR8zuxjaMyOcla7Lb6M0z6kf34iq+daA
2quQ9i8zE5uppuQ7TqxtVcar1qbhaCkW2lNm/rldbZVavYvbcG3W8qvCKBkWy7EV1cAxkvSLKUwv
WqeJhDO2KY1LAEuzBw2C7ooP0RNhmY1roxgnIN6q2A3YuL7RhD8ZRhZanLcRrS4zSr+S5Oov4EUz
eEJFvKhUIp7jVMm4uptf2pCAz0azA0R9YXnQ8BMTmONcbIkgLnWqJ5fx+IpuBzcX0+yv4qHXIJYW
zVqrgKyjGDl0VfSS6PpR6IAB3WxENNCV2zQvtpyI07LyyztfpBuDZHAnRE08MTdX1F4sNHP4liXK
pcGxvqiZ9KwpkZbMUm7tOAPnLHdG6SKxU7a5bPeNVKkI2vF6SMjMnIYcAUK1xPG9L2371de6fkFU
DSG3yrJNotemhjRbz05ufCBpEF8UqG7YjAh80J+hdsJotrdsJUczZ2hQ6d0pxYxmEVpXyXKL+85e
FKb7EJP/QdpGekV6fbKop/DQROqzLPXZ0hvvzbmrm2J+0ieDamQybyMD+lFYD+GqdaLdmDL8EzHo
TD+2NmoJ7KmwkpfWdFe9ytZNujADmYbhYpDvQSMy6+keTXitTLzPVm091810SSJg5xlQwtbPKOy6
U9hXuwICQTDEj0w2gQK4/Zas2iNxu7d0h5BqxOmjntcPmm+T/deui8raO5NYK0P1YpkN8oCG6ZVR
Pxe8eVTPw0aB6JAA0Qdi6FW+WBrJcJQEbaLYDCR2+JxfSiYmYhAG9Zb9wlNAmE78HPizga1u4rXS
tiyb8ttYxFuH5ErTkC9zXomiMLUiooR01XjZDa6nivTzlPjXSaZNzHyCYxLP4D4AjPgB7LsQNX4p
29ALoiDGXobZWsO3psgQQO9ki5Mz1Pk+iqxpqUjkNcK6jV3zqZU1iZk6Oo9Uzk9P3N+qGqOHllQP
vSTUT5QDcFJN3AwO09Z2bNMDJybB95ZRr9xUIplFyLTqa+scNDozLGE9YPlgsFb6zufKbbpViHed
vA5pcenMqo5Y2WxUfNKZoy46D1VkHUvJhMzlo1gYiQw8Mg+YW+M7XZqhDae8VdRVM5k17EI/uSmc
2a6QteqBcnxOedUXDdPVphku0pT1Lm+ZrpPXDBVdL+stft54FUTtEYMSEo5EkmY6EY0yTO5qGnTy
QMxUroqmLPCKRunFhhoAflSpodPPcF+faPlpfKh849VOyi37G4W3RiY8aVxIQ5Wjn+hcLFMNSrAl
KIfTIrstBLfChUaI/GMLMrXvsFBi6iXMFLY/k+sqNpe4XtplIfMD8UJsiBp/tN1f5y2+J2kTdlgQ
F1X6W1z5qxhnopyaI3CMTSjI8UnVR2ZZlADqvgdTssmH5MWMGQ3X0RyJ5VsHrYGJ6puR/Vn2iu5N
EwQDuhx9dofEuF93KAwMm3AEYyJzEVlTspqiqDpNTnI2dLlN3PpaK1EapcwaByCckCbFki0PobDf
Mv+yql06MtFX5F2mZ16bwQ9Y1iBdV2PfZC57TrvvVat4yc1GYf9VyJUMKWjaKmWAP5FCKS3zAh+4
Gr0xsbttF4fdBgbnuGHrDx/9klfQ2/Qup5ZCtqu6+3asgCfEwTmH2ealJHrAS2DWahb2nSgLkiIZ
CWJ91WtIBabvA2kq7yx/vHNyMT1Nfo67rOVKKoi0WNgoTJrRUTZSRfpF6DepTfzgAuN9+1RFqbMe
nDGavDTqQ04ljDlml/MV93JtkBOwHLPi2eokdU20Huxx1dYFYyt7n5TjvRrGqy6CpQwj+r5N9Tun
LV3ysoeOtJe4WhZ+OiIQpKJhiv+MbtFYGoNZPrWWRNhQIBROQha6DVoZgbHxpA9uc+vrYlg7LXkR
MX2s1d8fz3Nd/cfhzMgH9xXcyFm/OXu1Zu3/x0YhcGfLcII4PzezqXsgm9Lqr/uq/i+TkVkf+ovX
mdvk7zaDP10CGnvKErqL54zI5trS79mVkH5kL2yX1aIf3VmLkG47eOWpk2xrPTwS9L1w9PzATnUU
lH0x8RchKF4LZ5ERkmHiNqQj+W9Fa+GI5hEwJ0La1YBOye/3ul9cYH75l2PPtJlUCAagdE4+fkIi
a4uocZP83OOaCUa40QSYFv9l8ub+ubNvuyY8QMwWfEYs9B9fpW6JXcuStjvLABAReXs7o2BjUP2S
cwMI6szifVJkWlyD2VuOBBz1Tj+LDqnCfYPArzgDpAuUpA0N9zbnVGqLDmmVRguwIL5W6DEZCEVw
jpRoP/gojHqd58bKwGGPrphuEOy9Jk1KPYo8auoJhKg1axWmUUJmq/FFqfS1oAGJcQldz0jT2StK
pJghok+OIq42oUW0tv4GDuZ1sKHZYL1eDHZ6Qi5H39AeFZIO+/ikhgz6poFkrEAjxTl0Y3upRcGD
32rZXdkLzg8tgLeNGKomWARLGOGxBUfcrAcYYztZSVW/0AEnrXyiBaQZ6dFXX1tz3Qp7x7747CiI
9Oxe246x+ZwCQAaqA+VFUl8birqcTK4eA4/ZEjlXsRyUbFs1cMwzbaBx0r0mkR5+GVOxUa0yW9pp
eNKLKV0YdblGfkOenT7cZEjTzy7YEs2ahkNp16e/X3O4cn5+XkgT4IGc7TUOvuH3eNcPDXxgcwVJ
7qI525r+arh1tpxkl54tnHML9tMXPCvJAoCkp1kDxpCUeZORnvhUwNmEZJ/rQX2im7GAD3UShfNk
mHm4rjNRrttWJQBO6KTlRFj+OxSXuBrMbEu7WC57LZrFXgr3ETYipJk5eCeEGlk0eEilgC73Lepc
RgC5LNdWNn2pCuvVhdZG7mRho6HS7y195O48YkBotCUEGJrwcMUXVW89gaHa9b7+FegqJoSebcBN
SSkc7nw3Ptpd5ZWFQccN+wYoinbUb0XXnZI4vC0jcZPZ7sYamycnScwF90Z1ZZUIo0J4DnULrMmZ
qUVGrCxVX+fksJRXhTXhSdd41gzlSQtpEJbNZKxCyNvdRKiNMhSw86uNqsY7l6wznQx7TqMljh3V
w3ZysCt4T1pXc8wTS///2TuP5rjNLo3+l9lDhRwWswHQ6G6GZo4blESRyDnj1895adOSaJks12xd
U/UtRiabbKLfcO9zz8n7a22qD44977tq+crMx1OjtV9LCxndws85lH7GBZ+b94lVmsFUkfS0CMgm
pQUyOrnIainb0yvcVB14+ZyKQc2BpjIj7iV8GEfJuZia/oVKg5DUUZcZ0qDvByZxKMSpNHCYtT0x
O22baMCPbCUqNsAavEmcULOBRgKR74wxC2yCzG4n50Tg3CgmZpJJxwW7eDxFwJMwLNS4UyKIeXtd
9xWFXTMPJwJmZNPaAnuR1KSEwaRtOtnHK8xiy2GyY1IiKNWUf7AaKEFKjcyY7PPQVnZwtkFENSeA
uTn19rlEZm2qd0tuHenRdFyLqLIhIFQwmhRvouMf13CFOm4JuQn8GnrBYIlo97lpbCw8hJN9KObA
XIJK34XWeFfLaBIL+dREE7eZQ/0kjSdSc2EYHg/qaBHXVhRg4+jqp3H1a84Nu2oB90CmfdeOnEKs
CtGSBXhsBO3+ydb2ySf1fZdcjZ0F0lU2UNUkD9Wdwq735hFg2HSWtacKN5aP14a/pxl+WRkEYO/n
/UiNadaVBStDVT1T+RrnS8rKZXQ/6buPXwgD7rs9mzVIhGUI/zAlrb+nkk4d1SdCpGi3lCXa1AkJ
riRUrw3qmfu4IqaRzeNxXSeUd0kPndoN5AozrWjPpUwRTHxfj1zTC+C6i7nUbHfUhlspqc4YwLjK
Ob5x6/H6Tr2aI0JiZR8FRZ88lql+J8V5fRkN+ByNOMbwYwzHBkU7okObRaHeyhFvW/aadeeozlVN
AJNKytGg9ftEU+kuLnujds6mDC442zYCxONMLfkwSQDabG+ulbuibqFxhPupVlxCo7bbGwX2WgyN
+RQ9NLPTkigL6Vp2WvTJu/prZ1ZkbH59U+nR/Pzny0y9ZPrOng/2/Biv3xb7k1zIZ99fPK4/bRyy
lHNGxkF/SOwr6t1uo9188lh8/FSY756/wiwyOVOj5WCo5wluNN4mOV68j19EvAu/HEtf3yV4SxxJ
STqZ4lD2028xWx3iXYL1B0f11P6pnwrOJDfJbH3y13iNyfx4IdrxIDnQNitstQ5HU+XdCy0IbnHb
1eqBY8wTm5p/nQehL20giHl3bune7cn4nXy7TLz4dt58JTT0jU90t9P2H//Cqqiz/fhB/nguft7w
3x0AnTFxaidiGemD0Zc9qHdXw7a4iANn4zAAFyhb3udA8WgSuPHG8etxox/Kp49/itfIzfuf4ueP
/LsEWA6U31YpWB/uGfTbWG4fOOeWe9bpbuxv7wzvBN/H1jnEwbwrr4zdNYmB7bxj3XPXbQWyxqd0
5ju+dDLsym13htcBUL9/C3fgIHvL1tg7++p42rU3RXD18Y/+LvLw9w/WuzdQUrskr3G9HAwXFFDQ
PddBfa34jZf6oR/7yaYMiqNqe/50shn2AKpmLz1KXecoPcBV88KNmbnfQ+/2459K+CX/9mf96Q01
3401J0k1tphal0O8d9zYW3fFNrwuGfygE+NCt3OZvHLzrX1oduojhbTNx68vHt+//z1/fI7erTYs
NdLS1ct8kNdqY03T8YpPaRzk6pNNSawqH73Ou1XHTmxtHFemwThTu+P0JM+7yfy2wDGVCRPUwce/
1e/XuL9+q/eXSalg8TeadDjEoCsXpi+ii//fC7y782kzjUsmmsZDZhyrKXVAx/I/foVP/jDvk1xS
UdulRQz6UNUHshZBrd6vmJU+fpHP3qd3i1unYJ0crbQ/zOKvAvuMIfVPFurPfo93D9gAe3Iou2I5
TOPsJYxZYoUBzfzx7/HJ02W9W5XMMJIWinPsBrPp6U65yfL+TCOPj12SqXb1MIK4+vglf/t7GUSn
CHnBWno/N8pMqxbWST8c9OKlTQPmtCjybT9+jd/+eX56jXcfmjxyOqmJ9flgpDr1+4ui+KSq8NkL
vFsSsV7PWgru7iCzaFOMzrT8k7fpdX/86IMvtrWfNuo4oekT5jzH3A1cOrlHqK9OuSJ4R60Xb6Kz
wS3+iPj8Y0hZmPs+XGvEb/3TSyKq0ZRejdmj7ikMM6zknUa8tjt9VU7W/eier17NP7jGBtO9a19I
7mW/Ebv6+UNzrh1xa6fZvFl6d1d68fazH++3GznQ6b+OLu8eVjtpJ5lhtf6gnImNXHK7ba7vS8Vz
s63u35XuEYb44xf5G5ez9mY5ntzpk9VLhHk+fIfe/d1HqYPx7iycJfzRBxmIxM10nePcvyR7caJt
B/9BDUK3pGIbtNt6+7k24bMfwXq370nzIOnlVPcH6bhyZ5/KZvrdCBTfOh6e5129KU6srbSVXqIH
zZu32Vnkp88ff7peL14fPJrWu+ckG7VC70oezTaYA1K5biJOdfvMu2ZEbr9ngMtdD7TG75hj9oug
3lrng9v6wybeM1vzmH+yUr5ezP728/z4uBvv3hJbcugNlSwpzUbfmltcUnOwButJcqy4T0xlB8AE
9/WOot7J7Fk3G5vTQbnpt1lwlfjikPDn4eC/sJyolv1V4v1bxPeMikzEw/S3uBxf9VfP3vqiK+Dr
Zcrj+h+o+reevULyTThIDGq1ZL5/puVoX9goTJh91O0gDogL9VtcTvuCZpxSusm3NUjZqf8mLve7
fC+RdlQeTKzQW1fsd5ewBnh7MllyCHsT9om25pkDTY/4qzQ38nFpdeC9JRGP1dP4KAmXBztSWBat
9EkbDYVZLyJqO/jDxbhpNIpfct3Um5kGJZZlM65uUXebi4d0taNMxJwZBsPEhJ9eU+7S8zB57qFc
t4FaGjHzFOR5SgYBS8abg3hI0mbT550qri36GDRtinVwsSSHIBHgsnBwHGI3NeftlIoyqdb2RbKj
2TUyCuxGEjJ3qzrfKSwxLSqY5pJGbAvjI5N+C7z1uMWoxqBqvVZk/2QCctOFoq20Cxzh6DjRq3xP
1WU/MwzlGSZdp5XUGqnXcfDVTo9PYJ9s5Vo6T6luXNahfQzkP/XMyC49dmTlpOyq1lOlKdssJsiY
tpbA4zfD2dx3Z1JGsWBiYpwSOOKrqgIcHgFYdMlGSTUo26V9ybT+KsnlK/KYBVVRmGPnUpOtp5qe
MdpcB1FtxvdVMnoWCV4kBAXuMcTRWhW/kL1KPbVmSlGtaCU7g+8sWnElmcYU1DZDkRYldr8l0lQ2
/Lo1hlkAYrT7Vsv0VaWMz8YId3pSpzRUDUYbZ6m6NMkOONi5QbNTAXfo6NUqMchEOlVWLRhNghTL
UOs3ncPyDK9INGLsgKxkQmu4gO6ztoBwrfoBNYDorUrkDAHIgxHv6Mt9cib627mLDxx1bZMoCq09
Mqm/bu6pHE8yLcj0oNIoCLR8Ur/GC+/ThDT6z0raf+ufqHL88/p3nn99em5/s/7xVW/rnypDC1N1
GEWv3BYR131b/6A6MrRFhtHkXiuGH35klkCCITTDjEnOhzE4ha96W/9wLisEhkka4TyjAvavaGFQ
Pn854byiG6npwiwDeq0yePNu/RvhQ+m9bk2EYYDh6X12V43LpVWN4yZ3ojMoXekTH7HSTRbtWuu1
1Bs1iRCmNb1IsRxAntHdVaM/EtkwncqcCXSLUXMqc9/aiPTonBM/YEL6UnfyaCuDd6S0HJ7aRV76
cW19G7TkyhzXu5igJlPdParZWvfmKibIb9VHmggxF1ac8nkrgzVXr3gtf+oVDhjTQC1/WCg8Mt/g
hat52mfODQN/JPiy6Hva2ac6g6yyPp/FUberLKV2R+bx1ViWA2Qno5vqAvAE5YC5MNO1VOjwOBO9
MFIJCzWeBsx1L+tMHVPe3Cl4FwKnrzo8kHAnBzDHGy0Lt2b22jMqWDRr/Zq4BiBFxx80bUO/VXYb
GMZeUiz7VUl1ry9jOGPyems43wvGRPCMiDDqkTX294O8Jl6dIivWNcJWwxIC7Rjp7xnz8jzK1X5U
rMDSJLTHcnwbKSzyji2BkGCumllgulAifGqhcmb+gfhsVLW3lWR8g2lzDK6YoXFyRiiFm07ZD2F2
oS7wRyLDvLR5h8LEgvBftcGU54dWdy7NRP6WzavsIvVTXEMmMuNY002h6g8pU5OsrRArx1IP6kHB
JDdbx4jlr6Wc4XxzlW+TMc0xIKTHqxaCg2sPYEeOozajtJXnz9C+HudRuq41uBTxfNk7ZiCb0v0g
pU85c1muQRvIa+vIcldBTiBW8GIty5U8SAnIWxBieXYy0fBkT/RD/QXiwyZU+XWmYQ1qq+p8IjVX
FWggMwVxKUfWdk3ppbZl9aiV5oOG694rl/mrPkw8XwrEkyICzT721Yky5t9Dnkin1QpfV7He5iY8
0GVXmf33UdKxlsWaqN1vI5Z+F+TaOaX0Hh/vOPtEU1F1SEvqSzFViEWzGZRzstu0501aSyl1jRgZ
tl6ol71Zb5y6QIRbtM4GY2mN/WaKDupQ3c7dQ97sNT5zD5TyaU7DZI8jdpS112+qZokvlql19mFG
g7ayunkL1hvC9jDp8OkV7mTCx5JI9QuZb8iZxP172OZxmC6bvsia9WY0KkwixjjbNGIjlCxXZahB
z2HK/TbR02qjK8MVijqaoIuO3EY3fGeCKATWFM2es13qqfMlxbb9fmrzI+bErU2B+hWMg/ZQjUaK
y5KPWx7zSJcTtL2YwHDC5KInJYUf2c58ZWOlcCuoJnO8fhd7L3Zy22ecJZCngShdwbFgpg9Xmnbs
I0tmBtw6zLpOzzTBr2rfJUaJLMgIyYfBfelpWtjo0WE65HN1nidDUI8IMFapg6cDtkga+yOdqaxD
DmIt080r3l1l2zj6oUvb87kZbpyMwCT9XS8Kp2+dqd9WlXZfyBbkeJy6aa7BxIDkKhgzt0ZMRKpa
SSCD0jhM4ei4Jb4enMn5icwcFP9f1ZuFTqvpDaLOZk0YDO+Zlr0sa3NTp9Zt3SSnHOy+tR0JQbmA
wNg7R+ZQyYSMYs3VGhKPOFklTw6Vb/KcXpLhOOGP17hOCtG2z6ybYiR9uOZa79FCjDeABHxzlXSf
jjj3xKzxq54P08JHz1r5PWN130Ujd7eY5PXAKqAqR7JiHUO9P8mMHPOsY8HLmszYDcfCcbWkgBZr
wbTXicxtwqx/luK1DyqnoZ86OGhsavlQhg5l/nxYdioYijUKv0pLccJc2Y20aKqrzMuTxAnxakEf
4LUT3KBOZy5hcURwoHmamJMGX8MURAXWMbHN47iun5LV6j3c3MU1Mf2dVKo3aMgLL0RNBPEpDJYh
k3075HhlTnurqEM/NIddnbI71P2ToxLp6IqcZ60rBo5tOeHT9qiVBT2QA1m54TrS4XjuO+dRLbre
+iN38N+JyODy/88noluugsPvYtziy96ORNz7TDFnDc0OHg9rxI8jEQlvg6YsNzsmouRfroT6Fyan
OKaQ/RYzVmI6+O1IpIHN0xEDk+4mxCH+6V/EuH89N4s+FlYNTlgcieA0yPq7ks8sS9HYtuVwWJfM
gycqoKaQd4rP6n2vDIMfVYzXFzJIi3ONJQqFiU/8IL9U32gKm6leH+TBcG4IQWMyKhBvrTv0KUbL
zGg56PuuC9erVKUjTn9Pv0ttK3qoq9Q+wpjlHCs8+W5ttcZ8Hi/apbZUY+WbS4TMaczSTnsc58a0
z6ewGUeSBsQoRh25kJlJ+dmU5h10qLqu1E015TCtiKeSqWXSp7xPssXZGGCIZb8rn4xcnzhS1PmZ
Psg10aY6y8kUhLjucziyUi4C4lYyVdqZ/BocH/P0rBVZcka6Zy92zjVFfjZIm5dNFISkzy2S2qyX
W0PE0vmUszzXGLmgljrFxpiLfbgsDVlgPBgdwfZ8aV5iVEsrgXeF4PugjVe5SG1Meps+WBkbvmj5
nUpW3R6azjCP8gSCs4OWZF1VapiSpL3oaVfu9DBmxeq5pLNdAaXJJaL0E9MwvXPoym7yV9UefY5S
6rYvrZtFke7psLOQpjFRr76PVFiyGj33iPvmRgWxu2GmnW/RA57KzPam1Xtt9k27jC9ZayXS90oL
01Zm+DOne0VFg0xJlw2tr0vt4qckxhomUI9iCezWT5+98z+epZ+JI6oozL17xHSVoxkwFDEUaLw7
3AMSbKII9NWh2xRfp9ZVrtYry5UoL+NA2YXUb/1oQ7R7A27dNY70QNuou9D7TKr9KpL88XO8ZiMB
xDOpzTVH1pmU/vVRpzgxDVEXV4dQjY6oRMxeRi6X2JJOMNHKnE0zhlrQqmYLsNiWTyOrRXbA3wgW
XeEtFv0KRpTJMK6PcJKcoFM5ivd9HYT2+mgZJBYhGbJnrfNdk9cYxtpm8awu1fyZjJSLNqHg3DVv
kG9tMV56KQWNRrdDhtOc3aqxzarqltCiwmYNkTZxEPcV5S6dYVxqgGsqjDTTFJ2oIYOUeBcU1PTA
uYq08/kQH6bZ0bZNRL6HlMNNNFU7RStOh9mWXcmut3LGg2Y5DcE6Of2kWStq4L+8s6K9D4OQ9dLU
TO29ndhZ1YkzZNge5LFItywEnFVaZqmxMG444jGF0HwW4/x9Xf6n13z315TmkXn3LOoOTaRRymgp
bESVv3bWTi/wCDehTFCfOLwF7tfIux5tTLnAI+ImY0tMiSb2vZyQEx476YWTZ1A3DclA80IO1ycj
ah6LieRcUzb1fyPNfwpF+Vz/8558mYzPoL2+/6ZQK277f+3K+hedbRcPF/suhaOfNmWL2Sq2XB0V
qcz8Mn/vt9kq/YvMkZBiLHlnoAu/1mlZetipKM4JJQvNp3+xKb8+xz+ec4oj+OQpE0OCME0cneb7
7phaws9i3T1tqwYO+YmUS0ucw0+Su4K5Bz3NzpxB1TKghSG1AfBTa6Asi2JxgsYVZdP0PBuqRnKn
Ypb2hlFqp0MmLf6kduVxETrFFZfh6Yy5h/qkTPrqCcrDdKQWU3alK1N7rFcpzNR+tp5JRDI9y+IR
KGlroFlp+uqRigIUdWnkSNtOTK04+TZTFTaTvDS+jVQGXyQtWS/VzkwGz0FT5ZYLgWLZBslem40/
q6nKHZtAdEIn/rwohvBaxQN6OdRSHl/JqcHnbZtbSrNCNYhZT1oq5+wzilVGKi9I3nZQ3ZF6exv7
yP8IVRqWPF60rWJPxMpaVfepkIzywTRr4OtG0qQ3UrqSM2zGzLKwOpkNUeZWW1gqR5zW2TBoe30s
wLtTivKttaeAuxzZJFZ9RVSr5bF1jONRFLLhulPTLkR5G9sOlW6pEVXvJSk1bbsoXbon1Mz8dLXq
l6vSjaRqRfG8oorOwBBqRjPU1lMDrO2e7FsyXq4CVrG0RrlqTFZQnjotnHwppT9qpP+d0g0amf+8
IlwP+df2N8uB+Kq/lgPrC+psmeYIxwaiXawUb3XL10O6xrNJ2wT2imgrv60HQsknzNuy2OdtW7SP
3g7pAkeNjYYhCYsqI92bf7MecI76ZeMzZF4Y4hEVCP4XIY387vQchQ1iuKLimJ5XxOOT4RFSKZtz
1luuPOb+0uZ3hhIm3lKFp0kLq9dQJnyd5XjOOOPeckL6yQY0SQE76KTkOB7SU7jOk1upyZUsZ99H
mYKoVI0EmaWJm+ekQtuF/xHKZoS+D7jlLN9Nq/lIL+TeaWio2LGjg5BiGNqR1gByoAQeIYZrD8YF
GWfr0k64NezysV6qmzFOVLfqO8YOTPO25dEv5/Kud6Q7sADHfFzIZSSnYxafQOF/7CpuIIljnbea
QYUswtjGLwa6CM4I2Hx68dVDsTDUoqdgICvABF6TTzuYKTeLSkaT1SzQ9RVmbUqRQp8SiJ6S/R3I
qeET0Tnp+vwaLCeN08jYGJl9WSXO96ZzzhOKj1QumPWTo7TfhNN0sOsRRU35FPbVQ9ioZ11VPunc
5bwha6PNUNIQ66ziPKqdnXBBg9p9RGM+burcJhZPuZRyavU0Kc4pK3DvF0vLFM+rkU8vwAo0hNeJ
k5wA0Dxq9JBELlzQpG6DpZoCuZ2OIsfZRapxuazjC7WqZ6tor7Uk2rKG3BfRWviyxQ/JH8mRWwwL
E/BlVU4BonIXwj/dncbO/JJDGPNDOBOVHMre0KZIq2X1To+MS70H6mwn2bUeqS+Dao77hU6cqzKP
FejacF9IkH2rmJlawwyGnpE86ifplkmGBwgQCALr4aDGBhDEzEJ+oQC0kBHhwMIIZIsBD9OWt00f
M++a1ZR5a/5qRa8y3QZifNATzW1ACphJ123Drj5OwqI5EiM/TPcy8WdM66XFTMVUGsHQ6KCr15CK
coadT+5nUhprR+R84IkzrElCqsdDvHT8DQu1jkDnrlcVLUl3KO0gCscglIer1daOkgmKhqUio+2a
MPKjnMLVOGRPfTXf22yI8Grqb7ICzrysQoo4MyJIOdmxZ0geyoWdTGnTl6ys9GS5YrZA3ioyW10n
S2AK4gmM6Gg/F2lzYs/V6NYdmE4q5XszgniqDiBro2KmsAkTQ+UOwNNYuMAAvnUDlBC5VUxGkur1
vMBVeKyXGRMriFmifa6Cc/ezbLoDFtuOm1bq4uSWtyHsz9ReUGHNxNACMyzk8tpi6qDySfgDE3Pa
XEx82IV1DjcoQe3TJPG51szRAxNjmy7nEXIFrOdQM7wHdXgQPGVXNqJdbDnRVdzIEj1OY76Qc4my
bZNom9nCHORCrVv92Ta7Zj/QVkbPnMyvfCMtpxa1aJ4y5RewDecGIpOm3mcTGMXTnEFj1pk8VvzZ
tJ7kaKCjAd2kJe4xhZUjam+60cBMVq3oWu6tvHtQYa+Sx9RWNcahVJjhY2YksX4qq20hubkzD/Uf
wYv/tkvtw+3y6utTC9Ks7H+HMvtpy6SfJ3NGhUygWjx+71p9jNQytPfnv/BVb1sm/TzNJLkvTrWc
mEUX8G3LxNKm2IQmEObSuPuXR+jfiIG4g7M3U96SdXITr7f0nwpOWjqWVJrn6WzObTESk9AWHpmz
rNORwtPcB9hNO6TThj4+TGlxjDGNMSHZtrhEAuEKl4hUcmkrl1FkbuDM0DhZmMcx5UQ6lvv1qxGq
K7Nc/fNkNt3Ggj+Mbiy80gbJPC1H8gfLqDW4qLkxQy/dpFF8y9KwmeQyCRLHPmIRPNJb5SWbl9sp
piemZ2dNDl1aUXdOQgvQSREeJoVWM9msRO66aCR/ZL3jk8jdkh7sc2rpN5MpPWaj9DyNlG2scKHx
Pi0z61bxHXBB5DLXf+g5Lvv4Xhd3yoD7jA4R2xhBBYl/hbHYkR7ewEwdgpTbuKguVDPamBUDetai
Y6If2MyidjtEp1GyN2vtsulMGPDh8yqg9uW5qYA/x/TKlK0ZrMzKFw1GVDV8ikvjejRCtO7pyxLp
tZ/k6oXdLhwdBgY9xqgD49JDJBx6MSQV58Hc57PbOFrjt+ZyVUQ9E8QWAypwaVJPy2MEBSUrx1rp
q4ewbfW6MHU2Um92rHTRLosZ+S4kgmp01i6ZTFS5auSY2RfaWEpiMMReSdpp2whWdcXkVwbJ9wg2
0mXVzQw8wjDdgkTZU2NK/FbrE/DhqbEbQmfJbstIsqJTtVuLu7QzSKXkhDJ4+8bVmzVzcsc5mTal
Yb90oI3neDyL+xaG+Gu1vX+tvLfGmnwv8sqSmFUEaMMUBCPHgOPPLJkxOVTskKLVpQxqfapOi1VN
bqD/3LZ9MmPcA9GQzAUWijo5m/RUZSp/IEmz2NdOOe21wtjWbThARQZn1CrKjTTgFh/kiaU6XMvt
OCEWLvSC2kwHOrMrHZZR3kutG09n7BrXPAHMvOkWvqcmn8/LhdavPUz1ddSM3zpgmcdWpo4QvOPn
WqGmteoLpj5HOUjIlOFlgXguJIN5Kqcfdu0QtjsVsv9VYzb52VhZ5XWmcvyplSSGdFRfV3bv971J
R3HgrhUhFZxNWpJDiBgqxcPg9tUCeR4HoaSB6iiEl9BI4PbD5QRBlITmUb/IX9HKeU083dqLXsOG
omyGED71I93hHDfr0l6SHPxR6YStaG1CP7H7cjvXVfaUEXTZ5WDoXQbaj7Ipnndg8+wNyAYxbA6r
iBMPBsZJuBgBatin9rgcOi52rsN13GMWnk9mMZISlO0ZV0jZnUr2CmJDycjpMxO9eb21/LcfCXbM
P1/fBFnTfRZVCK5rJcTDZf/9f//nz1IQX/l2hSN6QrnE0ADSvBZufrrCsVWZOhkStoM3fubbfoRO
iIsbJBuFcIom6kBv25H5Bc8QXRvWQLBy/5KsyWzQuxucwSwrmXDIn9wHVdou/PtP21E3AFgEUSWh
ei5SLyfekIQ8k7kJ+VvoUTJrAVSDMCXFnMIu5HijkKlMWFWmhZNcjmdlFcIVMlqphzgJlaXQsTRC
zMLp+RulntsKY0stN6cLxQyiXfYJgMx2wyC3G2J5Aa22LYT2Jepxbb9OV2KEIcfljUIRI8bBHSGN
AQdBdiBt7+TZepl1cw7Sqb4q1PTGUkSbOqMnO0jWuimc5l4f6sFHf+qDmJmCNKpRZlRSUDbZQOSr
3U40X1ycBJA0huIoXq0J13dYsZ+hMpD8cNYf63yUlot0YqQ4yGdlKtAyCNc07nm5nl1FSKkd7NSk
5pygVmBcjUJdrbJ8gYbXNqPQWmfCby1E1w5azUKoryk/f+9xYYd0vRAMMWSo9Yd8vFE7pnVDIc+e
nIFe7FJdWUKsjUjvkSYR7AkHUj/Y/9HrqhG3ZdcdNXL5DeMQKIYyjxkgJq/BlmwWunrRZBET1bFl
+GTNrmXoKZk1kFec6diyXd+XenVbJFZF8HCuTtj9F0+ynE1pwc2MwEHk1aFTum2BACd3rKPZCO+p
TJImyLRlX5lpMJS6vFdICKDXYP5X62fkPiZceTmnXsTPc2dHfXI0EmnZ1Lx9GNNCSQiPijO6C9cE
ZsagqC2E4Xg29FfjRi/kG+jdUSK0r04OhZ7Qqi4XcrdmcPuZ7IWmwlpYy1cRGaJQyD3WVjtrsH1I
+Eg4AlwYqbVHeLXNxmEXCz3IiCekt4uz2cGKNav45TCJ6AV/eYqEcWoMWKTSO9Au11YVbye2tkK4
SBykJNTUrxm2P2mRlbRIS5KeBJKwmHBJqD0TsJm7AiCZxwnXiYL1BILGiSk8KPzJU5f7wzPtC3ds
+dmkhUu9JvwpJiIVCIUwkYxHrgmbUJhW+iE/pWt/yUx7jS4HGwuKu6tkmL6VEo2j7rodmAp2Guci
QuNSd2iY6vWoNZVb2UknP0X40iF+SZaUEWxUMEmXPRbCDSNZZiDsiUQZasJe+GMUYZJpUMo4oVJt
5IIKqbkeJpmzAYEOlc2s6iS/Qkqj2sY3rZaRbgldTRSfTXQ/mxbUkKHc5g1eG1ldgkaYbhKkNiHq
G6yQh4FolhsLKY6w48CSO3GELwdY5HGe858h0pmEUWdqi72NYmfsy2P+yxURhqYdWcLDk70qeZAG
LASZhKgnloW0RzKjhxSNT2kQCW2F2EfqdliLHjqEP5MzbuAoblPNfuwRAhWDzr2Y3V1TBq9HGdRG
9f0iHEKqOIJOunliq8OlrTSM3GKkgKWn3ScoiKYO+Z5wElW2fqEhKaKvd6EKaxHVjlNjxGM0IzQK
y9beO229g1CwTezsjg7xSSR3N1ZZy0i95cseOZJa56cxsqRMHu6yQr9qhUWpQKdEneVMk9vTBM3S
LHxL0ULRHJjQLleb4wYlEw/JUSUcTTGypi5kyl/Ym4ZhvC/Uxl+F12nsZHqU07HkKMeSJhN0maS9
jgpKRglFG21foIiaqC85a3YCfmXb5+tFP2KlsIoGWFh7PNc8sjYHsKLLb9A1P2YTxPzG2PdoqTod
sTCaKkWLb8cuuTLs7pr2Re4aZhiMBt4KBFcZrC5FGK9W1FeUDk4WVFilcGJ1yLHiKjtOgH7NSLNI
H2ouwClXwafspYi1aIQHJaItbG/HCeKt/84mrzQ/MS762dmkLb+235PfWc3FV7+dTxT9i6KJU4ZD
zv/1PPGjxGx9sWVAujoc3T9Jf2/nE4N/4RDCjLFFx9MSkN23A4r2hcs3oWdOKBx6qL79mxIzKLl3
BxQuoZxzTGaauTGrmiz+/acDijMbUu3w+B2kzFZ9Q7RCbO6ce1O0R8bXTklPvxix1IJ004sy0U0J
p6ZLbzANphvntd9SitYLzcxolvGE0pLBNEV3ZvijVRPNzUrjZs5HsKGMmL82dbRXj2v22u2hr9TS
+ulf+0B232MyNyBikmiwZNMFAJ5eFxV7OLe9VPXyTF6uYupaIP0glwd1TQCiYoZgt8SQJ3JjsG5L
ZZTQrGF8va0LCBzk2+t18fSSe5IndU2JA6W2z7VsrMlJNumDZNTGDk5NTwZlzEPuZkpku0QBk1PQ
sPbgFeFaRJ6dmKHnVOq+jOTCK7R0QD9iFQfLLMfLgmGITQtrSsfDVo67QQoNbriN/aiWBXYdp3eq
ld1qMMFL2AmwkZTxtEsShtXqrX2R7PLWWp8KVdJwvulLV3qLzCaoBoNjpNxMKMxi0bNHrd8aXJWl
zk9maXzASKYom2yEWKGnyhCXG7pqNMJoauGgr91l0tbV2VFQ5z9b6jbaWpQyLrp2TB9JHHcXjtVZ
QZqbCtdbZh6uC4Et0bp6OidaO1jnJXEheRN1wuobhdXQ7GNVGcIzO1HTh4zhjevZGXJk4OYAN3cq
5STfyVpJl4JoQJjuG05v81FhJfr0bE529OwAmNpimQuxyMWVCCMQNumkjgquhEQks5PuPtaUuj1r
uMmxRfXufyvXHysXjeuPV66AgaanpHv63cWKL35buOB8qzbiCF02LJMEG0vQW29M1b4oJPkJZdAU
/yPb9rZw0VBTHYuW1Y+velu4aLDj6RZ8Isyupoj7/4te+d9CP7w87RaD/+Ob4jz+ddkyclm207Bd
z9b+riHjIqoJP70xv8kVie/woxlvi94e34MEiK46rIu6+Al+WhgpBJj1XGvKWTdLBG4DI6dkb3wf
x93Hr/Prb/L313nX46skpYarbShnBn5rpT2ZrO8fv4AqvsNHv8m7O2ikNKUK50s5U2fLHfUby3mB
o4wumjTBuGGszevGh3rYDf/H3pntyI1kW/ZX7g8wwXkAGv3g8+wek6TQC6EhRNI4z0Z+fS+TMrNC
SpWyC7cu0A3USwFCVkzuzmPHztl77eTWsW4zkheKahTdzPKuK6CNV4uuPrpOBIYaKb1914uHMY9X
Msj/5qVQORi//E0ZE79+za1EC1Faq9fCWlNuF3X1th+SZWnY1xHpdximODS+eJpJbngKeD35Nvv/
p2ZhNYf+yy+AUcRxkTKghPrKZ3j1phf43rpB96YrWQPAhwxWKKcU5D080squq2UA8Z3gTh9lomwX
Tj/eGwiJqXglIG9dm5eNU9P+VigVNl2koIsoSbdZ/s7MrcMY6kyeTU0YT9JCyGSlAQTQ0IdLJ8S6
gWNYcYM0h3pjdBPXqmkbz9fBTdZ5hAobWUfvzttGBrfcvJHctQlJecQ9EbWPQNHR9mWLJnVXA8Yn
cyRrFcaWB4lsEtUqdR5LBEgYI7iAo4BIJmPZk5bp6YgLQS/V71rEY5PGVm4sQELad0Kchcy3A7FB
Tzl6q8oChFUGj53trmzU1mIApuYkkU3gU+2vdD+312WaPWNrQzKGBSyAwbdKI/tvPOrWjytxdgev
H/wfBaVjgturk+181bfWLtzPp+6ttSWX8gp069TtgIet/VWwhN2Lp/yQ49WVz9o+3XRbfeuek434
G/ba9wOevz6+jKZef2TtLOtZzfKRLdM9DFsQuA3u8k2t/005+tkn83U5+qHg+Uk+ZzHXwqtWLLJH
+bmOlqweCZWnH/l1vTC+f4m//UmvH4IfW0KemMYKEvMaM5a6kZHao2jnPtfSViyjK0qbX//An1VA
3LP0oagnET/9UAFBBEnPyywTsS4i1vnjoN1+/QN+VgBf/4AfXjuGL3RjkckSf1j1gPBYGTOn+Zu/
4u9+yA9VNpCBO0/MHK/BcJzrQ+c+mu77X/8dPzuSXv8dP5THibMaM6djXhU/T2YjI5v7QFwCqDlf
f9C/e+Z8TsD1teWX7n+p7/yprKYmieLuf3//z/bbv6OXUnmrv/vH+utg965/aab7l5bV9B8dgfp/
/t/+x9/Hw49TRSDTh895UjD47JrkU2f+ZHTMa/br9ujUJ+1/XT8mbfWzBokv/6NBQiHE0NlBl2Mi
E0Lj/qpBMn6zkBha3FsQF5k6ReGPBgmFENJ/Muv5tBMIFfBVfzRI9m8k2fNlBKv8HgX1x8tx+3ac
80r+06Ps+4cK4T06JJ//sXGlI/T/eu97dZI1JnsObpbRlajLRWseE/vvyHJ4Cr8/LYGT+RYrXey3
DN/8rx6H17UvN0o9qDJwQWRR70lDCjaSKNBm4+XyLC3pjriopnY7c5iuAQAzwTU633kw8TaV5BAF
7tlrvAASM0KnM2oOv17mveXWZ9fVdAkUkpz6lV4ZzJzbUV+X1ahDHI7zHA2ErW8l18ptQz7vesQ2
sG1iu16j0edgdZkPFYN7EwgHtxX5H6seQcg2ISiCTM6mBI9c5OQJPhTNHH/JuSVurG9pmD5iDnDV
X1Myg4x/rY0KW9A6tnPdesC+xiiuqmV910l+i6SGyAD0GjJk/M6qjGMsYyQqGSGyKbHW1lBvmbGf
xt41Fl6nXfp4eOOk1mMdtA8NGcdRMbxxnbyglalLXO72qW7sdWTXJ7KksaVHKdHjSG8i6R5HpJS+
nsPFi8oti0Md2itWOejPzOmeKyHI2c48IurL+gorW+yCIj71EnCImyK1qvBE2iHYYz8zXuKsRDwW
BOuJSfOCJBiTvs5CbS6lsy2scD7WU3UcQm0r83TXaeiO8sxpVok1k5RSIfhKzhAiadIssumjuNrO
c7MPm+Q+dupsKwqnWEXAK5uZfjLCiVm0slk3McDrpjvGFhZUbdLdT9OQtuTJQ4pEc7CRFR9VaSRr
m3s+N8dihXthL6v6PELBWxiC+JAUczeC3EEsIuE8OPZULkAiI1UqgC7j0TJXeWiTMDV159odlHyl
2ZOXPG3LTH+x3f4zJnt/y/Q7P1pBzo4iRk9yVxV+zojSThyylJmeeYZ2CEgg27KB/pRq8X52Wacb
3lNH/FUWI3jxpwa1ir/sLSgyuX83FMUmYDsrmnDdks6auyTjkHq+9cfOXNUWL7xTIBnTh7fGTC5K
BbkWG+V7pifnUieROmnkgVvNbeabDgbDVT9ezLaxRRv7wWyJE9Lknv33yQq1XeC9keH70p8PRC/7
G0dE68ZznuoZr8MgPyJpWvSd3zH1T8kNmG4YXoylZaYAxNLgOYvMZ4sdGCJe4xTYRQQR9FrHO1Id
4mU89xYp1vXGi7VHoMtPNlhFGdEEOHF0swf2MXrCKj8fkmNHy4P+FmLCYLyptPjR9/MnrQL6Wowb
L6q+mJ481IF2kFKfF61wD2StbTM36/FDtCuIxawGeru7t0dx4O9T1Mb3CCmgA1tctoKS3YhpVeKS
2zLdQd41n8vR9961fkncipym8ClXoHcZerDHZWascUIDoU86tELf0PBdtIy7qV/UJijfUSHkh8pJ
Lr09s/DKvjLm+0rx5iNEnSUaBEQPvgLSzwpNHzvuG6013fUAtT6Mq3AdKpB9ZwctH2a4wIPC3AMH
x4aMVK/TdYgJNTD8aACLb8DHJ+z6IVfAfDGWaM0qIPopNH0XqD7v/KrucfJ5EuC+b2XuOVQQfjnj
ukjd8qMdgZNwscHyyLG0sp1HXUH8WzGl2wiuv1CA/0mR/rvyYw/5X5AA4AsTFjOZAKHLu0xGAKho
hmMCbHr3xWvGa+Zwc4iA/i6sMXs2Rb9Bhfm+nLhdfA0gMJT4c0QY17WFvxDsW1ryCqYpwRrqrUVt
fs7dTm4rkg1EMTwPVkhYPEDZGXFq2+FzIAuhTseNSTaCQUaC0xdvHRWaAEzsQWbTqSBNoatZo2mj
eBvF0z4ZeUSlPA/kL0QqiEHP3PuOZAY0Es+SpIYSS7lPcsNIgoMxEqbszcNmsAOKBSkPvBu4Z9P3
s4p/CMiB4HriMGskGqIjIyJSYRGxio0QRBmAsOAVVJESUeE91kNy6CyXYKlEf+YkONYqhkJLilui
gilKEb11VFQFW4SdQ3YF5Wal9fJsqVCLPPZOPikXDWkXqB+fg2pAfF4uKz+9onXasYtY4GtDP2Sm
HzRfWzljsusztLd1H37QSdawySdLVNQGI5WDTfZGq0I4hN0eBKkcjeO+D5n8DxOL1G54CG1vxZ55
3iBYKkkgiG94/r+EOr7PifG/jiaWnIzkHJAGUpMKAvVuXqXkhAwRNjQ/IDoErvtKkCXSkynihuVR
VyEjCGu7TZHrBokc9nhjZY6DRcWSpH7zrtBjYh90/6qr6JKxqGuVn0TQkAo2AQfxCWtZjqKE0JOx
cvm8qCCUSWdUaalwFESB3sr8mpgyTuYZSGf45VV/9nvb89r99UPXTQvyjYNOF4J6DJzE99cvI3WM
PC9C7SLEk5u+SYOPtrP97/0I1Wm96qQmPsVuikDlotcgZrxrX12l+Jsbyg+d/e9/hosvE1soaoYf
/gwTwgMpTUl01QGs+x5TLVLWHwmO+PWfomydryZBX38MLjmTiQVCPXYO3/8pUSkmy0sHOGssA2sY
0i3acK1+6u3bOBgLt20ImftGmP133yW2L6WKVG2/vzv8v3yVUIDjf36VeC6zn9wf1Nf8cX9AnsKQ
kYsDIcD06Q7v+Z8DVvM3tIv4C1jwsBxSuLQ/7g8+A1aHWDruENhJeTP/cX/w4alYuktPHnAnUSLL
H+4Lv7o/sIf67sPCDcLD1oTfSalhTIa9/BKvP/ddM4oiMwVpKR02ggrhlhc2j50JDUAoTddsFCWB
Z0aGCjnPH1ql/SJBgDniHDI6QxgWAULpIFlYFxVNBeUpl/gcxYvF2bfslLYMGPvHQKnNSqU7S5UC
LYiiaskz7S2DPiwfbYRqjVKsdUjXBpYF1zwCZDEqXZtBxPm2x5i1jqAyrFrDeMqVDi7LrH4rsCtW
iA8IMUXLhmZOKvWcq3R0mVLUoeUnKMkddwGKBLapyVOt9HexUuJ1SpOnqSRVg5fgCrUwRO7VBbu6
JCguGuGodDnjz7HC78POFbZSwQA6irx3JVuThV3BBSn6/NTX0zYNtOcRMzbSNmxRpSMIl6oOem+j
GIn0tRkNh7TRaBV8eCLGuSxDDEYd/tnS7XMgL/F7Z7A/SJcYVaIZ3kZIg/AMkVAXRwh8ouShs1sC
BzLNXViFgVQ1QhI5U/M1N3+xIgxksnAPbgPhpZsLbBuOgGugOdEmDpnlkHnyzBstloFbPZRaeLGz
6aM/JzuLZoe/xPocTu1Na4vhlPpIM5oOEWcNc92aCYydw/nilLylXSVXaB5uaW59NK3m7Tymn7SQ
sA7gF4c0k1d3RBLqVeThGuzwOf3NPcEWILSRXq7GKLjS1pNHmds7t3VPpcz9dQlVc+EY8XMVzXcw
ho6iRlygyVlbDAWQFT4fkgC8OvWv1oTQ/CO3CGfae5gq1l4cHTXuO/myMZpoxe2lXaDWedHadJP0
PiE62rT5uoIkS8A546Y5MPJtFp4DtMrMjRMSMVL1Bm4aocp0jFS640TMo1/Dsm9V8mODtGs5+A2w
cGIha7OyibUgKTLJp36NlW6DwYYOLgUvU6hkSdi6IC9V2uSocicJ29ghBbrPVCLlkNh7qTIq1W31
sVC5lSEBloZKsmxUpiXLmHxlhiMCTPIuLYIvp8ncJSoJM3Wcx4ZoTFNlZHqEZXqEZtoqPZOm0V3k
Y68vPKI1NZ+MTa/jyoTEpluiyeTO1dgPg8rkDDvnpCcjI26V16kT3NlkPQmeRHnWNpmedZnwLpHy
mVnvWiO8amO0GWdiQLHZbLuvyaBB3mxbFRYaTfHKr7OPMSmiflnxqPOYVJUneWHz91XcHqQ3VvtU
8/xVlhjGNYYUh79Ei+8FfJRDYfvcYPzwMtQaMt7AXZsTqI8MfTUiF67LYSXvcNyNi6mu8M9MM/Qz
0wx3et3Za78t7e0UhcFKJ/5iX9XFMYp1srei3jq0bjRzDTG0rY1EYl3W1Z2rBc1mTqeDpkfvKi23
bqZAl0v1S/daYgfLOK0OGoaiSEZwn0X1XHsi+tIWZLzFPMZ3nhAvMOyRNBeB1TX/M7O4///OT4vu
5J+fn0r/ef7QvfzkEFVf+OchSlCxb9iui+FOeXpfbykJSTcNZA1eYGFKeD2E835DQmHi0lOLHgCM
fNUfQzhPrTZZ/NCH/Vu2lGSx+MAfPWSo5o/iCmJG+jp3p/Gql7cmstcE0vxrHR0NBEM8l8Na2S7A
qP0wEnZHnvfeIxuutQUXozeafg2cu5bKEdLSITFcv3oTftJvm0rL8rqH/MtP5LV73RaY1I6EQ7a/
CmBXzEGoCYupLU0YTVHZ3o1N6R+GjnBVN4Va1LobV0w16bmkCIFl6rhDRoX7XrJ03bsWciseYVJF
2hIWkB+fnDJ7U/hmuqwaHQ5V+iWQ2rsCRHRpmDbqfRT9IiIKrCByh6TEGLEiNxC4Vkm0s0Eut5gF
Nw7ofriJSbkNJ0kiDYSihdcw2CB3vcGjkBA07i+rPrn3h+GIL7SE6zGctDrkXRIwD0KAVvXYreyJ
ECESrkISk7lVW7uyNG4D2CK6qX2hIyNNRXQsQYf1lvbUaNxqh+L9MFs36cW7gZjZtdG126Szt3YF
/QKf4SJ2cfgxDMX4Fk9nokzmB69D/0KZR/DxUNaxu3NZNQqjqHe1G2vd3fx199jnjSyvGSu1jnHs
pchnBCskGK6YmdaIxPyT645nzc5PqD73Mh2hfYZkOqWXaXbf4jzApoWYYhFYikKRfLId/XOmlc56
dOyzrGxcadZqSKtTF45rcGr7yUpuOoS4IuSeKqcTBpNT7zflqptznYNsPLaD/rYmH9u2Ufbmxfzk
ZKwFw3xKL0lf3Iq0IxuY0Pc5Pehl6i1k5aKRp7Nc1NLHhTcgmbenbN0K76nu4E0KavDGzKt+3/dj
t81CsyVKt55O2VSS8OSbxyz/HGjj1Y79+7ZviFSKSe2OYxIPqvwQZsmtL7SHcQCahWRvUcps7ScB
YrzusxcjoTNccWdimQv6vAfXZazI2GKhOd11fcl1iBW8O9rbsRk2OiH2HVfa3NBXZVk+zIV9y0No
D6NEHNpl6XAvp/geJ/4e8MfKr/x3Ns5A6TnNY6VrrM6S5kuBABrj/dbCfzPPLGtt0pVhqL3oY3Qs
endV2wb9oBfszVy4S8ywDMrHhRFGtzgZzrYjSPfNt1J31hmZN70Mj21bMhtA+4fP1Wm1CzfklYko
kUJxNyEJRvNMe2UBmcFR88ZuWoCDWr6sU9TShZNNu3SkM2gy/CYJnHdr0g5pOz/StuJdyrpL0pQP
YtBXQnAj7DHaLHvf/BD04oPwfMAXGYGUggRyRJwTqV+Yhp1w8Hdfy8x/Lo2qQP/i0Os+0AlmH/r2
r5sr9ZV/nnq64gMjTXHMP+SBf14dFW/T5Yr/u9zwu6ujjmrQBAPsmTTCLv/p1amnxIRqluKChnL/
JW2OpQ7kV2cEpxGrLXiggDFQPqKj+eFUYtplpY3MymtP8vZ8RvXniAtGd2Guuy7Pbh7+Z1LLM+fi
VPWtj/1PdoRJrjHzR+6TTLeM/FSbzTNP/SFri/sEQlKnmcz6BVRNxzlXskyXhTduI2vAM9ymp1gf
386ieAkS0JLlYLZQ6tzyzolAZOScGjFSiJ6xJ8xEPvRZJ84dx5d0fUw/1lAYH9FlLBCaR9mGhF3f
2EPraJIDQ/OOxG1DY4Cv46DjcKgswSBd0y280QQ7eomXb2sPqF1GXOWjFXZo7sN8FNB4gyi2T41I
2mcxhsWqhzFuboZ+EPOy68XRawsXU0jgtOMaqg3+sNZvxC4tvIHxTBPpNQwLlzlnNsqPvYsvcMyK
tx63WgZw49YfcHZUifuhCoFsemMt74SfjRtsVOck1OulyUB2QWr8up7B1cQBCo4QI4QevtGaed95
2v3g5ctiGFE0Fys4gic5OuyvXax6lbtsMvN+apMPlVYeUTloOO77c+/B0Pe0aufHHkG3gXE/9Noe
Ou+aY+Liq6m/1aDiG3eIyw+jm+9Y7p2igChHU176svmoT+19EGc7U7hPaTAwZfegNEVXF5/DArLR
Q1bNC69IVlmlb0envW86f8XKaC9c+22uNlyB/yHwWyI+RxzLuWWiS/hSILW3M/dijf16LH3O23lp
lO05TNpbkHbP8AdXXu+vKs3AhBFf5jK/+iwyoD9eCvqlVprcWcvzYArAlcWF9xJM6bgJ4vgiQswa
VgDlEzt61x2EI7acZO9NR2z8pDtXmLijkvhY9dZHXvCIwRMaqrH1XQlpEzhQH+iXHgvzVItL4+Ie
meCKztqTE1t7TPq8w2QLcvXbt1wuiUdZBGH9EmD6HIrsrSfip1KPUbtrm7ByTqyeN2ACL7rgPuRO
xmm0WfrwS3B3Mxj5GifIngffI/0n7k6RZ2y0RB5HGe/LFh06q6uXxjPJAZP3zcQ1OowG545ja5u4
Y3xxQ/s8OWZ+bTJI33maIWhKzBIxJusOrPmyvuquA22Tj1Qf2PsMwtGydscK00TweYoIj5EgRXPr
5CXRnaw7dyWrZDWwnFxZdf2+ExMfP8vlQhhuZT1MG80K389Ndh4DGW/8vH9Mx3BtaZa3SO2uhW09
s/xLC6Juc9tbajG+QKCXxdqMjTOX5Hu7YR1E39MthOQdH0RwE5W2bW1cU4Mod1Wcamh+PbGppXHu
RL9Nw2jpMEXXx7Zf8+ng3TKJ1gv69lbTlS0Luz3CaiCTYmrpONDrh+SE19rWsMZ17taXylS83Dr/
xHKYN2PWOILBqsEu4MXqMMlk/h4qpbVi10zbmaJWg9vVLTXRL0sd1jnoBDrZpDoRJdzTErExNMt3
nWfTcJr5sNTy+dIb1lmmyWfXqgXrUKBlFUtOqUzChRju3cJ8ww79wCRn52t9toEdA0cgGc/gRCaE
flQANpzc6KsClnkd9osxIYVR9NOprI0R9kByTdP6aXB7dxnH8jFyHT7vAL4LkKIDe4ww46UhCZ1l
USOeAq7eSzzKAS5kbTzNREgeWZGly/+c/V+ludBgfnX2fyi6D/+1BFrz4SeHP1/65+Fv/IbgxED/
z/vI2Of7Ky+eRtsiTMC2A1Npdv+YG3sKw+0q/a3tKaT2q7mxi+4ElUrgIlTBDgDP5l+YGwPu/snh
j1UNX6Xj8NPUL/H6gugZkZFljVNeTR+aPsxbk63dNGE+IuXclJFBpGe6ybC5FXmBHwCdwnOOBY6V
8sbHQcNg/eIhMReOdp21cK2T9bzMhFeeMuWno61+M2Gw84MKNmpLSfK1bj1gwnOb8CoQtjNDU968
Unh3MrKwmjWzqPR1Bj4e2YmDksSQ+mWmwca1Yw/bOIyzZQqyZlHoXbxMDAK/RVMxp5xWhh+t5xD4
DoLncte7Y75iqniRk4qXnWaCAIKWpEzZMcIb9KfBYEoOf3g0yZPsApssTp2hotM4n1z+zmWV833r
ALBfP9Dn6HKkVyjEpwA0wHoKS1Loc1az2YTkoLDDfVZxK9BzuS4LKC66euIc9eyF6imEXsvokQcz
UU+opp5Vrq9XzPVLR0zUpxmLkts/IlMhBpsH3UUOVKknH5vcyZZAiC1VFSgr/apQlWJUNSNQVv20
7s9VJaplOpXZZh7Iv26cg0PJySk9gVBq3BEd6Exwrqfq00ShGihYUTFfZlXBelXLetG8yyhuYV9S
5Sh39HpiUakKCMlyqamaWKrq2Ko6WamKmZnuXlBCU1VLLVVVzTla16rOjlrJmJXKa+rtxaQU25Tk
Us9POSWakcTRUjWbGJdjPfCZCVU5T9xu4asKr7OsX9sU/RbFQ8shUNfW2XNipKFByQmmTorUIJKV
o6MRGrpHzpI5JUXBUedL77v3pmueETyV62YivspWp5H59VxSJ1SmziqR6h7dGhoQVLlSnWeDKM6R
Hb6f1EmXaf42Qpa1cjr9jc1hKKyaPONM0BhwTvocmBGiDIMDdOYgBU30uVEna67O2LB19zBYjMXM
8dv17TUhK1cDs+Jl88sks3Tn5Ywk0+oNx1u9xPlxbJPZPheERR9EFzyXqX7fOc1nv5qWTU2uwxxt
mMVwbo+HoNM2jW4eyyy+JGV5kKK9FGV2Y86erkgQhjAQ9uPeDZ0vaGF6zq7RsrdJT97qwi6G+cF0
53NUM9UwSELfYOyHnWO5/Fx7W2X4gdUsZGIoMjIcaZznVs1K8j54Krilk9V+bBQSJ++c/ch4JQKD
088ceEPCjNfp7yh2oPABO5kOENUk4tPHsMZquxPXIJRTiF1Kxjke6w8IHg8zLPaFqyY+sZr9mE3H
g5KzLAoig+GHmhFZDIvIrIh2tZofmWqSVKqZktbzySkqgzNWTZxyRk8+IyjPLr6UjKRyNZsiM+TN
XBA7bcATkmp+5ahJlt6E3sIT1Ucf488pSONzIn3KhK7f8jLnYfBq4zpaGfsvT671eXzp2SMsclfe
W+NU7a1ieI9SYlPb+rsp8c4g7zdEORMrz7QMBURrbzHMvi3w2qwAemwqf9oOYYlCrrkFSXbUcQ3P
aoTh1OFFeKA9EjfdlczzD57mPPl9uOInD0srsB9ZLZrb2AEpO9dGhYFYyHWtmWfJY3DzyuCeYdRO
ZjZg84x0Wi8zUbULQpFKC4af1634W9knpa1NR1B/iJnDL7sJvrmbZWv8TF+i4FNSefdtZ92nvCac
A8bSjIqMyYl/A4Ky0WMo9+GQckMJPdIT5jFZjoPYxjWKi0RkTBU77XPCt/N9GN+OQ46LE11iTKDY
jJLhaGtGseYNnXYOGduywGSaVyxqSsilvV/sAlmjz0LKsJesiUINV5F1jFFeYsny3mN5TvaU40Uk
bQf1m9xocf1gJkQdzFOzjGK3X0tYI4sgaj+lZpzQQVrbxvEwcNU1EWJ4k02zeugdebL1VsCrqLd9
Qa1Pqwtin2xfGeM16uS9PpVrLbQm9BLesayDnWZo42M8T/1m7M2XNGBT2nreHYISgPLK3P2ffupb
P8UA4xezlG/9VNPPP2mn+MpX7ZSD781hoEIH9BW5/ecsxWSjDi8BgySjDIYqr9spRryYOgOPHkcF
sf5jlkI7xQSEjbnh6d9iTf6Fdgrl9l/bKWxWaGno6djIW+q/v5KfgPAj8dv3FYkvKcF9ug15GiBu
MkB6CYDMNYpbAyEH1JkMFBu0325fO8aXgYNxUeb5eBgz9IW0FWLV6f0uKqM122gHdg8z97IgNLwn
y0R44uMYNnAXBpRTQ8FFMSP5Yu2hlwRbPQU37gFPTsMGuB4t7oHIV6d0eoqiDq5/8jYU1iPHcHH1
FIagVECCXqEJdASdhxxaQciSdJ0GwR2nsVxIPvlwIvpNZPIwFDwVbHiOopLTRpfFWmvlPY3KVaoH
CTntZeDJQhe7ddSjNvDM5V7zEKuHsJnKc6sey6iztqkexCSbtJ8m9eiWUTSsPfU4WzzXUVI/wIfZ
kGlAwhHA47Zpkv1ALTCM2GOsOxIMWePJn0lX+1o7ZL6LVTWRpKWvskaRk+b78GvFUbXHU1UoS0An
5BSmoEoOgapUgpI1U7qEqmGJqmaUpO2o6lutKp2map6hql9PoFJPObRUXbQokJmqlDjp7wWls2w/
mxRSj2/Xq8qaqBobG+2HGDQECCTqr00hFqoio5I0Fmh+FrhkMfKouu1SwH0KOeLr8lbnxrlWNV5X
1T5RdZ8VmLmFevpoqzMhHYIV3OKnSp0W9ELk0nB+uBwkujpRfDr2kCOmLTs462wAMn2bcQSV6iwy
nOQtswp7W6hzKlQnVsDRNXOETfX0zuRIo0V4b6szLreGe5oZBvEcf/xkuZYciIM6GWFX4T8ypptQ
pyYQ6nOgztHBaj4a6mTtGsPcJ2p5FGu5t649TLHrqWhJ5Jk3jlo2NWKoLtGgeYdKraLk162U93VD
ZVX4pxCy0/z442FwrIUfepumkjtlQp0cC5ZV2DwHNuwBhmHskip+RBsvqj7dNSPBob3DS+xH4VbL
4/nJqkpjYZuMcazKe/Br99gZ00sW1+kKTdp9FiI/cOdhPecDmMRxZQSCHFKXKWLRxp/FXAX7rvQ+
Y3yJ2HtB0XCGoIUJ0d51dclL3JxDNjorFJvVofRoahPmb3WKOBy8LJ9wH8yKnPgKOYDZHaMJ8H34
JavCW9ZMPeOXTr8OcV8u3R6PUDhnx9os9PWsu/Uu6mdSTQbkPMVhFCYm4tB8FtXcL1y3606xreln
Cxvei66H6WOp29UuG3wUokYWowL8z+n07XRCz/WL0yn+0HY/u+jzVa9OJgsYkYFpyNEDj6H8PwRi
1m8IvciJ4L8wZlcI2t8v+rbxGzg9DiV1PLHkVmvv36f8to6j17HcwCdDwubLnX/lou/81YoHBZfv
wgnpWCzTA47H1yeTqX54ldXZTaduLRy7x4Jnj29wPEQoQrRrFbNtpc06p5mJimXydxBWK/ACBtAY
6b/QsaNWZVqawu4pDGyEkxVUizaicvvWzs/6jduF61wau5ErVZ5ryrqVryzLeG6dbukmrKws5L2t
pAP1xHnq+heGpeuRSXenRVxKjYqyZ39ycYuQJJGAPWNvQDhPvxNVs2uC4Ngini9NZzObYg1yLF4Y
znBycT16rM9HM+7xJ9gJTkzzQ4YLGLfNu1gfnI0Xhj1OkHzaNkYGhdVBr2+77cGRmEn8sDp2JkJ9
S6zTWDyEA6g72CvjekC5UkA2WrR+tWE6ru9yfrkjCjxzOfsjD2ZhFAvq2zWwss9mgrViMrGsJRFX
DW0KH5us5DHv5UovRo1iIs6pTZhiEpnpuhiIrSBvDOOnLCc4fv4a+OwhdjrsGGP2xOVPO+Q1iwi/
vIubmAB7PzgYgxYhe+rOQWE+1tz0GNncsTMn1UGp5BGmbvXZ/2JoyrVhFncyZo5j+8GzEAb7gYq6
FJYeTbVFioFrPc558pwW9WrMqOdgW9BPJ8mJORHyLf1L287uTswScEvST+sYQQ7rTuuu7+K3seD3
j1gZgXyAiOBWNhMXdPNVYdkgevqXUiDJaTOESM3CTlqSCDuD+Qg02UTHjzuFQUFHE7+Dh3iPskku
S79i8YoaEGleuqiLblp0UwCzSfB1JAoF3BlSewti+VqWPkL1kPe9ZVRhyHpBYMez0SenTiSnJgmS
vRYZuE9cDkbbLLgZtJPJhNVi7txVgHnLSxEHpxquAy1Li1W6TZjRl8+1qJNNnWEs6ZNmJYleckd+
0XGgczCyYVcb+s0022XljOTBGeGxifp9W1RPvTZsy7YA8VJu4HEFC5AXcCDbISDZZ+SGm8WMwPTh
3VwnL+1gMl6WW2a8BG4UNQJEt7zqE3/V5N1K5AxLti0PfpptOv1Qk2U7nEMt2Ux6sI9kcTWc4mYO
4Q6DwFXrsYcMEzwn1Tr2PeOPMp4ZxDDQc+lv+IAm4dLV4pBhFvlWBd+0yJ1qCR80Z4rEYjvXhy9x
KtOVzC1vbartspW2H6VwV6xnvnhC9vtSq4m0I+BzaxTOPjZQ1c9wirhYIT1Y+EUgt9hCaFelFS5L
L2Ybo/nc3zGhRDLuDmWYik0+2J97B+dBH6efS2t4B2vkE7wxsS5b0D6RNd6mnkEW9PZhOXVuRxy4
OVhLjAlmczSjrDtSe2jbfDI1ElnXyLjybu8ULORZpVWu8zToKB+3MVudbW9PFc9SXRgL6clmhpUY
SWPtF5oNwnIwLX9nE0XKZswC+3iBrDT1D4GeG93DGDSadexlXx5H9Jvxu2a2zeGadtWujGj+KoES
orTJikgSJ1rU+vwB5eJ9C0Rt2aXyYNtFv2m0Rm59zT06noSohitx0WfuJ3Sp/4e981puI8nS8Kt0
7H0pypuL3YiFpwG9k24qIBIq7309/X5Jo5ZEqLd7wIjFRkzNxcyIZKEqkXny5Dm/qegimKgMhfpD
JJn21BfQRUUezWMtYzJHKZg6fh0rUiP7krv6BlkzdVbbEL+1sfhWOz6VAUTOKOd0kHzQBQfqSatl
iPr1kFezPnAwNs+ltZ6Wl5LbnCR29oX6DBJRGsnzEKJGBCnNy414Wmn9McwOQ8Z3zrHyTRDhKyqE
72rVwH8WuQmy3O5aVsMzt3JOpXD4HPvqt1GRuYtnfIva5A4RkZk0HqtDjzGXAdvKK68iUUKWfez6
+lmP2JVvreUoxhqhzzadNx75CC5Newnb9wJJpAmT8cy0hCGg4XASkaRLCuvqrLOMEUBLsx7lAfRP
704ZhXxlpdTEKshYS01vie0ol1pOYM1H6kVQy6SbOpqNhnevlojF2XqILLHEmcqOnI4Px0NJOKsB
ilWmI9qzM60LYFahBH2e9Dn93aw7BUONFYzdehNPsc6DLl1TiUC5NXfPHQhuVVKRm9Ub0+mGudpG
1wMnHzJITmeuwwaCJtet2zTVrOnSe6rkx6EU8YzN+NAUjo9oqakzB5CiROhHmpZZva0c55YAvZBz
ZAwSv56onrbC4/0W5stSCqx+2nryEee5i9bOrxwj+xqw0U042J7pMvwxg3WH+6G7dEelnBpyeeRJ
LVtC3XkTxA7pqkfRkWMMgpSI4YytFsvKCLppoFfnUdBckIksUrW+axNllUcFqXWjMgEbvZ9HMmbC
KAMXVCxdzL09fmpxVJmZUbvEyUhZmtTkjmoGdFr58bmcV+HEturjJuUoWJjUtKr+NkYLDhIjmyAh
izbn6C2lTjmJ0aSdDh25tUBKn3iKemEqNdDhKi8AksvJ0ajG2qR1XVxxqIFPQ0s70vXgAn18IHQZ
nJeUdgBBjgBndKsxUVkShn2hlu04szG+mZlZ/4jqw71mFKiqWo+jrj32przIK/Mhi7wH9EjNWa0F
R26SP8iZvdL08roDwKSFElw8pOvl2D9Ry27jJfGysdStE43HXhNcjoqF+V0tX6e6COKSgRVf6f+7
KPSiDSoEIf4i7UaWLxiyZkdJiL/7IfHWYTtj0IY4F/hRsuvvJSENZ1qaW8AuhBPMD7YQOkhU7LUN
mXyNUhLKVj8m3o7oxsHyQBmHnp31TxJvpLF/LQnp1KksW0OvizT+GcjzY+Kt0NjAhcDMLvpSZoG1
umAc6PjT6x3K7UQiGvX9pJE7+ZyXkE/kOCGpNAMrOkIUO3sIErdaU/ai7qhpxXVI4FgZfVOddZGb
P0H3wC0rboNTP7bQ0qPegWMroDuKSCSBF1WZ1OdFGOqfoU/UC8VFhHvKSsLAIHXTs8jLnScbKDct
CbgSClRaFXDPcrTN5La2B+Nz3FK76VSjWdeVbx1FTYoClNVI0UIx0KLWGhlEn1ap28xo4gdDjtOV
Z1TOLM3datOiST73ZTsAMeN0SyvEtwZadX4JXnsOYr2m9+DlsxYlRfQWpVRvH7MKGM6Jkrrj0C8g
rTZLKLiNtNU9J/TPUPlrClLYKi3PLZ900fKU3r/2Q4co3zVYOI0EIWG24FCJwyBCp4C0QBPQtlDi
aPMOZh9ZRHBiSinpctBAnwhbtUCpFN1SB+DrZ7OLtQ3yaUYGecFMFxSXjeOhQeu67rJxI/qo9CvV
QD7xOry3Ak9xlm7eel+ZScFUTsdx41b+uDWD/qGUikXqBceSRQ0nUchpOgOJRCnvPMoTSgPfBEIq
Ia8eTqOsz2k1ORH1tiSD7Bx0XrCokhroEh0yEuuouNetgBKbo9xqBOhVLkFyA0vVTgw4AhjLVua1
7efJUS3Vzi0is+ZZ7xTyDLSCI1PUN7IbnO7gdbWx81XCjOEYbJU1yfvkHHcbaVbWbb9sJep58y4u
inrWu0GOgk9WHQ25m15x+q3IEzAY8Yh7s9GxwtuetO7UCvVwXZEgflZcxKmhGsBEjcbs89j00gmT
15tqFmZGoIHdB3tMuts0LKmUZT3o3qDPL/wWq08A+VY8S3W9rSBj4sEOOMSvOTAa1QwYcYegXWqY
GPUQfk06WTHymH2nXVJltTEDyUxlm2f5uCgEptIhtk/qDkXZf5dAXkoggAz+IhZnVPR2lUD4q++R
mAq8boFth9kKD+4XETJ4klTthTjXczHjrQSi2VTgQR86IB0ECOFnjhy4PUI68Z0YKoOB/AfFeTL3
nyLxs1SOI6ow6IRBu7OeXeR+KM7T/I3zSA7lc/ipsNWFlyQgXrN5LMNm3uosPDlxoxWyVqRHinPn
1i0Ofpy86WdZX4FCXlvwPulnqzOAZTKt+OBrI8lHVVucIm3soSeFagZoSYxf23oRacqXzuq9ZQXc
6CQpiqOiZR2MwblWS0eJ76yraJgoZQVo1w3pAQ9kg1Zlr9KA1hKRytKQX+/MDDuT8SIyG3dKt/YK
favPZLrS1IjSyyGSlEmWSzeST9vbbUNAeUEAZdw8icMH3B2/dB7mP2DgrqoylCdlUU0RVThJ5IIu
ApLzQ5apaznXz326zxNZ0U9G2ABt2pzYlfuUO91JgDKOyjH/Ugf/xQp0EXggO6MV8Jmy4xyYt7Kh
rC98C2ws98q7QJWfPCo7E3hCxZQW421vSZz6Wl4ERf0ostdD7PlzhXdw5WgdjPmmCrNq0bpRMEdI
O5n6aoG0heFS2qfuUaJUQPw5h6HxBT47HWRLPe3tYlnrUTZxoB9OwIAubPyvC9c4j1TgHpjSrJpO
kRGpde5C01k0nbHGf2Ep1zaa0XZ4CYsaT8W0P7Wr8bSrbHneuflD4GMIzYYQclaO7oqKLRUDpwdj
7E7wkMBus0q+ZXa5VhXNw1CYToKv+7O0NudUIuqpUquryoUfUBXejRqXRzKIzimZsAO6EhsXNCef
Us+69txh2URdP6fXfDxk6jMnYdvr+cnIlmOG9T3/tkozWiZ6a9PtVuHL+2F9QQ0pPnX65AbWnYJv
kWOR3VJSxHXF9TleVN+wDl+FVrk0W5J0BM28Bb+4VppinmdQFOWobSetVF0rbbnExO2zPih02pGD
zG2DAhui5nWGK2uaJmjH+Qgaw8HT6zGejihWDgJHCi7ZnkZjuc6dGCuaxK3n1ACWqpedRIaOQjbQ
/QhVfj3qjkO/Dqd+OZyVDmOvuyc1LS/wcYE1POLRWN77aS30Mx20Uswsta7UXLYRPrPLRLqUc6e4
qgaRcyt9sKg1eYG+hwl9zP0Wef3WxS136mfUI+XCOrbS/q4yy691RIqQZ9ml5TlLyY8uFdpSqF0Y
U6qts7xHyFOzWowu5HJhG/WZosU6L4dQikXZXuvDVVb3+tx3ydSc2BqnYVsl0xzj5jrrF5o5bHoT
lZC+/4LZ81x2hlu+aGj4oYQrk3SaFv4SDONRCnrFhD7ohfHMkdxVmAyLyE7RQYCvMujjsZbX90pR
AqlFOEdN+kWbsI1pAdtpUNCgj1ThYb/sqNkkecIXcleX4XLomwU0DdxAmyMU+DAPSa3ZkFQzP3Ae
klA4fpY+whmOAlggQOQnMZvJGNFhL+QzamiPFZQJGSXpobfyeaQ7My0f1nhoHOG0hxycKlNn6Tq+
WwPcNPzgqnxsyvacPs+sCvUbOfAoEwzl6RiB7tUNfKsjVqFMRRXApoPjrHxtNO62MOG5Oi25CEqm
08pqVxCA+6lUwIPRkgtXBvHiI54RBrQs7aCd+nqz7qz0pJfALINkhadpf4YbPIHXsaKJRk1aXjpW
c0Fp6F5W8yMXGAD2gdY8CmPiX5/CezazK61x6mkwlue67E0GL1wJ97M8aM9cc7yh9IK8SH3pqs1x
WbQodkDO6J1hNo7qwjRLkKzKEeWZdoaF2EgU1haOUZ+Q1S1sstOpQ2OlyOWvsVup1EeaL1qAij3p
sXaE0sKFgn1L7nmXymifOvbQTseRop05dscyyEuqCv40yj3MDqXAOdI8o1kiB3YBG3gRxcOF6tjf
NHWkOJfPKkpfVWlLlJeQv+2k+nyo84vasm8xlvOniQGsvE8MZ96HavwQae4w8/L2W1g1yBrJd3GT
gsvKTn0H+gsKElcAdKjhlt8Mb5g3jZKf+X2/KMLxNlJU1G7a6I4IPK9S47KUXHzAZOezZJb3fQEW
OfGp8zeJRffMntYKB+EIpZZecKu9E70WiDF9OHILumZUhwv0ts2qiu7aWOposFEjX0hj3U3t3p7H
cnBEhRxUWZdgSpX5T3qrNbOhzXrhqrxxxvFcKVHvIF3A80tV4LyOkHq14puFUDeivNEamQrCJVyx
Gf3e+yxUL7JEvaIvgb9Lpk96v3rESntWywJJM5xXZk8BgfhVWiiKI3Z02w/SHZyEmzgAndKl2iyH
1wrSujtvI8Tg9dGGPwTHNW7C5rKkoDw36JmsdKFMb4Ljw+lEwaboxQv2txpg6nsKv4lujWA9oxYA
A/EX7EBVwM8YHM05V66TyYOxaC+KKYCjqbO5uarWKKnMM0ySg1Oc1mb+Klv4x2CJw7W//HeC+5Lg
gm39iwSXlG1b7ig18FffE1zlk06pQMiXGJiNCO3W76UG5ZNDxungIkkpAi3e7z0+zQGXIuoJAENe
SapvPT5yX4uiAPKlCPOSHFv/KMF970CJALmuqujH6eABmEq/zKBWpXxXSM5wTkGkWshSnM4r4E4R
NhW2W5xg0NQbnCUNieTRTfN11zXXMqZEhh1BUSvpKQe+bJz2KSVo1L/Bt1b6MUUSeRoPWrVQFRzJ
IURmKwyz8ktVBx5r6rV0goGAsSSFe3BGCHKSIT+mwOKATYyXSYBIj9uhYCblghDuIZdix+00zVpR
fraiaZB1AAxstPAb8ALTNFEvI02Kj1qo8OiDGXO59I2VZPX9hApndaRQgoByYabGNMijK6w4t11U
XGeUQPKkA28jm9JRSF0ZV8aYrKV28nO5IYdV1SuHXXvikg5BhOroCzWzSkDR3M5Zy+BMCg0x/95r
L+VovEua/NYJixMMI7/AEFyGecLDjp06Te3wVDdE0YaccsztJ7QVsDQcomJqq+3JYAmGftwVU6mp
sSvAm8XBaSuiSsI5PVu4BFpLKtbAqR/CAOiOpeUuLrtJOe+M4esYqGdKUPJ/qPIGvhdPEUso7ItK
s6VhKTVii/H5PMSE2mkBwdPGzb3M8ayH34/yD9719UkjduJy3I42tRfDak/S3iinVmmhhlAB1U0b
XD5x+kBwwUZT1kH8Y9Kp+n2O8UYjaR5Ux3ze9qqBQeDWteD0qzl6D663GYb0W2Phrm1F6MbV+gjM
Sa5j8I/o3JaDiS1jIa8AI9OzHDd2UaFRTHt3ioodJCWEDkSn66ilzhyG2WUjJ2jQm6hw2DF4yALh
5gQih4ZSiGKiS+/do+LnTOqkOvHKOob2RCHapuo8sSswJEHkAeEeRnllxSnxManQ3vXIR4PCuUPL
HIELwLVFZZ64nV2C260wgTKCjTyMyCK12cbq6UGgGR1guOqOK/xD9VlXR9E893QQripiDLIy5vQB
UfX1au/acjHQhEyhrlBHWNdC06IR6hau0LkIhOKFhvQFO9+liRRGKjQxUqGOgTzWaWKqKwylYWsg
oNGnVTWLJZX2rw9/TahsmEJvwxDKGyESHBmu0LQFEPlBnIOd6D5ErCNHtCPUaSgrHnIhhnJWqqRj
JQIfuK7Ic7SOoUwL9Q8HGRANOZBQR2S/yv2VRqWrC52zXk2vA6EgkiAlEhccYyuhLmILnZFcNEZq
1/xcZQXEW8RIyCe3oZAnGVR3OTaUYOCnmpNKiJg4qJlkQtZE84J4LuXRfYriCW7PCC+hgVLK4ZdU
iKLgnFSTjyOUAh513aCcEqKgoqCkgs6VDObMmJtorLhCbAXkOYAx5Fco6H2u0WOxwuw0KxMMWi0U
JHzPeqhHyD+RpzmrVgi6VM/SLiDtJgCw9XM1ylDvKoSL27+3xedt0aBg/ftt8abJ4iZJt+83RvF3
bxsj6qoC+2JRp1HIrQSM5fvGKH8CcQKJxVLZ6X6swbP76aImJCuqCW0f7YfvNXgN+Xn+AZgKO+Zz
Nf6fVH7MX2CZz5Uf9lhalSpFfbEN/wx+UVqD4yTwyvPR8I81ppfeZpCzcG0d0zDDu4VmXOjGaz2P
owX2ZSu5UZZBXp/70CVZLDOnU0GCSEJB8rir8k3U6J/dCiJKWq/7UYEyqa9G3yyxuMqGqW95n9E2
uKRlFc3NJNlQ2zKnuj+g9hfjgTriuMqmCUw7jvwKoEBNi1DzTxoWx2nK6cj2xdFeFG1HiiSlE301
6SxprnLh06LM0ZiZ5E740Cmt6Oeb57ZRQBprQG9ECoY14DCezCwD5kPjfTr6ljkN2kg5ovd3WtfW
keYmN9rQbzmFrivdEaeZm44cHDSkt0TICP34EbRpa54bmXUc1yh9Or5xqyFxhnXHl843F1WLZW+p
SIg7OfaF7pQw76D7dNFZ2BFIJMUFgweIMrRioGildI/eTD7JCKWyEZ6yNfSTMR+Q9YxwmTZiWuHR
qKBu6CQLKXS+9Lg1G21zqgN+OcuLS8g0i4Tq0GAp55ZBNUfrrwaFo1uIAoTGwUFT4ALF0kOru/f0
fBZm09DjJSgS+JKvwdDc5pCAZ8mI3KbSh2dDy9Dhf3Yp9y5Hj8hM7gr9CBgmAu+17UFeLqz2zJPt
hUtZCMyo2U2Hpr32h3DO/8YelPPtrC7Su4bHcItxnEaB1E/0LlsagczY2ArkwQFyC99DGEp46cp2
PMsGm57qoF0FNsiCzn3SC/yXA9O80TPzSlItbYpV5qmToMXaGBYanzl9xaD0ryTKYQYMDVQ3KL/1
RXiDwv+jTeM9dRPw6NFTmJZ3nsNpl8wVARxeapW7Sod3AH7M7FTeFODSQtMFPNWimJgFEbICDXX8
ZGWMEeWZdhWpWjxPm56eNhAe2Nv5TDep+8lW/pBlydyhmCIMr3zMvKtgCvIHoYJeQcOgAo4sAUCb
jP1A5UNx8jVgXnROoys3b+wphHL0pQLqlRAtbHQwULeKS3QNkX04BdhDVaN6CEzrFPWUq7TNgqkV
OMlUUsZxmaQhRze3BFMypMxMTf2Sp8W13fLFG503G+AFy4375LaSMtNa48rJ7aumc1edRv9Zcd0j
C29x8keSNqB4i54cdFoqFBVUL0LGqUPkIixKmJzjsIGFVk0Ra/DgsfHXtVQe1600kyNzrgyUvxTB
McWGfhlAnZoP0RVcdIVqEW31cSNFw6ZuzRuvb2+iGG5Db19EKjQUEA86hQI0HDFOuKPrk0KusOb+
WC/8oTWPOefjOa7U+DUbYA7oTm34XodjMia0lFGrwvFHm6mSvlX7ah3L0hqNs3Qe2EM6J53ZwGpa
DXltTDMTToxsse3TMbEmQwmZSy2668TqMlKhWlm6qgenFe9fKBxxOusaZiD//k2NMeUejNiFyhtY
ZGTSVdHI2yphSuhmEoBttW7zsjirYgg0qqJv81w+t7AUrMLeBG4W63Os1imkKOECt7ny1FUQfkYg
ClLMaJ8UKS8N2Ay6WZ1+1nFZXWTots28wMZJsS11qHTeygU8tcqUYVOYaMI4hEY9ApGF1Cy0V309
1v55BXoNXguQ2yHQrjEG7oCbg5uu5GVY6jf5SKzMlGvFK9RpNpISyZm1QanuODd9RAJ0xLECrIoM
ubnF/U2ZughZzeMQCE5pMKmjyv3cmuPnsi6u/Er3Vl4skdEqzTwhwKHv2VznNi6PZcT3q0lk4FrZ
TTsQuhMvKb/S2SJU5NPMd84JdEvAEnCW9OpmcLu7SK3vy8KmuBA197pD5qqonTKTZdU/wSedsqTt
G9PBBwyVeXT3YkU7KqvwOjW15ZjDO3cj5XMXgd1xSJiN2AmntkOlUMtNTPrUu9a87Krj0X3oghPd
1y7TsJjQlL4LpeQ2QDTaVNJ6iSnfmZpngNhipVrJoblVCPRzBbeKNjBZ2jr1SskASWOZYzCPrYCT
oa7PMqc7rfIYMrq6svqY8IuA2jgo17TlTvxsGOmGNvdWDbxILurjoj4T6gS1gfSOR3UMgR50AjIn
WKpFiZBKGdwrw7iEfxqephLhH5fftTNY0gL2X7TQ6j6cjIqmkb/afFuusL/wjg3HxhHAtH1OjZnn
FCBUyMaBVW7tIPHXXVrTX4euZlj3YQYcEmteQX4qxuFM8eVg6ld8z5wZzJVnc1AAGgf/oTp265HK
CzSLc3mUOAmgxnCEw9wZpV3b3oAkG5ZjDzvWz+1izuYR0i32FomhrNHLOCIaHZsuU8fW4b7VCAVL
pa7dBVZOhGgLb6JX0sov9DNdr7xV6stbNPC2sN++suUAffX71SBLs8RGgTWSeXWesdKUbBb18WMf
ROnE8HxOdiFVR5fyeOqZD36ftMtBqcN5V/jzAlUmOE4jJVFJdBzME0+IMnwFPqjo7hWwnZWEjB+K
Mda5lgOjCppEmYLHumX42cWVeAuv7LhVPWuRI05RVuYytDmjGHRuF2kvc8ItZeEPTdFWKbqHtO6B
b8XXhj7MzNi4xWgUz/qwnphjhJaduSgDGImsE2Ba/UKpcxwl9UeC60XtdOkUo2h8Es3iCmLJggCn
LDtdwLIUqIw+rFFrpP9hAsHCYvvcguY6iVy/wcw4GuZlXzMfUP+Y+eboT0oTT8geN+/cxFs6yNTN
iH0yzE4QBwGyzIptnpHkPpRlftpbsTXNEmmuoBpndPZntpZF26EPWLQnrNwVeisypBn/NoedBw4R
pQOFrTZSTgO3PnHj7N7IlQdI0ewRqXVfqf066+Fk4HUioYiE8IJjeHfJIKdYS8ZHY3Bc6uW697xF
3qnRrAnsS9/I2aMl87bJ2/XY472dBl9j3UCKGdn4ShtOAVw3q6Ec6nnam+tEsUGhJgRCiR6KESBE
ZOirKFNPO3k8aUpNQ9+JXqaJclTYJcmFRnUdA1lbmkgdsMHWh8nQNo6gDKu0xpJ0mOaVhfjeWK4q
Xc2omYRfrY4cxu6bCyuHO+eUbbb0nKo6TQoUvAqto6FI9YDT9TKK0Zp3nkVT1GcBFeNZTMWspWNg
K8nS9LMj51lyJX6WXxmfpVj+vxzHXmWRdppefNdsFT+9yIK0vsneOWP8rV96a3TvvtE/ctF4d8B7
frBnH4+/vE+8wci5ecKng+OYY4ujk45rs7g4P8UZwJWXH0so8CFxhHwfKciPX+Puh796Zx7yu5H6
wEGQUcb76ZT7zwfBQcnBIS1SUNUTFwyKnwdBYMpseoivqLYfJsq/9oJ/Z6B+/w3+eGI3DOfX4vff
eX9e8Mc5gJSxCVbuN3OAGgAVABUUh4KKGdehzoRf6x1/ZyTEd/3nUNii2qFSn7B+MxOoeWAJqlLb
P9BBMNAB2W85wE+CS4QIOq2Nl+v9cmAAUPskOoiLmMEn/h8vCr7H7bON0Zs/vVBZ33coCI/opsHr
MrWXkQAT9WtkUCl/WULE7QDHwJC1X7Ff/3xNsEUYFm7HtJ6eL1bZz2OAEI6jsoM4L+HzMKcDz/by
YC9t2+8b2D/aLZF257uWVZs95+cxkD9RBlXxwHyJoYc6Bu90D/+V6UCVzdKwPX6ZDu82S4XNEvEj
TeC1D3JNyHuHSArcAM8NEgYRZbh41Z/mA1umxUWr9iU7ObTgCF11782SfYLXo/et/W6zBDVqKzK8
2EPdLLX9Q4JGAi2DgBW9fnFxx59ngvVJI5tQoRsc6nJ42bv2iYvOJ0xaNR35693LQXhskGKiAn6o
gVF5maJ7DALLQSceCBvCl+vdPknuKNDQoEEOdSbQp9svdyQwQhZzIOXgmiauXwMjdtYKwpgGdtUH
OggC3L7nIJAxCbA82ddvB4GuKPNADM9hbpH7LwflE0kjSZGYDuJ6lzrrnLp1jdT5YHPn/fME55OD
MQDWN69HqXeDIAtwGeoK2svSO7w8Qd7/AAEWDlVLBuFlIohj2U9bJDUmogUS1c9+3295+uENhb5/
ZABNoQFHE6jB5+tdeFQ+0cJVOEwdasokNE72DI9wN8W3Dalz9yAonLqROaHReqjZwmtCu0e2wEap
ovAO5BS+rLjeZQsqKjEOKZV9qOFRyMnvORNMULIKoB7lN5UmcYzCPRlhuIMNjx8REwzhc4PDxa9x
kVwJM0XO2oc6BYTo8H5TgKwZ/x8C3vu31z9hF62hBPGaQBxoqiTAbfuNgWZ+Mi1gdJr8epB+FwvY
FQCqAXM72ImwfxPG/IR6FRFRp6PxfP2yGkQXgp8RMA/1+KTsX01Q2RoRB9PxlNy5KyjGJ/TGCZhU
IcV1qBvka8TaZ4NkPmgASBFzeH7T94UVunaOjbXJaxf08PJFdf+9AQo1xGaSpddB2BEZMCZltmAn
87poiEWHNxTKS+Dabz7gZcNOab1mjb+eIhTRu3NMYPaHeqh+7R7vMQioCpIwkRK+9aN+HQTKKwjU
YkQnHJgPcya8PNgeg6AZVFSfi42vNVeC4E/nSXYKUYTipHWoO8Xrg+0zCEQ/Exg9ThIv4XFXZFAA
LBzuSfI1p99vEKggIYNF3+35Isr8NBNYDo5iKMhSHOxxeu/lQEwAvEMJSfApxPXuGEGfBvkknQVx
qDFh/xqT/gm8ArJ+b9njr4UVdgfRk0SK5CXHPtTE6bUsvs+iMD8BYeHMSP35+fo1PFJuY3vAhua1
0n142YLxslr3GQQKbXRjOFX/rjdJR4qoILx4DnRRqHufrUGv8C0zD+Bt7ZwJbJTQmi0seOWX0HGg
Q2Hsf7qk2YAZogYe5uVN38UHcZogjzZfq1qHtyheW6f7Lgpe37JeT5fvIoNGS8YyNU00aw4ye9T2
3i4ptqBKJdrVv6kz0KvWZVWmJnWwOcP+hylACTI+GzCidi8H9gihecBuqb9FjoOcD0LdkQfbZ1Ew
FKQFZJC/Gwrlk6gykEkfag36tXe4zyBQd0KhxKD29EsGTS9GAeKDbsnrcjnQwKDuv0WQIYLX+r4k
3jWs2S1VXOTJKF7qOoe3RWj7BwYbTBfQNlQyXgIDG8HPJypx2hD/4QAurkPNo7X95wP9BzIGZv7r
4ZKt56ehYGnAnMAR4mCnw/5ptEV3RkZUkWn/cv0yBhywgQVTkRLe0we5Qwhp4D13CIPcUYXWzKJ4
m/M/TQQ2S+DyMui2gx2ElwfbZ4d4PktY7JOv+8C7wEC/GnEkQsOhhgR9/wOVLma7wG39vl+NrQvc
CLhCz9eBLgp9/42CKoMFB0R+qzr9mjgQGcDJs2IOFsmi779FgHs1ZfhxWPw8X79uEUQGfsiMEUIl
XAe7NPbfKUT2RJ9KdLHfXvXnIMl80B3G4WCPVUKfeM+dQuje4AQNV+5lEN7Nh+c829QpyxxoZDD2
PlAJRAedF04TrzFwx04hcE3EyENdDkJlaO+ZAKCDzVAo9f28DmjhWZShwbb8/SnwN44a37nHUz+I
n56pyZgNPbObXtim/+svvB2j39/gB2bdM9/0p9+8GfLty71f+Hfi///X5gmPyVlQ1WXwWKvPDekf
fvrWoH7+pNe/f33F9x/+04e9vdfbP66CbbkpH/3h+QfD64OebRK4zf8d819Pm928wD+f5j//4+eH
/eGr/+u758Eu8SxBLtr/5snmKSvfbvTGaHyhsO1984nQw9xxb3KCve893cSblq+kervXD89OMNz/
/miWVe++UgaGePoBN0/rcvPHNNtpCShW8t4fMdvGf5xl5c7xZw/e+/7z+I9ZVjJ53u71w/gTh/e+
/6LcVumum5P+7X3zZbxN07f7/PDgHF72vveqSb5m8VP9dqs/by8wjHvf/ijJt2Wwid9u9cPtCfP7
3z4ddgy6ANXsfeuTbbljzEWreP9bB6m3IxAoH7FWTzfRjhgmIAV7P/bppqq2u8bkIxboaVb98d+p
t423u0bmI5boevNEAH4bhx8m4kcs0fWmDHYNzUcsUXFvpKl2PLpohe79ta636VP2GOyKXqK19gH3
Lx+3T283+nPcBb1p/5tnPPvbfX6490cs0zUGMDtu/RGrlFsjvb0ddtz+I1bq2SbfNVs+Yp2ebdvN
+9wRx76PWKLn5YYQsGNQPmKJXsSbx11y56I4ufc8vEBNa1dyJ0yJ9775VUDqWAVPO0ZGELX3vv/1
5rHkSJDWO6a7aJ18wAekf0y2abDzAz5iqV5vxAeU6aZ82hnIRNfjQ95iFmy9XaP0EatWvMSCFfAY
VI+7PuMjlq/4jONsUzS7diuhifIho3TaBNUf51+DKt/1Hh+xmMV7rDf1dtf9P2I9c/9688dkU37d
7MoZRMn8I0aKz5jGuz/hYxa2eItp2Yxvj/vnFilK3fu/wl/ZxD+rDokqxr9YSbimhrFz8D9kMf+1
0+bez57Fm13Zgyjy7j/qf+VMt/eT15s0qOJNsyMPFyo5+z/9X9mO7Pv0N1t/s8u0T6h/7f3kN+T4
Qb0jaRPF4f3v3hAJdmzxgjL0ATf/S1H7fYf9jgdsdq1VgVDc++E/Yxb9dps/A5goRu9/6+brjkxZ
4Gz/l1vvKst+Jxi9L9a+CRvu+rOfa9HiNx7j7ab8r/8BAAD//w==</cx:binary>
              </cx:geoCache>
            </cx:geography>
          </cx:layoutPr>
        </cx:series>
      </cx:plotAreaRegion>
    </cx:plotArea>
  </cx:chart>
  <cx:spPr>
    <a:solidFill>
      <a:schemeClr val="bg2"/>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7.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chart" Target="../charts/chart2.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493059</xdr:colOff>
      <xdr:row>0</xdr:row>
      <xdr:rowOff>0</xdr:rowOff>
    </xdr:from>
    <xdr:to>
      <xdr:col>27</xdr:col>
      <xdr:colOff>242047</xdr:colOff>
      <xdr:row>32</xdr:row>
      <xdr:rowOff>10758</xdr:rowOff>
    </xdr:to>
    <xdr:sp macro="" textlink="">
      <xdr:nvSpPr>
        <xdr:cNvPr id="2" name="Rectangle 1">
          <a:extLst>
            <a:ext uri="{FF2B5EF4-FFF2-40B4-BE49-F238E27FC236}">
              <a16:creationId xmlns:a16="http://schemas.microsoft.com/office/drawing/2014/main" id="{54B6819B-CC85-4C2E-8D69-53F4CACF6777}"/>
            </a:ext>
          </a:extLst>
        </xdr:cNvPr>
        <xdr:cNvSpPr/>
      </xdr:nvSpPr>
      <xdr:spPr>
        <a:xfrm>
          <a:off x="2321859" y="0"/>
          <a:ext cx="14379388" cy="5862918"/>
        </a:xfrm>
        <a:prstGeom prst="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0</xdr:col>
      <xdr:colOff>0</xdr:colOff>
      <xdr:row>0</xdr:row>
      <xdr:rowOff>7620</xdr:rowOff>
    </xdr:from>
    <xdr:to>
      <xdr:col>3</xdr:col>
      <xdr:colOff>464820</xdr:colOff>
      <xdr:row>31</xdr:row>
      <xdr:rowOff>148814</xdr:rowOff>
    </xdr:to>
    <xdr:sp macro="" textlink="">
      <xdr:nvSpPr>
        <xdr:cNvPr id="3" name="Rectangle 2">
          <a:extLst>
            <a:ext uri="{FF2B5EF4-FFF2-40B4-BE49-F238E27FC236}">
              <a16:creationId xmlns:a16="http://schemas.microsoft.com/office/drawing/2014/main" id="{055A9467-1A28-4DD9-A458-C88F0F753204}"/>
            </a:ext>
          </a:extLst>
        </xdr:cNvPr>
        <xdr:cNvSpPr/>
      </xdr:nvSpPr>
      <xdr:spPr>
        <a:xfrm>
          <a:off x="0" y="7620"/>
          <a:ext cx="2293620" cy="5810474"/>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2060"/>
            </a:solidFill>
          </a:endParaRPr>
        </a:p>
      </xdr:txBody>
    </xdr:sp>
    <xdr:clientData/>
  </xdr:twoCellAnchor>
  <xdr:twoCellAnchor editAs="oneCell">
    <xdr:from>
      <xdr:col>0</xdr:col>
      <xdr:colOff>106680</xdr:colOff>
      <xdr:row>0</xdr:row>
      <xdr:rowOff>83819</xdr:rowOff>
    </xdr:from>
    <xdr:to>
      <xdr:col>2</xdr:col>
      <xdr:colOff>430810</xdr:colOff>
      <xdr:row>2</xdr:row>
      <xdr:rowOff>152969</xdr:rowOff>
    </xdr:to>
    <xdr:pic>
      <xdr:nvPicPr>
        <xdr:cNvPr id="4" name="Picture 3">
          <a:extLst>
            <a:ext uri="{FF2B5EF4-FFF2-40B4-BE49-F238E27FC236}">
              <a16:creationId xmlns:a16="http://schemas.microsoft.com/office/drawing/2014/main" id="{DDBB6F6E-0395-4BDA-9BF1-35AFDC3B90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6680" y="83819"/>
          <a:ext cx="1543330" cy="434910"/>
        </a:xfrm>
        <a:prstGeom prst="rect">
          <a:avLst/>
        </a:prstGeom>
      </xdr:spPr>
    </xdr:pic>
    <xdr:clientData/>
  </xdr:twoCellAnchor>
  <xdr:twoCellAnchor>
    <xdr:from>
      <xdr:col>0</xdr:col>
      <xdr:colOff>363197</xdr:colOff>
      <xdr:row>4</xdr:row>
      <xdr:rowOff>105071</xdr:rowOff>
    </xdr:from>
    <xdr:to>
      <xdr:col>2</xdr:col>
      <xdr:colOff>99703</xdr:colOff>
      <xdr:row>6</xdr:row>
      <xdr:rowOff>102308</xdr:rowOff>
    </xdr:to>
    <xdr:sp macro="" textlink="Pivot!A8">
      <xdr:nvSpPr>
        <xdr:cNvPr id="5" name="TextBox 4">
          <a:extLst>
            <a:ext uri="{FF2B5EF4-FFF2-40B4-BE49-F238E27FC236}">
              <a16:creationId xmlns:a16="http://schemas.microsoft.com/office/drawing/2014/main" id="{DF591A5F-2F7B-4603-9AF2-56C157A099E8}"/>
            </a:ext>
          </a:extLst>
        </xdr:cNvPr>
        <xdr:cNvSpPr txBox="1"/>
      </xdr:nvSpPr>
      <xdr:spPr>
        <a:xfrm>
          <a:off x="363197" y="836591"/>
          <a:ext cx="955706" cy="362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65D07B-AEC5-46E8-B9AB-224646C92958}" type="TxLink">
            <a:rPr lang="en-US" sz="1800" b="0" i="0" u="none" strike="noStrike">
              <a:solidFill>
                <a:schemeClr val="bg1">
                  <a:lumMod val="75000"/>
                </a:schemeClr>
              </a:solidFill>
              <a:effectLst/>
              <a:latin typeface="Segoe UI Semibold" panose="020B0702040204020203" pitchFamily="34" charset="0"/>
              <a:cs typeface="Segoe UI Semibold" panose="020B0702040204020203" pitchFamily="34" charset="0"/>
            </a:rPr>
            <a:pPr/>
            <a:t>2,400</a:t>
          </a:fld>
          <a:endParaRPr lang="en-IN" sz="18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370318</xdr:colOff>
      <xdr:row>7</xdr:row>
      <xdr:rowOff>122417</xdr:rowOff>
    </xdr:from>
    <xdr:to>
      <xdr:col>2</xdr:col>
      <xdr:colOff>156672</xdr:colOff>
      <xdr:row>9</xdr:row>
      <xdr:rowOff>114721</xdr:rowOff>
    </xdr:to>
    <xdr:sp macro="" textlink="Pivot!B8">
      <xdr:nvSpPr>
        <xdr:cNvPr id="6" name="TextBox 5">
          <a:extLst>
            <a:ext uri="{FF2B5EF4-FFF2-40B4-BE49-F238E27FC236}">
              <a16:creationId xmlns:a16="http://schemas.microsoft.com/office/drawing/2014/main" id="{4DA0598C-AF37-4B12-AEF8-19925D278D1E}"/>
            </a:ext>
          </a:extLst>
        </xdr:cNvPr>
        <xdr:cNvSpPr txBox="1"/>
      </xdr:nvSpPr>
      <xdr:spPr>
        <a:xfrm>
          <a:off x="370318" y="1402577"/>
          <a:ext cx="1005554" cy="358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4E5D15-199B-4438-94AC-D0F15CDB8265}" type="TxLink">
            <a:rPr lang="en-US" sz="1800" b="0" i="0" u="none" strike="noStrike">
              <a:solidFill>
                <a:schemeClr val="bg1">
                  <a:lumMod val="75000"/>
                </a:schemeClr>
              </a:solidFill>
              <a:effectLst/>
              <a:latin typeface="Segoe UI Semibold" panose="020B0702040204020203" pitchFamily="34" charset="0"/>
              <a:ea typeface="+mn-ea"/>
              <a:cs typeface="Segoe UI Semibold" panose="020B0702040204020203" pitchFamily="34" charset="0"/>
            </a:rPr>
            <a:pPr marL="0" indent="0"/>
            <a:t>11,997</a:t>
          </a:fld>
          <a:endParaRPr lang="en-IN" sz="1800" b="0" i="0" u="none" strike="noStrike">
            <a:solidFill>
              <a:schemeClr val="bg1">
                <a:lumMod val="75000"/>
              </a:schemeClr>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299103</xdr:colOff>
      <xdr:row>10</xdr:row>
      <xdr:rowOff>157452</xdr:rowOff>
    </xdr:from>
    <xdr:to>
      <xdr:col>2</xdr:col>
      <xdr:colOff>85459</xdr:colOff>
      <xdr:row>13</xdr:row>
      <xdr:rowOff>15400</xdr:rowOff>
    </xdr:to>
    <xdr:sp macro="" textlink="Pivot!C8">
      <xdr:nvSpPr>
        <xdr:cNvPr id="7" name="TextBox 6">
          <a:extLst>
            <a:ext uri="{FF2B5EF4-FFF2-40B4-BE49-F238E27FC236}">
              <a16:creationId xmlns:a16="http://schemas.microsoft.com/office/drawing/2014/main" id="{A1E5AB22-B5D4-4E8B-8240-61C4C0A8C725}"/>
            </a:ext>
          </a:extLst>
        </xdr:cNvPr>
        <xdr:cNvSpPr txBox="1"/>
      </xdr:nvSpPr>
      <xdr:spPr>
        <a:xfrm>
          <a:off x="299103" y="1986252"/>
          <a:ext cx="1005556" cy="406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A76D219-40C9-4E48-9534-98A98BD782FD}" type="TxLink">
            <a:rPr lang="en-US" sz="1800" b="0" i="0" u="none" strike="noStrike">
              <a:solidFill>
                <a:srgbClr val="FFD700"/>
              </a:solidFill>
              <a:effectLst/>
              <a:latin typeface="Segoe UI Semibold" panose="020B0702040204020203" pitchFamily="34" charset="0"/>
              <a:ea typeface="+mn-ea"/>
              <a:cs typeface="Segoe UI Semibold" panose="020B0702040204020203" pitchFamily="34" charset="0"/>
            </a:rPr>
            <a:pPr marL="0" indent="0"/>
            <a:t>$649.0k</a:t>
          </a:fld>
          <a:endParaRPr lang="en-IN" sz="1800" b="0" i="0" u="none" strike="noStrike">
            <a:solidFill>
              <a:srgbClr val="FFD700"/>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562598</xdr:colOff>
      <xdr:row>14</xdr:row>
      <xdr:rowOff>81400</xdr:rowOff>
    </xdr:from>
    <xdr:to>
      <xdr:col>1</xdr:col>
      <xdr:colOff>555475</xdr:colOff>
      <xdr:row>16</xdr:row>
      <xdr:rowOff>59166</xdr:rowOff>
    </xdr:to>
    <xdr:sp macro="" textlink="Pivot!D8">
      <xdr:nvSpPr>
        <xdr:cNvPr id="8" name="TextBox 7">
          <a:extLst>
            <a:ext uri="{FF2B5EF4-FFF2-40B4-BE49-F238E27FC236}">
              <a16:creationId xmlns:a16="http://schemas.microsoft.com/office/drawing/2014/main" id="{D5D919ED-5552-4C80-87C5-1AD2CA6E9872}"/>
            </a:ext>
          </a:extLst>
        </xdr:cNvPr>
        <xdr:cNvSpPr txBox="1"/>
      </xdr:nvSpPr>
      <xdr:spPr>
        <a:xfrm>
          <a:off x="562598" y="2641720"/>
          <a:ext cx="602477" cy="343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492D64-96E7-4049-93B7-0B4DC4180DEC}" type="TxLink">
            <a:rPr lang="en-US" sz="1800" b="0" i="0" u="none" strike="noStrike">
              <a:solidFill>
                <a:schemeClr val="bg1">
                  <a:lumMod val="75000"/>
                </a:schemeClr>
              </a:solidFill>
              <a:effectLst/>
              <a:latin typeface="Segoe UI Semibold" panose="020B0702040204020203" pitchFamily="34" charset="0"/>
              <a:ea typeface="+mn-ea"/>
              <a:cs typeface="Segoe UI Semibold" panose="020B0702040204020203" pitchFamily="34" charset="0"/>
            </a:rPr>
            <a:pPr marL="0" indent="0"/>
            <a:t>4.0</a:t>
          </a:fld>
          <a:endParaRPr lang="en-IN" sz="1800" b="0" i="0" u="none" strike="noStrike">
            <a:solidFill>
              <a:schemeClr val="bg1">
                <a:lumMod val="75000"/>
              </a:schemeClr>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562599</xdr:colOff>
      <xdr:row>17</xdr:row>
      <xdr:rowOff>73707</xdr:rowOff>
    </xdr:from>
    <xdr:to>
      <xdr:col>1</xdr:col>
      <xdr:colOff>541235</xdr:colOff>
      <xdr:row>19</xdr:row>
      <xdr:rowOff>52932</xdr:rowOff>
    </xdr:to>
    <xdr:sp macro="" textlink="Pivot!E8">
      <xdr:nvSpPr>
        <xdr:cNvPr id="9" name="TextBox 8">
          <a:extLst>
            <a:ext uri="{FF2B5EF4-FFF2-40B4-BE49-F238E27FC236}">
              <a16:creationId xmlns:a16="http://schemas.microsoft.com/office/drawing/2014/main" id="{FD568B76-5A19-4068-8FD5-D83C755CA996}"/>
            </a:ext>
          </a:extLst>
        </xdr:cNvPr>
        <xdr:cNvSpPr txBox="1"/>
      </xdr:nvSpPr>
      <xdr:spPr>
        <a:xfrm>
          <a:off x="562599" y="3182667"/>
          <a:ext cx="588236" cy="344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D4B855-E91E-4F91-A37A-5E0FFDF18CC3}" type="TxLink">
            <a:rPr lang="en-US" sz="1800" b="0" i="0" u="none" strike="noStrike">
              <a:solidFill>
                <a:schemeClr val="bg1">
                  <a:lumMod val="75000"/>
                </a:schemeClr>
              </a:solidFill>
              <a:effectLst/>
              <a:latin typeface="Segoe UI Semibold" panose="020B0702040204020203" pitchFamily="34" charset="0"/>
              <a:ea typeface="+mn-ea"/>
              <a:cs typeface="Segoe UI Semibold" panose="020B0702040204020203" pitchFamily="34" charset="0"/>
            </a:rPr>
            <a:pPr marL="0" indent="0"/>
            <a:t>2.3</a:t>
          </a:fld>
          <a:endParaRPr lang="en-IN" sz="1800" b="0" i="0" u="none" strike="noStrike">
            <a:solidFill>
              <a:schemeClr val="bg1">
                <a:lumMod val="75000"/>
              </a:schemeClr>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0</xdr:colOff>
      <xdr:row>3</xdr:row>
      <xdr:rowOff>26343</xdr:rowOff>
    </xdr:from>
    <xdr:to>
      <xdr:col>1</xdr:col>
      <xdr:colOff>306224</xdr:colOff>
      <xdr:row>4</xdr:row>
      <xdr:rowOff>179192</xdr:rowOff>
    </xdr:to>
    <xdr:sp macro="" textlink="">
      <xdr:nvSpPr>
        <xdr:cNvPr id="10" name="TextBox 9">
          <a:extLst>
            <a:ext uri="{FF2B5EF4-FFF2-40B4-BE49-F238E27FC236}">
              <a16:creationId xmlns:a16="http://schemas.microsoft.com/office/drawing/2014/main" id="{F9D904DF-B177-404D-A413-618690287AAB}"/>
            </a:ext>
          </a:extLst>
        </xdr:cNvPr>
        <xdr:cNvSpPr txBox="1"/>
      </xdr:nvSpPr>
      <xdr:spPr>
        <a:xfrm>
          <a:off x="0" y="574983"/>
          <a:ext cx="915824" cy="335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a:solidFill>
                <a:schemeClr val="bg1">
                  <a:lumMod val="75000"/>
                </a:schemeClr>
              </a:solidFill>
              <a:latin typeface="Aptos Display" panose="020B0004020202020204" pitchFamily="34" charset="0"/>
              <a:cs typeface="Segoe UI Semibold" panose="020B0702040204020203" pitchFamily="34" charset="0"/>
            </a:rPr>
            <a:t>🛒</a:t>
          </a:r>
          <a:r>
            <a:rPr lang="en-US" sz="1300" b="1">
              <a:solidFill>
                <a:schemeClr val="bg1">
                  <a:lumMod val="75000"/>
                </a:schemeClr>
              </a:solidFill>
              <a:latin typeface="Aptos Display" panose="020B0004020202020204" pitchFamily="34" charset="0"/>
              <a:cs typeface="Segoe UI Semibold" panose="020B0702040204020203" pitchFamily="34" charset="0"/>
            </a:rPr>
            <a:t>O</a:t>
          </a:r>
          <a:r>
            <a:rPr lang="en-IN" sz="1300" b="1">
              <a:solidFill>
                <a:schemeClr val="bg1">
                  <a:lumMod val="75000"/>
                </a:schemeClr>
              </a:solidFill>
              <a:latin typeface="Aptos Display" panose="020B0004020202020204" pitchFamily="34" charset="0"/>
              <a:cs typeface="Segoe UI Semibold" panose="020B0702040204020203" pitchFamily="34" charset="0"/>
            </a:rPr>
            <a:t>rders</a:t>
          </a:r>
        </a:p>
      </xdr:txBody>
    </xdr:sp>
    <xdr:clientData/>
  </xdr:twoCellAnchor>
  <xdr:twoCellAnchor>
    <xdr:from>
      <xdr:col>0</xdr:col>
      <xdr:colOff>0</xdr:colOff>
      <xdr:row>9</xdr:row>
      <xdr:rowOff>70345</xdr:rowOff>
    </xdr:from>
    <xdr:to>
      <xdr:col>2</xdr:col>
      <xdr:colOff>331694</xdr:colOff>
      <xdr:row>11</xdr:row>
      <xdr:rowOff>40313</xdr:rowOff>
    </xdr:to>
    <xdr:sp macro="" textlink="">
      <xdr:nvSpPr>
        <xdr:cNvPr id="11" name="TextBox 10">
          <a:extLst>
            <a:ext uri="{FF2B5EF4-FFF2-40B4-BE49-F238E27FC236}">
              <a16:creationId xmlns:a16="http://schemas.microsoft.com/office/drawing/2014/main" id="{3551C04E-0A6E-4272-A90C-1ECAFF9DFBCA}"/>
            </a:ext>
          </a:extLst>
        </xdr:cNvPr>
        <xdr:cNvSpPr txBox="1"/>
      </xdr:nvSpPr>
      <xdr:spPr>
        <a:xfrm>
          <a:off x="0" y="1716265"/>
          <a:ext cx="1550894"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a:solidFill>
                <a:schemeClr val="dk1"/>
              </a:solidFill>
              <a:effectLst/>
              <a:latin typeface="Aptos Display" panose="020B0004020202020204" pitchFamily="34" charset="0"/>
              <a:ea typeface="+mn-ea"/>
              <a:cs typeface="+mn-cs"/>
            </a:rPr>
            <a:t>💰</a:t>
          </a:r>
          <a:r>
            <a:rPr lang="en-IN" sz="1300" b="1">
              <a:solidFill>
                <a:schemeClr val="bg1">
                  <a:lumMod val="75000"/>
                </a:schemeClr>
              </a:solidFill>
              <a:latin typeface="Aptos Display" panose="020B0004020202020204" pitchFamily="34" charset="0"/>
              <a:cs typeface="Segoe UI Semibold" panose="020B0702040204020203" pitchFamily="34" charset="0"/>
            </a:rPr>
            <a:t>Total Revenue</a:t>
          </a:r>
        </a:p>
      </xdr:txBody>
    </xdr:sp>
    <xdr:clientData/>
  </xdr:twoCellAnchor>
  <xdr:twoCellAnchor>
    <xdr:from>
      <xdr:col>0</xdr:col>
      <xdr:colOff>0</xdr:colOff>
      <xdr:row>6</xdr:row>
      <xdr:rowOff>50810</xdr:rowOff>
    </xdr:from>
    <xdr:to>
      <xdr:col>2</xdr:col>
      <xdr:colOff>30480</xdr:colOff>
      <xdr:row>8</xdr:row>
      <xdr:rowOff>20778</xdr:rowOff>
    </xdr:to>
    <xdr:sp macro="" textlink="">
      <xdr:nvSpPr>
        <xdr:cNvPr id="12" name="TextBox 11">
          <a:extLst>
            <a:ext uri="{FF2B5EF4-FFF2-40B4-BE49-F238E27FC236}">
              <a16:creationId xmlns:a16="http://schemas.microsoft.com/office/drawing/2014/main" id="{FB093C3C-BA67-4085-AD6A-E16ABD92417F}"/>
            </a:ext>
          </a:extLst>
        </xdr:cNvPr>
        <xdr:cNvSpPr txBox="1"/>
      </xdr:nvSpPr>
      <xdr:spPr>
        <a:xfrm>
          <a:off x="0" y="1148090"/>
          <a:ext cx="1249680"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a:solidFill>
                <a:schemeClr val="bg1">
                  <a:lumMod val="75000"/>
                </a:schemeClr>
              </a:solidFill>
              <a:latin typeface="Aptos Display" panose="020B0004020202020204" pitchFamily="34" charset="0"/>
              <a:cs typeface="Segoe UI Semibold" panose="020B0702040204020203" pitchFamily="34" charset="0"/>
            </a:rPr>
            <a:t>👕</a:t>
          </a:r>
          <a:r>
            <a:rPr lang="en-IN" sz="1300" b="1">
              <a:solidFill>
                <a:schemeClr val="bg1">
                  <a:lumMod val="75000"/>
                </a:schemeClr>
              </a:solidFill>
              <a:latin typeface="Aptos Display" panose="020B0004020202020204" pitchFamily="34" charset="0"/>
              <a:cs typeface="Segoe UI Semibold" panose="020B0702040204020203" pitchFamily="34" charset="0"/>
            </a:rPr>
            <a:t>Quantity</a:t>
          </a:r>
        </a:p>
      </xdr:txBody>
    </xdr:sp>
    <xdr:clientData/>
  </xdr:twoCellAnchor>
  <xdr:twoCellAnchor>
    <xdr:from>
      <xdr:col>0</xdr:col>
      <xdr:colOff>7120</xdr:colOff>
      <xdr:row>15</xdr:row>
      <xdr:rowOff>155353</xdr:rowOff>
    </xdr:from>
    <xdr:to>
      <xdr:col>3</xdr:col>
      <xdr:colOff>179293</xdr:colOff>
      <xdr:row>17</xdr:row>
      <xdr:rowOff>125455</xdr:rowOff>
    </xdr:to>
    <xdr:sp macro="" textlink="">
      <xdr:nvSpPr>
        <xdr:cNvPr id="13" name="TextBox 12">
          <a:extLst>
            <a:ext uri="{FF2B5EF4-FFF2-40B4-BE49-F238E27FC236}">
              <a16:creationId xmlns:a16="http://schemas.microsoft.com/office/drawing/2014/main" id="{C2113560-5434-4A49-B009-58783F8630C7}"/>
            </a:ext>
          </a:extLst>
        </xdr:cNvPr>
        <xdr:cNvSpPr txBox="1"/>
      </xdr:nvSpPr>
      <xdr:spPr>
        <a:xfrm>
          <a:off x="7120" y="2898553"/>
          <a:ext cx="2000973" cy="335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a:solidFill>
                <a:schemeClr val="dk1"/>
              </a:solidFill>
              <a:effectLst/>
              <a:latin typeface="Aptos Display" panose="020B0004020202020204" pitchFamily="34" charset="0"/>
              <a:ea typeface="+mn-ea"/>
              <a:cs typeface="+mn-cs"/>
            </a:rPr>
            <a:t>🗓️</a:t>
          </a:r>
          <a:r>
            <a:rPr lang="en-IN" sz="1300" b="1">
              <a:solidFill>
                <a:schemeClr val="bg1">
                  <a:lumMod val="75000"/>
                </a:schemeClr>
              </a:solidFill>
              <a:effectLst/>
              <a:latin typeface="Aptos Display" panose="020B0004020202020204" pitchFamily="34" charset="0"/>
              <a:ea typeface="+mn-ea"/>
              <a:cs typeface="Segoe UI Semibold" panose="020B0702040204020203" pitchFamily="34" charset="0"/>
            </a:rPr>
            <a:t>Avg.</a:t>
          </a:r>
          <a:r>
            <a:rPr lang="en-IN" sz="1300" b="1" baseline="0">
              <a:solidFill>
                <a:schemeClr val="bg1">
                  <a:lumMod val="75000"/>
                </a:schemeClr>
              </a:solidFill>
              <a:effectLst/>
              <a:latin typeface="Aptos Display" panose="020B0004020202020204" pitchFamily="34" charset="0"/>
              <a:ea typeface="+mn-ea"/>
              <a:cs typeface="Segoe UI Semibold" panose="020B0702040204020203" pitchFamily="34" charset="0"/>
            </a:rPr>
            <a:t> Da</a:t>
          </a:r>
          <a:r>
            <a:rPr lang="en-IN" sz="1300" b="1">
              <a:solidFill>
                <a:schemeClr val="bg1">
                  <a:lumMod val="75000"/>
                </a:schemeClr>
              </a:solidFill>
              <a:latin typeface="Aptos Display" panose="020B0004020202020204" pitchFamily="34" charset="0"/>
              <a:cs typeface="Segoe UI Semibold" panose="020B0702040204020203" pitchFamily="34" charset="0"/>
            </a:rPr>
            <a:t>ys to Deliver</a:t>
          </a:r>
        </a:p>
      </xdr:txBody>
    </xdr:sp>
    <xdr:clientData/>
  </xdr:twoCellAnchor>
  <xdr:twoCellAnchor>
    <xdr:from>
      <xdr:col>0</xdr:col>
      <xdr:colOff>0</xdr:colOff>
      <xdr:row>12</xdr:row>
      <xdr:rowOff>138402</xdr:rowOff>
    </xdr:from>
    <xdr:to>
      <xdr:col>2</xdr:col>
      <xdr:colOff>220767</xdr:colOff>
      <xdr:row>14</xdr:row>
      <xdr:rowOff>148398</xdr:rowOff>
    </xdr:to>
    <xdr:sp macro="" textlink="">
      <xdr:nvSpPr>
        <xdr:cNvPr id="14" name="TextBox 13">
          <a:extLst>
            <a:ext uri="{FF2B5EF4-FFF2-40B4-BE49-F238E27FC236}">
              <a16:creationId xmlns:a16="http://schemas.microsoft.com/office/drawing/2014/main" id="{A6A6CE85-DC52-42DF-BE0E-F3C6367AD68F}"/>
            </a:ext>
          </a:extLst>
        </xdr:cNvPr>
        <xdr:cNvSpPr txBox="1"/>
      </xdr:nvSpPr>
      <xdr:spPr>
        <a:xfrm>
          <a:off x="0" y="2332962"/>
          <a:ext cx="1439967" cy="375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a:solidFill>
                <a:schemeClr val="bg1">
                  <a:lumMod val="75000"/>
                </a:schemeClr>
              </a:solidFill>
              <a:latin typeface="Aptos Display" panose="020B0004020202020204" pitchFamily="34" charset="0"/>
              <a:cs typeface="Segoe UI Semibold" panose="020B0702040204020203" pitchFamily="34" charset="0"/>
            </a:rPr>
            <a:t>⭐</a:t>
          </a:r>
          <a:r>
            <a:rPr lang="en-IN" sz="1300" b="1">
              <a:solidFill>
                <a:schemeClr val="bg1">
                  <a:lumMod val="75000"/>
                </a:schemeClr>
              </a:solidFill>
              <a:latin typeface="Aptos Display" panose="020B0004020202020204" pitchFamily="34" charset="0"/>
              <a:cs typeface="Segoe UI Semibold" panose="020B0702040204020203" pitchFamily="34" charset="0"/>
            </a:rPr>
            <a:t>Avg.Rating</a:t>
          </a:r>
        </a:p>
      </xdr:txBody>
    </xdr:sp>
    <xdr:clientData/>
  </xdr:twoCellAnchor>
  <xdr:twoCellAnchor>
    <xdr:from>
      <xdr:col>3</xdr:col>
      <xdr:colOff>519952</xdr:colOff>
      <xdr:row>22</xdr:row>
      <xdr:rowOff>134470</xdr:rowOff>
    </xdr:from>
    <xdr:to>
      <xdr:col>11</xdr:col>
      <xdr:colOff>215153</xdr:colOff>
      <xdr:row>31</xdr:row>
      <xdr:rowOff>157776</xdr:rowOff>
    </xdr:to>
    <xdr:graphicFrame macro="">
      <xdr:nvGraphicFramePr>
        <xdr:cNvPr id="15" name="Chart 14">
          <a:extLst>
            <a:ext uri="{FF2B5EF4-FFF2-40B4-BE49-F238E27FC236}">
              <a16:creationId xmlns:a16="http://schemas.microsoft.com/office/drawing/2014/main" id="{53883865-95F0-4B93-BB01-A1C3A5864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304799</xdr:colOff>
      <xdr:row>21</xdr:row>
      <xdr:rowOff>14343</xdr:rowOff>
    </xdr:from>
    <xdr:to>
      <xdr:col>20</xdr:col>
      <xdr:colOff>421341</xdr:colOff>
      <xdr:row>31</xdr:row>
      <xdr:rowOff>166743</xdr:rowOff>
    </xdr:to>
    <xdr:sp macro="" textlink="">
      <xdr:nvSpPr>
        <xdr:cNvPr id="16" name="Rectangle 15">
          <a:extLst>
            <a:ext uri="{FF2B5EF4-FFF2-40B4-BE49-F238E27FC236}">
              <a16:creationId xmlns:a16="http://schemas.microsoft.com/office/drawing/2014/main" id="{8D0C2D42-618F-46CA-B9E1-ACF661998A3F}"/>
            </a:ext>
          </a:extLst>
        </xdr:cNvPr>
        <xdr:cNvSpPr/>
      </xdr:nvSpPr>
      <xdr:spPr>
        <a:xfrm>
          <a:off x="7010399" y="3779519"/>
          <a:ext cx="5602942" cy="1945342"/>
        </a:xfrm>
        <a:prstGeom prst="rect">
          <a:avLst/>
        </a:prstGeom>
        <a:solidFill>
          <a:schemeClr val="bg2"/>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editAs="oneCell">
    <xdr:from>
      <xdr:col>11</xdr:col>
      <xdr:colOff>408069</xdr:colOff>
      <xdr:row>24</xdr:row>
      <xdr:rowOff>84267</xdr:rowOff>
    </xdr:from>
    <xdr:to>
      <xdr:col>16</xdr:col>
      <xdr:colOff>463624</xdr:colOff>
      <xdr:row>31</xdr:row>
      <xdr:rowOff>32272</xdr:rowOff>
    </xdr:to>
    <xdr:pic>
      <xdr:nvPicPr>
        <xdr:cNvPr id="17" name="Picture 16">
          <a:extLst>
            <a:ext uri="{FF2B5EF4-FFF2-40B4-BE49-F238E27FC236}">
              <a16:creationId xmlns:a16="http://schemas.microsoft.com/office/drawing/2014/main" id="{140EDF69-7EF3-46EC-8054-87E1804F984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13669" y="4473387"/>
          <a:ext cx="3103555" cy="1228165"/>
        </a:xfrm>
        <a:prstGeom prst="rect">
          <a:avLst/>
        </a:prstGeom>
        <a:solidFill>
          <a:schemeClr val="bg1"/>
        </a:solidFill>
      </xdr:spPr>
    </xdr:pic>
    <xdr:clientData/>
  </xdr:twoCellAnchor>
  <xdr:twoCellAnchor>
    <xdr:from>
      <xdr:col>20</xdr:col>
      <xdr:colOff>475129</xdr:colOff>
      <xdr:row>21</xdr:row>
      <xdr:rowOff>5378</xdr:rowOff>
    </xdr:from>
    <xdr:to>
      <xdr:col>27</xdr:col>
      <xdr:colOff>179293</xdr:colOff>
      <xdr:row>31</xdr:row>
      <xdr:rowOff>166742</xdr:rowOff>
    </xdr:to>
    <xdr:graphicFrame macro="">
      <xdr:nvGraphicFramePr>
        <xdr:cNvPr id="18" name="Chart 17">
          <a:extLst>
            <a:ext uri="{FF2B5EF4-FFF2-40B4-BE49-F238E27FC236}">
              <a16:creationId xmlns:a16="http://schemas.microsoft.com/office/drawing/2014/main" id="{DB0CA742-34D7-43CF-BDA6-3BCE53D5A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537882</xdr:colOff>
      <xdr:row>2</xdr:row>
      <xdr:rowOff>161365</xdr:rowOff>
    </xdr:from>
    <xdr:to>
      <xdr:col>11</xdr:col>
      <xdr:colOff>233082</xdr:colOff>
      <xdr:row>22</xdr:row>
      <xdr:rowOff>107576</xdr:rowOff>
    </xdr:to>
    <xdr:graphicFrame macro="">
      <xdr:nvGraphicFramePr>
        <xdr:cNvPr id="19" name="Chart 18">
          <a:extLst>
            <a:ext uri="{FF2B5EF4-FFF2-40B4-BE49-F238E27FC236}">
              <a16:creationId xmlns:a16="http://schemas.microsoft.com/office/drawing/2014/main" id="{289B08F5-D9A7-48F2-9109-A0AC7C4E0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197224</xdr:colOff>
      <xdr:row>12</xdr:row>
      <xdr:rowOff>53788</xdr:rowOff>
    </xdr:from>
    <xdr:to>
      <xdr:col>9</xdr:col>
      <xdr:colOff>349623</xdr:colOff>
      <xdr:row>21</xdr:row>
      <xdr:rowOff>102197</xdr:rowOff>
    </xdr:to>
    <xdr:graphicFrame macro="">
      <xdr:nvGraphicFramePr>
        <xdr:cNvPr id="20" name="Chart 19">
          <a:extLst>
            <a:ext uri="{FF2B5EF4-FFF2-40B4-BE49-F238E27FC236}">
              <a16:creationId xmlns:a16="http://schemas.microsoft.com/office/drawing/2014/main" id="{470098D3-FF32-4FC8-A01B-E2FA6A367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304798</xdr:colOff>
      <xdr:row>2</xdr:row>
      <xdr:rowOff>152400</xdr:rowOff>
    </xdr:from>
    <xdr:to>
      <xdr:col>20</xdr:col>
      <xdr:colOff>412375</xdr:colOff>
      <xdr:row>20</xdr:row>
      <xdr:rowOff>98610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5E2D354F-836E-4268-840C-47636776FC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010398" y="510988"/>
              <a:ext cx="5593977" cy="31735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233082</xdr:colOff>
      <xdr:row>4</xdr:row>
      <xdr:rowOff>172122</xdr:rowOff>
    </xdr:from>
    <xdr:to>
      <xdr:col>20</xdr:col>
      <xdr:colOff>224117</xdr:colOff>
      <xdr:row>16</xdr:row>
      <xdr:rowOff>53788</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08B7D68E-B804-4BDC-B1B6-9CDAF35712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596282" y="889298"/>
              <a:ext cx="1819835" cy="20331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475129</xdr:colOff>
      <xdr:row>0</xdr:row>
      <xdr:rowOff>26893</xdr:rowOff>
    </xdr:from>
    <xdr:to>
      <xdr:col>27</xdr:col>
      <xdr:colOff>179293</xdr:colOff>
      <xdr:row>10</xdr:row>
      <xdr:rowOff>116540</xdr:rowOff>
    </xdr:to>
    <xdr:graphicFrame macro="">
      <xdr:nvGraphicFramePr>
        <xdr:cNvPr id="23" name="Chart 22">
          <a:extLst>
            <a:ext uri="{FF2B5EF4-FFF2-40B4-BE49-F238E27FC236}">
              <a16:creationId xmlns:a16="http://schemas.microsoft.com/office/drawing/2014/main" id="{15BF4A03-37B7-4D3A-BA79-0815D7496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466165</xdr:colOff>
      <xdr:row>10</xdr:row>
      <xdr:rowOff>179294</xdr:rowOff>
    </xdr:from>
    <xdr:to>
      <xdr:col>27</xdr:col>
      <xdr:colOff>188258</xdr:colOff>
      <xdr:row>20</xdr:row>
      <xdr:rowOff>143434</xdr:rowOff>
    </xdr:to>
    <xdr:graphicFrame macro="">
      <xdr:nvGraphicFramePr>
        <xdr:cNvPr id="24" name="Chart 23">
          <a:extLst>
            <a:ext uri="{FF2B5EF4-FFF2-40B4-BE49-F238E27FC236}">
              <a16:creationId xmlns:a16="http://schemas.microsoft.com/office/drawing/2014/main" id="{BB4DB471-7CC9-4727-AF19-AC2F5FCB1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528918</xdr:colOff>
      <xdr:row>23</xdr:row>
      <xdr:rowOff>25100</xdr:rowOff>
    </xdr:from>
    <xdr:to>
      <xdr:col>20</xdr:col>
      <xdr:colOff>328557</xdr:colOff>
      <xdr:row>30</xdr:row>
      <xdr:rowOff>161588</xdr:rowOff>
    </xdr:to>
    <xdr:graphicFrame macro="">
      <xdr:nvGraphicFramePr>
        <xdr:cNvPr id="25" name="Chart 24">
          <a:extLst>
            <a:ext uri="{FF2B5EF4-FFF2-40B4-BE49-F238E27FC236}">
              <a16:creationId xmlns:a16="http://schemas.microsoft.com/office/drawing/2014/main" id="{9F51E3C2-04D3-4716-BE1A-B76CB66DF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35860</xdr:colOff>
      <xdr:row>19</xdr:row>
      <xdr:rowOff>143435</xdr:rowOff>
    </xdr:from>
    <xdr:to>
      <xdr:col>3</xdr:col>
      <xdr:colOff>412376</xdr:colOff>
      <xdr:row>26</xdr:row>
      <xdr:rowOff>5377</xdr:rowOff>
    </xdr:to>
    <mc:AlternateContent xmlns:mc="http://schemas.openxmlformats.org/markup-compatibility/2006">
      <mc:Choice xmlns:a14="http://schemas.microsoft.com/office/drawing/2010/main" Requires="a14">
        <xdr:graphicFrame macro="">
          <xdr:nvGraphicFramePr>
            <xdr:cNvPr id="26" name="Order Mode 1">
              <a:extLst>
                <a:ext uri="{FF2B5EF4-FFF2-40B4-BE49-F238E27FC236}">
                  <a16:creationId xmlns:a16="http://schemas.microsoft.com/office/drawing/2014/main" id="{BCD05BDC-501F-46A9-8B00-FFD8F9A7A442}"/>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35860" y="3550023"/>
              <a:ext cx="2205316" cy="1117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41236</xdr:colOff>
      <xdr:row>26</xdr:row>
      <xdr:rowOff>68131</xdr:rowOff>
    </xdr:from>
    <xdr:to>
      <xdr:col>3</xdr:col>
      <xdr:colOff>385482</xdr:colOff>
      <xdr:row>31</xdr:row>
      <xdr:rowOff>130884</xdr:rowOff>
    </xdr:to>
    <mc:AlternateContent xmlns:mc="http://schemas.openxmlformats.org/markup-compatibility/2006">
      <mc:Choice xmlns:a14="http://schemas.microsoft.com/office/drawing/2010/main" Requires="a14">
        <xdr:graphicFrame macro="">
          <xdr:nvGraphicFramePr>
            <xdr:cNvPr id="27" name="Gender Value 1">
              <a:extLst>
                <a:ext uri="{FF2B5EF4-FFF2-40B4-BE49-F238E27FC236}">
                  <a16:creationId xmlns:a16="http://schemas.microsoft.com/office/drawing/2014/main" id="{DDD68822-806D-47E3-98B6-C7A108D7ABD8}"/>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dr:sp macro="" textlink="">
          <xdr:nvSpPr>
            <xdr:cNvPr id="0" name=""/>
            <xdr:cNvSpPr>
              <a:spLocks noTextEdit="1"/>
            </xdr:cNvSpPr>
          </xdr:nvSpPr>
          <xdr:spPr>
            <a:xfrm>
              <a:off x="41236" y="4729778"/>
              <a:ext cx="2173046" cy="959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168484</xdr:colOff>
      <xdr:row>21</xdr:row>
      <xdr:rowOff>44191</xdr:rowOff>
    </xdr:from>
    <xdr:to>
      <xdr:col>19</xdr:col>
      <xdr:colOff>206188</xdr:colOff>
      <xdr:row>23</xdr:row>
      <xdr:rowOff>14293</xdr:rowOff>
    </xdr:to>
    <xdr:sp macro="" textlink="">
      <xdr:nvSpPr>
        <xdr:cNvPr id="28" name="TextBox 27">
          <a:extLst>
            <a:ext uri="{FF2B5EF4-FFF2-40B4-BE49-F238E27FC236}">
              <a16:creationId xmlns:a16="http://schemas.microsoft.com/office/drawing/2014/main" id="{CE54EFF9-A17C-4A74-A316-9E578C1EFCB0}"/>
            </a:ext>
          </a:extLst>
        </xdr:cNvPr>
        <xdr:cNvSpPr txBox="1"/>
      </xdr:nvSpPr>
      <xdr:spPr>
        <a:xfrm>
          <a:off x="8702884" y="3884671"/>
          <a:ext cx="3085704" cy="335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ysClr val="windowText" lastClr="000000"/>
              </a:solidFill>
              <a:effectLst/>
              <a:latin typeface="+mn-lt"/>
              <a:ea typeface="+mn-ea"/>
              <a:cs typeface="Segoe UI Semibold" panose="020B0702040204020203" pitchFamily="34" charset="0"/>
            </a:rPr>
            <a:t>Order Mode  by Gender %</a:t>
          </a:r>
          <a:endParaRPr lang="en-IN" sz="1800" b="1">
            <a:solidFill>
              <a:sysClr val="windowText" lastClr="000000"/>
            </a:solidFill>
            <a:latin typeface="+mn-lt"/>
            <a:cs typeface="Segoe UI Semibold" panose="020B0702040204020203" pitchFamily="34" charset="0"/>
          </a:endParaRPr>
        </a:p>
      </xdr:txBody>
    </xdr:sp>
    <xdr:clientData/>
  </xdr:twoCellAnchor>
  <xdr:twoCellAnchor>
    <xdr:from>
      <xdr:col>3</xdr:col>
      <xdr:colOff>573741</xdr:colOff>
      <xdr:row>0</xdr:row>
      <xdr:rowOff>35859</xdr:rowOff>
    </xdr:from>
    <xdr:to>
      <xdr:col>20</xdr:col>
      <xdr:colOff>403412</xdr:colOff>
      <xdr:row>2</xdr:row>
      <xdr:rowOff>89647</xdr:rowOff>
    </xdr:to>
    <xdr:sp macro="" textlink="">
      <xdr:nvSpPr>
        <xdr:cNvPr id="29" name="Rectangle 28">
          <a:extLst>
            <a:ext uri="{FF2B5EF4-FFF2-40B4-BE49-F238E27FC236}">
              <a16:creationId xmlns:a16="http://schemas.microsoft.com/office/drawing/2014/main" id="{DFB405F9-7D45-61CA-B89F-461F5D9D8A61}"/>
            </a:ext>
          </a:extLst>
        </xdr:cNvPr>
        <xdr:cNvSpPr/>
      </xdr:nvSpPr>
      <xdr:spPr>
        <a:xfrm>
          <a:off x="2402541" y="35859"/>
          <a:ext cx="10192871" cy="41237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VIVA CALIF Sales &amp; Operations Performance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eepa" refreshedDate="45967.461602662035" createdVersion="8" refreshedVersion="8" minRefreshableVersion="3" recordCount="2401" xr:uid="{F120EF03-73B2-4010-8029-567CD98EC8AB}">
  <cacheSource type="worksheet">
    <worksheetSource ref="A1:O1048576" sheet="Data"/>
  </cacheSource>
  <cacheFields count="15">
    <cacheField name="TX ID" numFmtId="0">
      <sharedItems containsBlank="1" count="2401">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m/>
      </sharedItems>
    </cacheField>
    <cacheField name="Product" numFmtId="0">
      <sharedItems containsBlank="1" count="21">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m/>
      </sharedItems>
    </cacheField>
    <cacheField name="Quantity" numFmtId="0">
      <sharedItems containsString="0" containsBlank="1" containsNumber="1" containsInteger="1" minValue="1" maxValue="87"/>
    </cacheField>
    <cacheField name="Unit Price" numFmtId="0">
      <sharedItems containsString="0" containsBlank="1" containsNumber="1" minValue="10.199999999999999" maxValue="234.7"/>
    </cacheField>
    <cacheField name="Amount" numFmtId="0">
      <sharedItems containsString="0" containsBlank="1" containsNumber="1" minValue="10.9" maxValue="7446.6"/>
    </cacheField>
    <cacheField name="Order Date" numFmtId="0">
      <sharedItems containsNonDate="0" containsDate="1" containsString="0" containsBlank="1" minDate="2025-01-01T00:00:00" maxDate="2025-03-30T00:00:00"/>
    </cacheField>
    <cacheField name="Ship Date" numFmtId="0">
      <sharedItems containsNonDate="0" containsDate="1" containsString="0" containsBlank="1" minDate="2025-01-02T00:00:00" maxDate="2025-04-11T00:00:00"/>
    </cacheField>
    <cacheField name="Customer Gender" numFmtId="0">
      <sharedItems containsBlank="1" count="5">
        <s v=""/>
        <s v="M"/>
        <s v="F"/>
        <s v="O"/>
        <m/>
      </sharedItems>
    </cacheField>
    <cacheField name="Order Mode" numFmtId="0">
      <sharedItems containsBlank="1" count="6">
        <s v="App"/>
        <s v="Website"/>
        <s v="Target.com"/>
        <s v="Instagram"/>
        <s v="Partner App"/>
        <m/>
      </sharedItems>
    </cacheField>
    <cacheField name="Rating C" numFmtId="0">
      <sharedItems containsString="0" containsBlank="1" containsNumber="1" containsInteger="1" minValue="1" maxValue="5"/>
    </cacheField>
    <cacheField name="State" numFmtId="0">
      <sharedItems containsBlank="1" count="2">
        <s v="California"/>
        <m/>
      </sharedItems>
    </cacheField>
    <cacheField name="County" numFmtId="0">
      <sharedItems containsBlank="1" count="59">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m/>
      </sharedItems>
    </cacheField>
    <cacheField name="Days to Deliver" numFmtId="0">
      <sharedItems containsString="0" containsBlank="1" containsNumber="1" containsInteger="1" minValue="0" maxValue="14"/>
    </cacheField>
    <cacheField name="Weeknum" numFmtId="0">
      <sharedItems containsString="0" containsBlank="1" containsNumber="1" containsInteger="1" minValue="1" maxValue="13"/>
    </cacheField>
    <cacheField name="Gender Value" numFmtId="0">
      <sharedItems containsBlank="1" count="5">
        <s v="Unknown"/>
        <s v="Male"/>
        <s v="Female"/>
        <s v="Other"/>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eepa" refreshedDate="45967.480234606483" createdVersion="8" refreshedVersion="8" minRefreshableVersion="3" recordCount="2400" xr:uid="{A042A0BA-1C1B-490F-8B2B-F6E5FC08AAED}">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acheField>
    <cacheField name="County" numFmtId="0">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828617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x v="0"/>
    <x v="0"/>
    <n v="1"/>
    <n v="10.9"/>
    <n v="10.9"/>
    <d v="2025-01-01T00:00:00"/>
    <d v="2025-01-06T00:00:00"/>
    <x v="0"/>
    <x v="0"/>
    <n v="4"/>
    <x v="0"/>
    <x v="0"/>
    <n v="5"/>
    <n v="1"/>
    <x v="0"/>
  </r>
  <r>
    <x v="1"/>
    <x v="1"/>
    <n v="2"/>
    <n v="30.6"/>
    <n v="61.2"/>
    <d v="2025-01-01T00:00:00"/>
    <d v="2025-01-03T00:00:00"/>
    <x v="1"/>
    <x v="0"/>
    <n v="4"/>
    <x v="0"/>
    <x v="1"/>
    <n v="2"/>
    <n v="1"/>
    <x v="1"/>
  </r>
  <r>
    <x v="2"/>
    <x v="2"/>
    <n v="3"/>
    <n v="109.4"/>
    <n v="328.20000000000005"/>
    <d v="2025-01-01T00:00:00"/>
    <d v="2025-01-04T00:00:00"/>
    <x v="2"/>
    <x v="0"/>
    <n v="3"/>
    <x v="0"/>
    <x v="2"/>
    <n v="3"/>
    <n v="1"/>
    <x v="2"/>
  </r>
  <r>
    <x v="3"/>
    <x v="3"/>
    <n v="7"/>
    <n v="37.700000000000003"/>
    <n v="263.90000000000003"/>
    <d v="2025-01-01T00:00:00"/>
    <d v="2025-01-02T00:00:00"/>
    <x v="2"/>
    <x v="0"/>
    <n v="4"/>
    <x v="0"/>
    <x v="2"/>
    <n v="1"/>
    <n v="1"/>
    <x v="2"/>
  </r>
  <r>
    <x v="4"/>
    <x v="4"/>
    <n v="3"/>
    <n v="56.7"/>
    <n v="170.10000000000002"/>
    <d v="2025-01-01T00:00:00"/>
    <d v="2025-01-04T00:00:00"/>
    <x v="2"/>
    <x v="0"/>
    <n v="5"/>
    <x v="0"/>
    <x v="3"/>
    <n v="3"/>
    <n v="1"/>
    <x v="2"/>
  </r>
  <r>
    <x v="5"/>
    <x v="1"/>
    <n v="12"/>
    <n v="83.5"/>
    <n v="1002"/>
    <d v="2025-01-01T00:00:00"/>
    <d v="2025-01-04T00:00:00"/>
    <x v="1"/>
    <x v="1"/>
    <n v="4"/>
    <x v="0"/>
    <x v="3"/>
    <n v="3"/>
    <n v="1"/>
    <x v="1"/>
  </r>
  <r>
    <x v="6"/>
    <x v="5"/>
    <n v="1"/>
    <n v="55.3"/>
    <n v="55.3"/>
    <d v="2025-01-01T00:00:00"/>
    <d v="2025-01-02T00:00:00"/>
    <x v="2"/>
    <x v="0"/>
    <n v="4"/>
    <x v="0"/>
    <x v="3"/>
    <n v="1"/>
    <n v="1"/>
    <x v="2"/>
  </r>
  <r>
    <x v="7"/>
    <x v="6"/>
    <n v="2"/>
    <n v="40.299999999999997"/>
    <n v="80.599999999999994"/>
    <d v="2025-01-01T00:00:00"/>
    <d v="2025-01-02T00:00:00"/>
    <x v="1"/>
    <x v="2"/>
    <n v="5"/>
    <x v="0"/>
    <x v="3"/>
    <n v="1"/>
    <n v="1"/>
    <x v="1"/>
  </r>
  <r>
    <x v="8"/>
    <x v="7"/>
    <n v="11"/>
    <n v="35.700000000000003"/>
    <n v="392.70000000000005"/>
    <d v="2025-01-01T00:00:00"/>
    <d v="2025-01-02T00:00:00"/>
    <x v="2"/>
    <x v="0"/>
    <n v="4"/>
    <x v="0"/>
    <x v="3"/>
    <n v="1"/>
    <n v="1"/>
    <x v="2"/>
  </r>
  <r>
    <x v="9"/>
    <x v="8"/>
    <n v="7"/>
    <n v="22.4"/>
    <n v="156.79999999999998"/>
    <d v="2025-01-01T00:00:00"/>
    <d v="2025-01-04T00:00:00"/>
    <x v="1"/>
    <x v="0"/>
    <n v="3"/>
    <x v="0"/>
    <x v="3"/>
    <n v="3"/>
    <n v="1"/>
    <x v="1"/>
  </r>
  <r>
    <x v="10"/>
    <x v="9"/>
    <n v="2"/>
    <n v="54.4"/>
    <n v="108.8"/>
    <d v="2025-01-01T00:00:00"/>
    <d v="2025-01-07T00:00:00"/>
    <x v="2"/>
    <x v="0"/>
    <n v="4"/>
    <x v="0"/>
    <x v="3"/>
    <n v="6"/>
    <n v="1"/>
    <x v="2"/>
  </r>
  <r>
    <x v="11"/>
    <x v="9"/>
    <n v="2"/>
    <n v="49"/>
    <n v="98"/>
    <d v="2025-01-01T00:00:00"/>
    <d v="2025-01-03T00:00:00"/>
    <x v="2"/>
    <x v="2"/>
    <n v="3"/>
    <x v="0"/>
    <x v="3"/>
    <n v="2"/>
    <n v="1"/>
    <x v="2"/>
  </r>
  <r>
    <x v="12"/>
    <x v="5"/>
    <n v="7"/>
    <n v="118.6"/>
    <n v="830.19999999999993"/>
    <d v="2025-01-01T00:00:00"/>
    <d v="2025-01-05T00:00:00"/>
    <x v="2"/>
    <x v="1"/>
    <n v="4"/>
    <x v="0"/>
    <x v="4"/>
    <n v="4"/>
    <n v="1"/>
    <x v="2"/>
  </r>
  <r>
    <x v="13"/>
    <x v="6"/>
    <n v="27"/>
    <n v="88.4"/>
    <n v="2386.8000000000002"/>
    <d v="2025-01-01T00:00:00"/>
    <d v="2025-01-08T00:00:00"/>
    <x v="1"/>
    <x v="3"/>
    <n v="4"/>
    <x v="0"/>
    <x v="5"/>
    <n v="7"/>
    <n v="1"/>
    <x v="1"/>
  </r>
  <r>
    <x v="14"/>
    <x v="10"/>
    <n v="1"/>
    <n v="66.7"/>
    <n v="66.7"/>
    <d v="2025-01-01T00:00:00"/>
    <d v="2025-01-04T00:00:00"/>
    <x v="1"/>
    <x v="0"/>
    <n v="4"/>
    <x v="0"/>
    <x v="6"/>
    <n v="3"/>
    <n v="1"/>
    <x v="1"/>
  </r>
  <r>
    <x v="15"/>
    <x v="9"/>
    <n v="10"/>
    <n v="30.9"/>
    <n v="309"/>
    <d v="2025-01-01T00:00:00"/>
    <d v="2025-01-02T00:00:00"/>
    <x v="1"/>
    <x v="1"/>
    <n v="5"/>
    <x v="0"/>
    <x v="6"/>
    <n v="1"/>
    <n v="1"/>
    <x v="1"/>
  </r>
  <r>
    <x v="16"/>
    <x v="4"/>
    <n v="3"/>
    <n v="31.1"/>
    <n v="93.300000000000011"/>
    <d v="2025-01-01T00:00:00"/>
    <d v="2025-01-02T00:00:00"/>
    <x v="2"/>
    <x v="0"/>
    <n v="3"/>
    <x v="0"/>
    <x v="6"/>
    <n v="1"/>
    <n v="1"/>
    <x v="2"/>
  </r>
  <r>
    <x v="17"/>
    <x v="7"/>
    <n v="3"/>
    <n v="36.6"/>
    <n v="109.80000000000001"/>
    <d v="2025-01-01T00:00:00"/>
    <d v="2025-01-04T00:00:00"/>
    <x v="2"/>
    <x v="0"/>
    <n v="4"/>
    <x v="0"/>
    <x v="7"/>
    <n v="3"/>
    <n v="1"/>
    <x v="2"/>
  </r>
  <r>
    <x v="18"/>
    <x v="6"/>
    <n v="8"/>
    <n v="51.1"/>
    <n v="408.8"/>
    <d v="2025-01-01T00:00:00"/>
    <d v="2025-01-04T00:00:00"/>
    <x v="2"/>
    <x v="2"/>
    <n v="1"/>
    <x v="0"/>
    <x v="7"/>
    <n v="3"/>
    <n v="1"/>
    <x v="2"/>
  </r>
  <r>
    <x v="19"/>
    <x v="9"/>
    <n v="1"/>
    <n v="25.2"/>
    <n v="25.2"/>
    <d v="2025-01-01T00:00:00"/>
    <d v="2025-01-02T00:00:00"/>
    <x v="2"/>
    <x v="1"/>
    <n v="5"/>
    <x v="0"/>
    <x v="8"/>
    <n v="1"/>
    <n v="1"/>
    <x v="2"/>
  </r>
  <r>
    <x v="20"/>
    <x v="9"/>
    <n v="5"/>
    <n v="43.8"/>
    <n v="219"/>
    <d v="2025-01-01T00:00:00"/>
    <d v="2025-01-04T00:00:00"/>
    <x v="2"/>
    <x v="2"/>
    <n v="4"/>
    <x v="0"/>
    <x v="8"/>
    <n v="3"/>
    <n v="1"/>
    <x v="2"/>
  </r>
  <r>
    <x v="21"/>
    <x v="8"/>
    <n v="12"/>
    <n v="46.7"/>
    <n v="560.40000000000009"/>
    <d v="2025-01-01T00:00:00"/>
    <d v="2025-01-02T00:00:00"/>
    <x v="2"/>
    <x v="1"/>
    <n v="3"/>
    <x v="0"/>
    <x v="8"/>
    <n v="1"/>
    <n v="1"/>
    <x v="2"/>
  </r>
  <r>
    <x v="22"/>
    <x v="3"/>
    <n v="19"/>
    <n v="79.900000000000006"/>
    <n v="1518.1000000000001"/>
    <d v="2025-01-01T00:00:00"/>
    <d v="2025-01-02T00:00:00"/>
    <x v="1"/>
    <x v="0"/>
    <n v="5"/>
    <x v="0"/>
    <x v="8"/>
    <n v="1"/>
    <n v="1"/>
    <x v="1"/>
  </r>
  <r>
    <x v="23"/>
    <x v="11"/>
    <n v="8"/>
    <n v="26.4"/>
    <n v="211.2"/>
    <d v="2025-01-01T00:00:00"/>
    <d v="2025-01-02T00:00:00"/>
    <x v="2"/>
    <x v="3"/>
    <n v="4"/>
    <x v="0"/>
    <x v="8"/>
    <n v="1"/>
    <n v="1"/>
    <x v="2"/>
  </r>
  <r>
    <x v="24"/>
    <x v="12"/>
    <n v="8"/>
    <n v="88.8"/>
    <n v="710.4"/>
    <d v="2025-01-01T00:00:00"/>
    <d v="2025-01-02T00:00:00"/>
    <x v="2"/>
    <x v="4"/>
    <n v="4"/>
    <x v="0"/>
    <x v="8"/>
    <n v="1"/>
    <n v="1"/>
    <x v="2"/>
  </r>
  <r>
    <x v="25"/>
    <x v="0"/>
    <n v="10"/>
    <n v="17.5"/>
    <n v="175"/>
    <d v="2025-01-01T00:00:00"/>
    <d v="2025-01-02T00:00:00"/>
    <x v="2"/>
    <x v="2"/>
    <n v="4"/>
    <x v="0"/>
    <x v="9"/>
    <n v="1"/>
    <n v="1"/>
    <x v="2"/>
  </r>
  <r>
    <x v="26"/>
    <x v="1"/>
    <n v="9"/>
    <n v="38.700000000000003"/>
    <n v="348.3"/>
    <d v="2025-01-01T00:00:00"/>
    <d v="2025-01-04T00:00:00"/>
    <x v="1"/>
    <x v="1"/>
    <n v="4"/>
    <x v="0"/>
    <x v="10"/>
    <n v="3"/>
    <n v="1"/>
    <x v="1"/>
  </r>
  <r>
    <x v="27"/>
    <x v="13"/>
    <n v="4"/>
    <n v="57.2"/>
    <n v="228.8"/>
    <d v="2025-01-01T00:00:00"/>
    <d v="2025-01-03T00:00:00"/>
    <x v="0"/>
    <x v="1"/>
    <n v="5"/>
    <x v="0"/>
    <x v="11"/>
    <n v="2"/>
    <n v="1"/>
    <x v="0"/>
  </r>
  <r>
    <x v="28"/>
    <x v="6"/>
    <n v="5"/>
    <n v="50.9"/>
    <n v="254.5"/>
    <d v="2025-01-01T00:00:00"/>
    <d v="2025-01-07T00:00:00"/>
    <x v="0"/>
    <x v="1"/>
    <n v="5"/>
    <x v="0"/>
    <x v="12"/>
    <n v="6"/>
    <n v="1"/>
    <x v="0"/>
  </r>
  <r>
    <x v="29"/>
    <x v="14"/>
    <n v="7"/>
    <n v="41"/>
    <n v="287"/>
    <d v="2025-01-01T00:00:00"/>
    <d v="2025-01-05T00:00:00"/>
    <x v="2"/>
    <x v="1"/>
    <n v="4"/>
    <x v="0"/>
    <x v="13"/>
    <n v="4"/>
    <n v="1"/>
    <x v="2"/>
  </r>
  <r>
    <x v="30"/>
    <x v="8"/>
    <n v="7"/>
    <n v="19.100000000000001"/>
    <n v="133.70000000000002"/>
    <d v="2025-01-01T00:00:00"/>
    <d v="2025-01-05T00:00:00"/>
    <x v="1"/>
    <x v="0"/>
    <n v="5"/>
    <x v="0"/>
    <x v="14"/>
    <n v="4"/>
    <n v="1"/>
    <x v="1"/>
  </r>
  <r>
    <x v="31"/>
    <x v="2"/>
    <n v="5"/>
    <n v="166.1"/>
    <n v="830.5"/>
    <d v="2025-01-01T00:00:00"/>
    <d v="2025-01-04T00:00:00"/>
    <x v="1"/>
    <x v="0"/>
    <n v="4"/>
    <x v="0"/>
    <x v="15"/>
    <n v="3"/>
    <n v="1"/>
    <x v="1"/>
  </r>
  <r>
    <x v="32"/>
    <x v="4"/>
    <n v="3"/>
    <n v="29.9"/>
    <n v="89.699999999999989"/>
    <d v="2025-01-01T00:00:00"/>
    <d v="2025-01-02T00:00:00"/>
    <x v="1"/>
    <x v="3"/>
    <n v="4"/>
    <x v="0"/>
    <x v="3"/>
    <n v="1"/>
    <n v="1"/>
    <x v="1"/>
  </r>
  <r>
    <x v="33"/>
    <x v="10"/>
    <n v="6"/>
    <n v="21.7"/>
    <n v="130.19999999999999"/>
    <d v="2025-01-01T00:00:00"/>
    <d v="2025-01-03T00:00:00"/>
    <x v="3"/>
    <x v="2"/>
    <n v="5"/>
    <x v="0"/>
    <x v="3"/>
    <n v="2"/>
    <n v="1"/>
    <x v="3"/>
  </r>
  <r>
    <x v="34"/>
    <x v="11"/>
    <n v="2"/>
    <n v="32"/>
    <n v="64"/>
    <d v="2025-01-01T00:00:00"/>
    <d v="2025-01-04T00:00:00"/>
    <x v="1"/>
    <x v="0"/>
    <n v="5"/>
    <x v="0"/>
    <x v="3"/>
    <n v="3"/>
    <n v="1"/>
    <x v="1"/>
  </r>
  <r>
    <x v="35"/>
    <x v="8"/>
    <n v="2"/>
    <n v="15.8"/>
    <n v="31.6"/>
    <d v="2025-01-01T00:00:00"/>
    <d v="2025-01-02T00:00:00"/>
    <x v="1"/>
    <x v="4"/>
    <n v="5"/>
    <x v="0"/>
    <x v="3"/>
    <n v="1"/>
    <n v="1"/>
    <x v="1"/>
  </r>
  <r>
    <x v="36"/>
    <x v="2"/>
    <n v="17"/>
    <n v="203.1"/>
    <n v="3452.7"/>
    <d v="2025-01-01T00:00:00"/>
    <d v="2025-01-05T00:00:00"/>
    <x v="1"/>
    <x v="3"/>
    <n v="3"/>
    <x v="0"/>
    <x v="3"/>
    <n v="4"/>
    <n v="1"/>
    <x v="1"/>
  </r>
  <r>
    <x v="37"/>
    <x v="7"/>
    <n v="13"/>
    <n v="39"/>
    <n v="507"/>
    <d v="2025-01-01T00:00:00"/>
    <d v="2025-01-07T00:00:00"/>
    <x v="1"/>
    <x v="0"/>
    <n v="5"/>
    <x v="0"/>
    <x v="3"/>
    <n v="6"/>
    <n v="1"/>
    <x v="1"/>
  </r>
  <r>
    <x v="38"/>
    <x v="10"/>
    <n v="1"/>
    <n v="26.5"/>
    <n v="26.5"/>
    <d v="2025-01-02T00:00:00"/>
    <d v="2025-01-03T00:00:00"/>
    <x v="1"/>
    <x v="2"/>
    <n v="4"/>
    <x v="0"/>
    <x v="3"/>
    <n v="1"/>
    <n v="1"/>
    <x v="1"/>
  </r>
  <r>
    <x v="39"/>
    <x v="5"/>
    <n v="1"/>
    <n v="43.1"/>
    <n v="43.1"/>
    <d v="2025-01-02T00:00:00"/>
    <d v="2025-01-03T00:00:00"/>
    <x v="2"/>
    <x v="2"/>
    <n v="3"/>
    <x v="0"/>
    <x v="3"/>
    <n v="1"/>
    <n v="1"/>
    <x v="2"/>
  </r>
  <r>
    <x v="40"/>
    <x v="1"/>
    <n v="3"/>
    <n v="139"/>
    <n v="417"/>
    <d v="2025-01-02T00:00:00"/>
    <d v="2025-01-03T00:00:00"/>
    <x v="2"/>
    <x v="4"/>
    <n v="5"/>
    <x v="0"/>
    <x v="3"/>
    <n v="1"/>
    <n v="1"/>
    <x v="2"/>
  </r>
  <r>
    <x v="41"/>
    <x v="12"/>
    <n v="1"/>
    <n v="80.7"/>
    <n v="80.7"/>
    <d v="2025-01-02T00:00:00"/>
    <d v="2025-01-03T00:00:00"/>
    <x v="1"/>
    <x v="0"/>
    <n v="5"/>
    <x v="0"/>
    <x v="16"/>
    <n v="1"/>
    <n v="1"/>
    <x v="1"/>
  </r>
  <r>
    <x v="42"/>
    <x v="4"/>
    <n v="2"/>
    <n v="54.5"/>
    <n v="109"/>
    <d v="2025-01-02T00:00:00"/>
    <d v="2025-01-04T00:00:00"/>
    <x v="1"/>
    <x v="1"/>
    <n v="3"/>
    <x v="0"/>
    <x v="6"/>
    <n v="2"/>
    <n v="1"/>
    <x v="1"/>
  </r>
  <r>
    <x v="43"/>
    <x v="6"/>
    <n v="3"/>
    <n v="68.599999999999994"/>
    <n v="205.79999999999998"/>
    <d v="2025-01-02T00:00:00"/>
    <d v="2025-01-02T00:00:00"/>
    <x v="2"/>
    <x v="0"/>
    <n v="3"/>
    <x v="0"/>
    <x v="8"/>
    <n v="0"/>
    <n v="1"/>
    <x v="2"/>
  </r>
  <r>
    <x v="44"/>
    <x v="2"/>
    <n v="4"/>
    <n v="135.9"/>
    <n v="543.6"/>
    <d v="2025-01-02T00:00:00"/>
    <d v="2025-01-03T00:00:00"/>
    <x v="2"/>
    <x v="2"/>
    <n v="5"/>
    <x v="0"/>
    <x v="8"/>
    <n v="1"/>
    <n v="1"/>
    <x v="2"/>
  </r>
  <r>
    <x v="45"/>
    <x v="2"/>
    <n v="4"/>
    <n v="70.900000000000006"/>
    <n v="283.60000000000002"/>
    <d v="2025-01-02T00:00:00"/>
    <d v="2025-01-03T00:00:00"/>
    <x v="2"/>
    <x v="0"/>
    <n v="4"/>
    <x v="0"/>
    <x v="17"/>
    <n v="1"/>
    <n v="1"/>
    <x v="2"/>
  </r>
  <r>
    <x v="46"/>
    <x v="1"/>
    <n v="5"/>
    <n v="63.7"/>
    <n v="318.5"/>
    <d v="2025-01-02T00:00:00"/>
    <d v="2025-01-03T00:00:00"/>
    <x v="1"/>
    <x v="1"/>
    <n v="3"/>
    <x v="0"/>
    <x v="9"/>
    <n v="1"/>
    <n v="1"/>
    <x v="1"/>
  </r>
  <r>
    <x v="47"/>
    <x v="13"/>
    <n v="1"/>
    <n v="29.7"/>
    <n v="29.7"/>
    <d v="2025-01-02T00:00:00"/>
    <d v="2025-01-04T00:00:00"/>
    <x v="2"/>
    <x v="1"/>
    <n v="4"/>
    <x v="0"/>
    <x v="11"/>
    <n v="2"/>
    <n v="1"/>
    <x v="2"/>
  </r>
  <r>
    <x v="48"/>
    <x v="4"/>
    <n v="3"/>
    <n v="26.8"/>
    <n v="80.400000000000006"/>
    <d v="2025-01-02T00:00:00"/>
    <d v="2025-01-11T00:00:00"/>
    <x v="2"/>
    <x v="1"/>
    <n v="5"/>
    <x v="0"/>
    <x v="11"/>
    <n v="9"/>
    <n v="1"/>
    <x v="2"/>
  </r>
  <r>
    <x v="49"/>
    <x v="14"/>
    <n v="1"/>
    <n v="27"/>
    <n v="27"/>
    <d v="2025-01-02T00:00:00"/>
    <d v="2025-01-04T00:00:00"/>
    <x v="2"/>
    <x v="0"/>
    <n v="4"/>
    <x v="0"/>
    <x v="18"/>
    <n v="2"/>
    <n v="1"/>
    <x v="2"/>
  </r>
  <r>
    <x v="50"/>
    <x v="8"/>
    <n v="1"/>
    <n v="41.4"/>
    <n v="41.4"/>
    <d v="2025-01-02T00:00:00"/>
    <d v="2025-01-03T00:00:00"/>
    <x v="1"/>
    <x v="1"/>
    <n v="5"/>
    <x v="0"/>
    <x v="19"/>
    <n v="1"/>
    <n v="1"/>
    <x v="1"/>
  </r>
  <r>
    <x v="51"/>
    <x v="8"/>
    <n v="2"/>
    <n v="24.3"/>
    <n v="48.6"/>
    <d v="2025-01-02T00:00:00"/>
    <d v="2025-01-05T00:00:00"/>
    <x v="2"/>
    <x v="1"/>
    <n v="4"/>
    <x v="0"/>
    <x v="19"/>
    <n v="3"/>
    <n v="1"/>
    <x v="2"/>
  </r>
  <r>
    <x v="52"/>
    <x v="8"/>
    <n v="3"/>
    <n v="41.7"/>
    <n v="125.10000000000001"/>
    <d v="2025-01-02T00:00:00"/>
    <d v="2025-01-04T00:00:00"/>
    <x v="1"/>
    <x v="0"/>
    <n v="5"/>
    <x v="0"/>
    <x v="20"/>
    <n v="2"/>
    <n v="1"/>
    <x v="1"/>
  </r>
  <r>
    <x v="53"/>
    <x v="0"/>
    <n v="2"/>
    <n v="18"/>
    <n v="36"/>
    <d v="2025-01-02T00:00:00"/>
    <d v="2025-01-03T00:00:00"/>
    <x v="2"/>
    <x v="0"/>
    <n v="5"/>
    <x v="0"/>
    <x v="21"/>
    <n v="1"/>
    <n v="1"/>
    <x v="2"/>
  </r>
  <r>
    <x v="54"/>
    <x v="7"/>
    <n v="3"/>
    <n v="91.3"/>
    <n v="273.89999999999998"/>
    <d v="2025-01-02T00:00:00"/>
    <d v="2025-01-05T00:00:00"/>
    <x v="1"/>
    <x v="2"/>
    <n v="5"/>
    <x v="0"/>
    <x v="3"/>
    <n v="3"/>
    <n v="1"/>
    <x v="1"/>
  </r>
  <r>
    <x v="55"/>
    <x v="8"/>
    <n v="8"/>
    <n v="19.3"/>
    <n v="154.4"/>
    <d v="2025-01-02T00:00:00"/>
    <d v="2025-01-03T00:00:00"/>
    <x v="1"/>
    <x v="0"/>
    <n v="4"/>
    <x v="0"/>
    <x v="3"/>
    <n v="1"/>
    <n v="1"/>
    <x v="1"/>
  </r>
  <r>
    <x v="56"/>
    <x v="12"/>
    <n v="13"/>
    <n v="63.2"/>
    <n v="821.6"/>
    <d v="2025-01-02T00:00:00"/>
    <d v="2025-01-03T00:00:00"/>
    <x v="2"/>
    <x v="0"/>
    <n v="4"/>
    <x v="0"/>
    <x v="3"/>
    <n v="1"/>
    <n v="1"/>
    <x v="2"/>
  </r>
  <r>
    <x v="57"/>
    <x v="10"/>
    <n v="9"/>
    <n v="33.299999999999997"/>
    <n v="299.7"/>
    <d v="2025-01-03T00:00:00"/>
    <d v="2025-01-11T00:00:00"/>
    <x v="2"/>
    <x v="0"/>
    <n v="5"/>
    <x v="0"/>
    <x v="3"/>
    <n v="8"/>
    <n v="1"/>
    <x v="2"/>
  </r>
  <r>
    <x v="58"/>
    <x v="7"/>
    <n v="2"/>
    <n v="64.2"/>
    <n v="128.4"/>
    <d v="2025-01-03T00:00:00"/>
    <d v="2025-01-04T00:00:00"/>
    <x v="1"/>
    <x v="0"/>
    <n v="5"/>
    <x v="0"/>
    <x v="3"/>
    <n v="1"/>
    <n v="1"/>
    <x v="1"/>
  </r>
  <r>
    <x v="59"/>
    <x v="9"/>
    <n v="3"/>
    <n v="23.1"/>
    <n v="69.300000000000011"/>
    <d v="2025-01-03T00:00:00"/>
    <d v="2025-01-06T00:00:00"/>
    <x v="2"/>
    <x v="1"/>
    <n v="5"/>
    <x v="0"/>
    <x v="3"/>
    <n v="3"/>
    <n v="1"/>
    <x v="2"/>
  </r>
  <r>
    <x v="60"/>
    <x v="15"/>
    <n v="2"/>
    <n v="71.099999999999994"/>
    <n v="142.19999999999999"/>
    <d v="2025-01-03T00:00:00"/>
    <d v="2025-01-05T00:00:00"/>
    <x v="2"/>
    <x v="3"/>
    <n v="3"/>
    <x v="0"/>
    <x v="3"/>
    <n v="2"/>
    <n v="1"/>
    <x v="2"/>
  </r>
  <r>
    <x v="61"/>
    <x v="0"/>
    <n v="2"/>
    <n v="11.5"/>
    <n v="23"/>
    <d v="2025-01-03T00:00:00"/>
    <d v="2025-01-04T00:00:00"/>
    <x v="2"/>
    <x v="0"/>
    <n v="4"/>
    <x v="0"/>
    <x v="3"/>
    <n v="1"/>
    <n v="1"/>
    <x v="2"/>
  </r>
  <r>
    <x v="62"/>
    <x v="15"/>
    <n v="19"/>
    <n v="69.2"/>
    <n v="1314.8"/>
    <d v="2025-01-03T00:00:00"/>
    <d v="2025-01-08T00:00:00"/>
    <x v="2"/>
    <x v="0"/>
    <n v="4"/>
    <x v="0"/>
    <x v="3"/>
    <n v="5"/>
    <n v="1"/>
    <x v="2"/>
  </r>
  <r>
    <x v="63"/>
    <x v="0"/>
    <n v="1"/>
    <n v="26.8"/>
    <n v="26.8"/>
    <d v="2025-01-03T00:00:00"/>
    <d v="2025-01-04T00:00:00"/>
    <x v="1"/>
    <x v="2"/>
    <n v="2"/>
    <x v="0"/>
    <x v="3"/>
    <n v="1"/>
    <n v="1"/>
    <x v="1"/>
  </r>
  <r>
    <x v="64"/>
    <x v="16"/>
    <n v="3"/>
    <n v="31.2"/>
    <n v="93.6"/>
    <d v="2025-01-03T00:00:00"/>
    <d v="2025-01-06T00:00:00"/>
    <x v="2"/>
    <x v="0"/>
    <n v="4"/>
    <x v="0"/>
    <x v="3"/>
    <n v="3"/>
    <n v="1"/>
    <x v="2"/>
  </r>
  <r>
    <x v="65"/>
    <x v="12"/>
    <n v="2"/>
    <n v="113.2"/>
    <n v="226.4"/>
    <d v="2025-01-03T00:00:00"/>
    <d v="2025-01-04T00:00:00"/>
    <x v="2"/>
    <x v="4"/>
    <n v="4"/>
    <x v="0"/>
    <x v="3"/>
    <n v="1"/>
    <n v="1"/>
    <x v="2"/>
  </r>
  <r>
    <x v="66"/>
    <x v="10"/>
    <n v="8"/>
    <n v="21"/>
    <n v="168"/>
    <d v="2025-01-03T00:00:00"/>
    <d v="2025-01-04T00:00:00"/>
    <x v="1"/>
    <x v="0"/>
    <n v="4"/>
    <x v="0"/>
    <x v="6"/>
    <n v="1"/>
    <n v="1"/>
    <x v="1"/>
  </r>
  <r>
    <x v="67"/>
    <x v="1"/>
    <n v="2"/>
    <n v="89.1"/>
    <n v="178.2"/>
    <d v="2025-01-03T00:00:00"/>
    <d v="2025-01-04T00:00:00"/>
    <x v="2"/>
    <x v="2"/>
    <n v="5"/>
    <x v="0"/>
    <x v="6"/>
    <n v="1"/>
    <n v="1"/>
    <x v="2"/>
  </r>
  <r>
    <x v="68"/>
    <x v="1"/>
    <n v="1"/>
    <n v="97.7"/>
    <n v="97.7"/>
    <d v="2025-01-03T00:00:00"/>
    <d v="2025-01-05T00:00:00"/>
    <x v="2"/>
    <x v="0"/>
    <n v="3"/>
    <x v="0"/>
    <x v="6"/>
    <n v="2"/>
    <n v="1"/>
    <x v="2"/>
  </r>
  <r>
    <x v="69"/>
    <x v="15"/>
    <n v="4"/>
    <n v="97.7"/>
    <n v="390.8"/>
    <d v="2025-01-03T00:00:00"/>
    <d v="2025-01-05T00:00:00"/>
    <x v="1"/>
    <x v="3"/>
    <n v="4"/>
    <x v="0"/>
    <x v="6"/>
    <n v="2"/>
    <n v="1"/>
    <x v="1"/>
  </r>
  <r>
    <x v="70"/>
    <x v="17"/>
    <n v="3"/>
    <n v="47.4"/>
    <n v="142.19999999999999"/>
    <d v="2025-01-03T00:00:00"/>
    <d v="2025-01-06T00:00:00"/>
    <x v="1"/>
    <x v="3"/>
    <n v="5"/>
    <x v="0"/>
    <x v="8"/>
    <n v="3"/>
    <n v="1"/>
    <x v="1"/>
  </r>
  <r>
    <x v="71"/>
    <x v="7"/>
    <n v="1"/>
    <n v="89.6"/>
    <n v="89.6"/>
    <d v="2025-01-03T00:00:00"/>
    <d v="2025-01-06T00:00:00"/>
    <x v="2"/>
    <x v="0"/>
    <n v="5"/>
    <x v="0"/>
    <x v="8"/>
    <n v="3"/>
    <n v="1"/>
    <x v="2"/>
  </r>
  <r>
    <x v="72"/>
    <x v="10"/>
    <n v="18"/>
    <n v="28.4"/>
    <n v="511.2"/>
    <d v="2025-01-03T00:00:00"/>
    <d v="2025-01-06T00:00:00"/>
    <x v="2"/>
    <x v="3"/>
    <n v="5"/>
    <x v="0"/>
    <x v="17"/>
    <n v="3"/>
    <n v="1"/>
    <x v="2"/>
  </r>
  <r>
    <x v="73"/>
    <x v="0"/>
    <n v="2"/>
    <n v="17.899999999999999"/>
    <n v="35.799999999999997"/>
    <d v="2025-01-03T00:00:00"/>
    <d v="2025-01-04T00:00:00"/>
    <x v="2"/>
    <x v="0"/>
    <n v="5"/>
    <x v="0"/>
    <x v="9"/>
    <n v="1"/>
    <n v="1"/>
    <x v="2"/>
  </r>
  <r>
    <x v="74"/>
    <x v="9"/>
    <n v="2"/>
    <n v="48.4"/>
    <n v="96.8"/>
    <d v="2025-01-03T00:00:00"/>
    <d v="2025-01-06T00:00:00"/>
    <x v="1"/>
    <x v="1"/>
    <n v="4"/>
    <x v="0"/>
    <x v="9"/>
    <n v="3"/>
    <n v="1"/>
    <x v="1"/>
  </r>
  <r>
    <x v="75"/>
    <x v="12"/>
    <n v="4"/>
    <n v="44.4"/>
    <n v="177.6"/>
    <d v="2025-01-03T00:00:00"/>
    <d v="2025-01-04T00:00:00"/>
    <x v="3"/>
    <x v="1"/>
    <n v="3"/>
    <x v="0"/>
    <x v="11"/>
    <n v="1"/>
    <n v="1"/>
    <x v="3"/>
  </r>
  <r>
    <x v="76"/>
    <x v="2"/>
    <n v="8"/>
    <n v="103.7"/>
    <n v="829.6"/>
    <d v="2025-01-03T00:00:00"/>
    <d v="2025-01-04T00:00:00"/>
    <x v="2"/>
    <x v="0"/>
    <n v="3"/>
    <x v="0"/>
    <x v="19"/>
    <n v="1"/>
    <n v="1"/>
    <x v="2"/>
  </r>
  <r>
    <x v="77"/>
    <x v="5"/>
    <n v="4"/>
    <n v="58.6"/>
    <n v="234.4"/>
    <d v="2025-01-03T00:00:00"/>
    <d v="2025-01-05T00:00:00"/>
    <x v="1"/>
    <x v="3"/>
    <n v="4"/>
    <x v="0"/>
    <x v="19"/>
    <n v="2"/>
    <n v="1"/>
    <x v="1"/>
  </r>
  <r>
    <x v="78"/>
    <x v="9"/>
    <n v="4"/>
    <n v="54.8"/>
    <n v="219.2"/>
    <d v="2025-01-03T00:00:00"/>
    <d v="2025-01-07T00:00:00"/>
    <x v="2"/>
    <x v="2"/>
    <n v="3"/>
    <x v="0"/>
    <x v="13"/>
    <n v="4"/>
    <n v="1"/>
    <x v="2"/>
  </r>
  <r>
    <x v="79"/>
    <x v="12"/>
    <n v="3"/>
    <n v="78.8"/>
    <n v="236.39999999999998"/>
    <d v="2025-01-03T00:00:00"/>
    <d v="2025-01-09T00:00:00"/>
    <x v="2"/>
    <x v="4"/>
    <n v="3"/>
    <x v="0"/>
    <x v="21"/>
    <n v="6"/>
    <n v="1"/>
    <x v="2"/>
  </r>
  <r>
    <x v="80"/>
    <x v="18"/>
    <n v="5"/>
    <n v="36.799999999999997"/>
    <n v="184"/>
    <d v="2025-01-03T00:00:00"/>
    <d v="2025-01-06T00:00:00"/>
    <x v="1"/>
    <x v="4"/>
    <n v="3"/>
    <x v="0"/>
    <x v="22"/>
    <n v="3"/>
    <n v="1"/>
    <x v="1"/>
  </r>
  <r>
    <x v="81"/>
    <x v="6"/>
    <n v="6"/>
    <n v="50.6"/>
    <n v="303.60000000000002"/>
    <d v="2025-01-03T00:00:00"/>
    <d v="2025-01-05T00:00:00"/>
    <x v="2"/>
    <x v="3"/>
    <n v="4"/>
    <x v="0"/>
    <x v="3"/>
    <n v="2"/>
    <n v="1"/>
    <x v="2"/>
  </r>
  <r>
    <x v="82"/>
    <x v="15"/>
    <n v="3"/>
    <n v="36.799999999999997"/>
    <n v="110.39999999999999"/>
    <d v="2025-01-03T00:00:00"/>
    <d v="2025-01-03T00:00:00"/>
    <x v="1"/>
    <x v="2"/>
    <n v="3"/>
    <x v="0"/>
    <x v="3"/>
    <n v="0"/>
    <n v="1"/>
    <x v="1"/>
  </r>
  <r>
    <x v="83"/>
    <x v="8"/>
    <n v="9"/>
    <n v="41.8"/>
    <n v="376.2"/>
    <d v="2025-01-04T00:00:00"/>
    <d v="2025-01-10T00:00:00"/>
    <x v="2"/>
    <x v="3"/>
    <n v="4"/>
    <x v="0"/>
    <x v="3"/>
    <n v="6"/>
    <n v="1"/>
    <x v="2"/>
  </r>
  <r>
    <x v="84"/>
    <x v="18"/>
    <n v="1"/>
    <n v="77.3"/>
    <n v="77.3"/>
    <d v="2025-01-04T00:00:00"/>
    <d v="2025-01-05T00:00:00"/>
    <x v="1"/>
    <x v="4"/>
    <n v="2"/>
    <x v="0"/>
    <x v="3"/>
    <n v="1"/>
    <n v="1"/>
    <x v="1"/>
  </r>
  <r>
    <x v="85"/>
    <x v="8"/>
    <n v="4"/>
    <n v="19.8"/>
    <n v="79.2"/>
    <d v="2025-01-04T00:00:00"/>
    <d v="2025-01-10T00:00:00"/>
    <x v="1"/>
    <x v="1"/>
    <n v="5"/>
    <x v="0"/>
    <x v="3"/>
    <n v="6"/>
    <n v="1"/>
    <x v="1"/>
  </r>
  <r>
    <x v="86"/>
    <x v="13"/>
    <n v="4"/>
    <n v="15.5"/>
    <n v="62"/>
    <d v="2025-01-04T00:00:00"/>
    <d v="2025-01-05T00:00:00"/>
    <x v="2"/>
    <x v="1"/>
    <n v="5"/>
    <x v="0"/>
    <x v="3"/>
    <n v="1"/>
    <n v="1"/>
    <x v="2"/>
  </r>
  <r>
    <x v="87"/>
    <x v="12"/>
    <n v="1"/>
    <n v="46.8"/>
    <n v="46.8"/>
    <d v="2025-01-04T00:00:00"/>
    <d v="2025-01-08T00:00:00"/>
    <x v="1"/>
    <x v="0"/>
    <n v="5"/>
    <x v="0"/>
    <x v="3"/>
    <n v="4"/>
    <n v="1"/>
    <x v="1"/>
  </r>
  <r>
    <x v="88"/>
    <x v="9"/>
    <n v="9"/>
    <n v="28.6"/>
    <n v="257.40000000000003"/>
    <d v="2025-01-04T00:00:00"/>
    <d v="2025-01-08T00:00:00"/>
    <x v="1"/>
    <x v="0"/>
    <n v="5"/>
    <x v="0"/>
    <x v="3"/>
    <n v="4"/>
    <n v="1"/>
    <x v="1"/>
  </r>
  <r>
    <x v="89"/>
    <x v="2"/>
    <n v="1"/>
    <n v="97.7"/>
    <n v="97.7"/>
    <d v="2025-01-04T00:00:00"/>
    <d v="2025-01-07T00:00:00"/>
    <x v="2"/>
    <x v="1"/>
    <n v="4"/>
    <x v="0"/>
    <x v="3"/>
    <n v="3"/>
    <n v="1"/>
    <x v="2"/>
  </r>
  <r>
    <x v="90"/>
    <x v="9"/>
    <n v="5"/>
    <n v="54.7"/>
    <n v="273.5"/>
    <d v="2025-01-04T00:00:00"/>
    <d v="2025-01-07T00:00:00"/>
    <x v="0"/>
    <x v="0"/>
    <n v="5"/>
    <x v="0"/>
    <x v="23"/>
    <n v="3"/>
    <n v="1"/>
    <x v="0"/>
  </r>
  <r>
    <x v="91"/>
    <x v="2"/>
    <n v="6"/>
    <n v="130.5"/>
    <n v="783"/>
    <d v="2025-01-04T00:00:00"/>
    <d v="2025-01-06T00:00:00"/>
    <x v="2"/>
    <x v="0"/>
    <n v="3"/>
    <x v="0"/>
    <x v="23"/>
    <n v="2"/>
    <n v="1"/>
    <x v="2"/>
  </r>
  <r>
    <x v="92"/>
    <x v="11"/>
    <n v="2"/>
    <n v="50.4"/>
    <n v="100.8"/>
    <d v="2025-01-04T00:00:00"/>
    <d v="2025-01-06T00:00:00"/>
    <x v="1"/>
    <x v="2"/>
    <n v="5"/>
    <x v="0"/>
    <x v="6"/>
    <n v="2"/>
    <n v="1"/>
    <x v="1"/>
  </r>
  <r>
    <x v="93"/>
    <x v="6"/>
    <n v="13"/>
    <n v="61.5"/>
    <n v="799.5"/>
    <d v="2025-01-04T00:00:00"/>
    <d v="2025-01-05T00:00:00"/>
    <x v="0"/>
    <x v="3"/>
    <n v="3"/>
    <x v="0"/>
    <x v="11"/>
    <n v="1"/>
    <n v="1"/>
    <x v="0"/>
  </r>
  <r>
    <x v="94"/>
    <x v="9"/>
    <n v="4"/>
    <n v="30.1"/>
    <n v="120.4"/>
    <d v="2025-01-04T00:00:00"/>
    <d v="2025-01-05T00:00:00"/>
    <x v="2"/>
    <x v="0"/>
    <n v="5"/>
    <x v="0"/>
    <x v="21"/>
    <n v="1"/>
    <n v="1"/>
    <x v="2"/>
  </r>
  <r>
    <x v="95"/>
    <x v="2"/>
    <n v="5"/>
    <n v="74.8"/>
    <n v="374"/>
    <d v="2025-01-04T00:00:00"/>
    <d v="2025-01-05T00:00:00"/>
    <x v="2"/>
    <x v="1"/>
    <n v="4"/>
    <x v="0"/>
    <x v="1"/>
    <n v="1"/>
    <n v="1"/>
    <x v="2"/>
  </r>
  <r>
    <x v="96"/>
    <x v="16"/>
    <n v="3"/>
    <n v="64.900000000000006"/>
    <n v="194.70000000000002"/>
    <d v="2025-01-04T00:00:00"/>
    <d v="2025-01-11T00:00:00"/>
    <x v="1"/>
    <x v="0"/>
    <n v="4"/>
    <x v="0"/>
    <x v="2"/>
    <n v="7"/>
    <n v="1"/>
    <x v="1"/>
  </r>
  <r>
    <x v="97"/>
    <x v="9"/>
    <n v="2"/>
    <n v="50.5"/>
    <n v="101"/>
    <d v="2025-01-04T00:00:00"/>
    <d v="2025-01-06T00:00:00"/>
    <x v="1"/>
    <x v="1"/>
    <n v="4"/>
    <x v="0"/>
    <x v="22"/>
    <n v="2"/>
    <n v="1"/>
    <x v="1"/>
  </r>
  <r>
    <x v="98"/>
    <x v="11"/>
    <n v="7"/>
    <n v="63"/>
    <n v="441"/>
    <d v="2025-01-04T00:00:00"/>
    <d v="2025-01-07T00:00:00"/>
    <x v="1"/>
    <x v="3"/>
    <n v="5"/>
    <x v="0"/>
    <x v="3"/>
    <n v="3"/>
    <n v="1"/>
    <x v="1"/>
  </r>
  <r>
    <x v="99"/>
    <x v="2"/>
    <n v="3"/>
    <n v="93.6"/>
    <n v="280.79999999999995"/>
    <d v="2025-01-04T00:00:00"/>
    <d v="2025-01-17T00:00:00"/>
    <x v="2"/>
    <x v="0"/>
    <n v="5"/>
    <x v="0"/>
    <x v="3"/>
    <n v="13"/>
    <n v="1"/>
    <x v="2"/>
  </r>
  <r>
    <x v="100"/>
    <x v="5"/>
    <n v="30"/>
    <n v="41.4"/>
    <n v="1242"/>
    <d v="2025-01-04T00:00:00"/>
    <d v="2025-01-08T00:00:00"/>
    <x v="1"/>
    <x v="2"/>
    <n v="5"/>
    <x v="0"/>
    <x v="3"/>
    <n v="4"/>
    <n v="1"/>
    <x v="1"/>
  </r>
  <r>
    <x v="101"/>
    <x v="2"/>
    <n v="2"/>
    <n v="160"/>
    <n v="320"/>
    <d v="2025-01-05T00:00:00"/>
    <d v="2025-01-06T00:00:00"/>
    <x v="1"/>
    <x v="2"/>
    <n v="5"/>
    <x v="0"/>
    <x v="5"/>
    <n v="1"/>
    <n v="2"/>
    <x v="1"/>
  </r>
  <r>
    <x v="102"/>
    <x v="19"/>
    <n v="11"/>
    <n v="10.5"/>
    <n v="115.5"/>
    <d v="2025-01-05T00:00:00"/>
    <d v="2025-01-08T00:00:00"/>
    <x v="2"/>
    <x v="4"/>
    <n v="4"/>
    <x v="0"/>
    <x v="8"/>
    <n v="3"/>
    <n v="2"/>
    <x v="2"/>
  </r>
  <r>
    <x v="103"/>
    <x v="10"/>
    <n v="2"/>
    <n v="53"/>
    <n v="106"/>
    <d v="2025-01-05T00:00:00"/>
    <d v="2025-01-05T00:00:00"/>
    <x v="1"/>
    <x v="2"/>
    <n v="2"/>
    <x v="0"/>
    <x v="17"/>
    <n v="0"/>
    <n v="2"/>
    <x v="1"/>
  </r>
  <r>
    <x v="104"/>
    <x v="8"/>
    <n v="3"/>
    <n v="18.5"/>
    <n v="55.5"/>
    <d v="2025-01-05T00:00:00"/>
    <d v="2025-01-10T00:00:00"/>
    <x v="2"/>
    <x v="1"/>
    <n v="5"/>
    <x v="0"/>
    <x v="11"/>
    <n v="5"/>
    <n v="2"/>
    <x v="2"/>
  </r>
  <r>
    <x v="105"/>
    <x v="16"/>
    <n v="3"/>
    <n v="84.5"/>
    <n v="253.5"/>
    <d v="2025-01-05T00:00:00"/>
    <d v="2025-01-07T00:00:00"/>
    <x v="2"/>
    <x v="4"/>
    <n v="3"/>
    <x v="0"/>
    <x v="13"/>
    <n v="2"/>
    <n v="2"/>
    <x v="2"/>
  </r>
  <r>
    <x v="106"/>
    <x v="15"/>
    <n v="7"/>
    <n v="31.2"/>
    <n v="218.4"/>
    <d v="2025-01-05T00:00:00"/>
    <d v="2025-01-05T00:00:00"/>
    <x v="2"/>
    <x v="2"/>
    <n v="5"/>
    <x v="0"/>
    <x v="3"/>
    <n v="0"/>
    <n v="2"/>
    <x v="2"/>
  </r>
  <r>
    <x v="107"/>
    <x v="8"/>
    <n v="18"/>
    <n v="32.6"/>
    <n v="586.80000000000007"/>
    <d v="2025-01-05T00:00:00"/>
    <d v="2025-01-06T00:00:00"/>
    <x v="1"/>
    <x v="1"/>
    <n v="3"/>
    <x v="0"/>
    <x v="3"/>
    <n v="1"/>
    <n v="2"/>
    <x v="1"/>
  </r>
  <r>
    <x v="108"/>
    <x v="10"/>
    <n v="4"/>
    <n v="45.4"/>
    <n v="181.6"/>
    <d v="2025-01-05T00:00:00"/>
    <d v="2025-01-07T00:00:00"/>
    <x v="1"/>
    <x v="1"/>
    <n v="4"/>
    <x v="0"/>
    <x v="3"/>
    <n v="2"/>
    <n v="2"/>
    <x v="1"/>
  </r>
  <r>
    <x v="109"/>
    <x v="2"/>
    <n v="12"/>
    <n v="120"/>
    <n v="1440"/>
    <d v="2025-01-05T00:00:00"/>
    <d v="2025-01-06T00:00:00"/>
    <x v="2"/>
    <x v="2"/>
    <n v="2"/>
    <x v="0"/>
    <x v="3"/>
    <n v="1"/>
    <n v="2"/>
    <x v="2"/>
  </r>
  <r>
    <x v="110"/>
    <x v="0"/>
    <n v="4"/>
    <n v="18.899999999999999"/>
    <n v="75.599999999999994"/>
    <d v="2025-01-05T00:00:00"/>
    <d v="2025-01-07T00:00:00"/>
    <x v="1"/>
    <x v="0"/>
    <n v="5"/>
    <x v="0"/>
    <x v="3"/>
    <n v="2"/>
    <n v="2"/>
    <x v="1"/>
  </r>
  <r>
    <x v="111"/>
    <x v="4"/>
    <n v="1"/>
    <n v="32"/>
    <n v="32"/>
    <d v="2025-01-05T00:00:00"/>
    <d v="2025-01-07T00:00:00"/>
    <x v="2"/>
    <x v="4"/>
    <n v="4"/>
    <x v="0"/>
    <x v="3"/>
    <n v="2"/>
    <n v="2"/>
    <x v="2"/>
  </r>
  <r>
    <x v="112"/>
    <x v="7"/>
    <n v="2"/>
    <n v="37.299999999999997"/>
    <n v="74.599999999999994"/>
    <d v="2025-01-05T00:00:00"/>
    <d v="2025-01-06T00:00:00"/>
    <x v="1"/>
    <x v="2"/>
    <n v="4"/>
    <x v="0"/>
    <x v="3"/>
    <n v="1"/>
    <n v="2"/>
    <x v="1"/>
  </r>
  <r>
    <x v="113"/>
    <x v="18"/>
    <n v="1"/>
    <n v="119.8"/>
    <n v="119.8"/>
    <d v="2025-01-05T00:00:00"/>
    <d v="2025-01-06T00:00:00"/>
    <x v="1"/>
    <x v="1"/>
    <n v="3"/>
    <x v="0"/>
    <x v="3"/>
    <n v="1"/>
    <n v="2"/>
    <x v="1"/>
  </r>
  <r>
    <x v="114"/>
    <x v="10"/>
    <n v="2"/>
    <n v="26.4"/>
    <n v="52.8"/>
    <d v="2025-01-05T00:00:00"/>
    <d v="2025-01-08T00:00:00"/>
    <x v="1"/>
    <x v="2"/>
    <n v="4"/>
    <x v="0"/>
    <x v="3"/>
    <n v="3"/>
    <n v="2"/>
    <x v="1"/>
  </r>
  <r>
    <x v="115"/>
    <x v="6"/>
    <n v="6"/>
    <n v="76.5"/>
    <n v="459"/>
    <d v="2025-01-05T00:00:00"/>
    <d v="2025-01-06T00:00:00"/>
    <x v="2"/>
    <x v="1"/>
    <n v="3"/>
    <x v="0"/>
    <x v="3"/>
    <n v="1"/>
    <n v="2"/>
    <x v="2"/>
  </r>
  <r>
    <x v="116"/>
    <x v="4"/>
    <n v="10"/>
    <n v="45.7"/>
    <n v="457"/>
    <d v="2025-01-05T00:00:00"/>
    <d v="2025-01-06T00:00:00"/>
    <x v="2"/>
    <x v="2"/>
    <n v="4"/>
    <x v="0"/>
    <x v="24"/>
    <n v="1"/>
    <n v="2"/>
    <x v="2"/>
  </r>
  <r>
    <x v="117"/>
    <x v="1"/>
    <n v="12"/>
    <n v="92.6"/>
    <n v="1111.1999999999998"/>
    <d v="2025-01-05T00:00:00"/>
    <d v="2025-01-07T00:00:00"/>
    <x v="2"/>
    <x v="2"/>
    <n v="4"/>
    <x v="0"/>
    <x v="25"/>
    <n v="2"/>
    <n v="2"/>
    <x v="2"/>
  </r>
  <r>
    <x v="118"/>
    <x v="6"/>
    <n v="6"/>
    <n v="60.1"/>
    <n v="360.6"/>
    <d v="2025-01-05T00:00:00"/>
    <d v="2025-01-06T00:00:00"/>
    <x v="1"/>
    <x v="1"/>
    <n v="4"/>
    <x v="0"/>
    <x v="23"/>
    <n v="1"/>
    <n v="2"/>
    <x v="1"/>
  </r>
  <r>
    <x v="119"/>
    <x v="1"/>
    <n v="3"/>
    <n v="73"/>
    <n v="219"/>
    <d v="2025-01-05T00:00:00"/>
    <d v="2025-01-06T00:00:00"/>
    <x v="2"/>
    <x v="3"/>
    <n v="3"/>
    <x v="0"/>
    <x v="6"/>
    <n v="1"/>
    <n v="2"/>
    <x v="2"/>
  </r>
  <r>
    <x v="120"/>
    <x v="6"/>
    <n v="3"/>
    <n v="44.3"/>
    <n v="132.89999999999998"/>
    <d v="2025-01-05T00:00:00"/>
    <d v="2025-01-09T00:00:00"/>
    <x v="0"/>
    <x v="2"/>
    <n v="5"/>
    <x v="0"/>
    <x v="6"/>
    <n v="4"/>
    <n v="2"/>
    <x v="0"/>
  </r>
  <r>
    <x v="121"/>
    <x v="6"/>
    <n v="3"/>
    <n v="63.3"/>
    <n v="189.89999999999998"/>
    <d v="2025-01-05T00:00:00"/>
    <d v="2025-01-06T00:00:00"/>
    <x v="1"/>
    <x v="2"/>
    <n v="4"/>
    <x v="0"/>
    <x v="6"/>
    <n v="1"/>
    <n v="2"/>
    <x v="1"/>
  </r>
  <r>
    <x v="122"/>
    <x v="12"/>
    <n v="1"/>
    <n v="66.8"/>
    <n v="66.8"/>
    <d v="2025-01-05T00:00:00"/>
    <d v="2025-01-06T00:00:00"/>
    <x v="2"/>
    <x v="1"/>
    <n v="4"/>
    <x v="0"/>
    <x v="6"/>
    <n v="1"/>
    <n v="2"/>
    <x v="2"/>
  </r>
  <r>
    <x v="123"/>
    <x v="2"/>
    <n v="2"/>
    <n v="59.7"/>
    <n v="119.4"/>
    <d v="2025-01-05T00:00:00"/>
    <d v="2025-01-06T00:00:00"/>
    <x v="2"/>
    <x v="0"/>
    <n v="4"/>
    <x v="0"/>
    <x v="7"/>
    <n v="1"/>
    <n v="2"/>
    <x v="2"/>
  </r>
  <r>
    <x v="124"/>
    <x v="1"/>
    <n v="6"/>
    <n v="92"/>
    <n v="552"/>
    <d v="2025-01-05T00:00:00"/>
    <d v="2025-01-07T00:00:00"/>
    <x v="1"/>
    <x v="0"/>
    <n v="2"/>
    <x v="0"/>
    <x v="7"/>
    <n v="2"/>
    <n v="2"/>
    <x v="1"/>
  </r>
  <r>
    <x v="125"/>
    <x v="7"/>
    <n v="2"/>
    <n v="87.6"/>
    <n v="175.2"/>
    <d v="2025-01-05T00:00:00"/>
    <d v="2025-01-07T00:00:00"/>
    <x v="1"/>
    <x v="1"/>
    <n v="3"/>
    <x v="0"/>
    <x v="8"/>
    <n v="2"/>
    <n v="2"/>
    <x v="1"/>
  </r>
  <r>
    <x v="126"/>
    <x v="6"/>
    <n v="3"/>
    <n v="84.5"/>
    <n v="253.5"/>
    <d v="2025-01-05T00:00:00"/>
    <d v="2025-01-06T00:00:00"/>
    <x v="2"/>
    <x v="1"/>
    <n v="3"/>
    <x v="0"/>
    <x v="8"/>
    <n v="1"/>
    <n v="2"/>
    <x v="2"/>
  </r>
  <r>
    <x v="127"/>
    <x v="1"/>
    <n v="2"/>
    <n v="116.3"/>
    <n v="232.6"/>
    <d v="2025-01-06T00:00:00"/>
    <d v="2025-01-08T00:00:00"/>
    <x v="1"/>
    <x v="2"/>
    <n v="5"/>
    <x v="0"/>
    <x v="8"/>
    <n v="2"/>
    <n v="2"/>
    <x v="1"/>
  </r>
  <r>
    <x v="128"/>
    <x v="6"/>
    <n v="5"/>
    <n v="52.7"/>
    <n v="263.5"/>
    <d v="2025-01-06T00:00:00"/>
    <d v="2025-01-10T00:00:00"/>
    <x v="1"/>
    <x v="0"/>
    <n v="4"/>
    <x v="0"/>
    <x v="8"/>
    <n v="4"/>
    <n v="2"/>
    <x v="1"/>
  </r>
  <r>
    <x v="129"/>
    <x v="16"/>
    <n v="3"/>
    <n v="34.200000000000003"/>
    <n v="102.60000000000001"/>
    <d v="2025-01-06T00:00:00"/>
    <d v="2025-01-07T00:00:00"/>
    <x v="1"/>
    <x v="0"/>
    <n v="5"/>
    <x v="0"/>
    <x v="26"/>
    <n v="1"/>
    <n v="2"/>
    <x v="1"/>
  </r>
  <r>
    <x v="130"/>
    <x v="9"/>
    <n v="1"/>
    <n v="23.3"/>
    <n v="23.3"/>
    <d v="2025-01-06T00:00:00"/>
    <d v="2025-01-15T00:00:00"/>
    <x v="3"/>
    <x v="2"/>
    <n v="5"/>
    <x v="0"/>
    <x v="9"/>
    <n v="9"/>
    <n v="2"/>
    <x v="3"/>
  </r>
  <r>
    <x v="131"/>
    <x v="0"/>
    <n v="26"/>
    <n v="25.9"/>
    <n v="673.4"/>
    <d v="2025-01-06T00:00:00"/>
    <d v="2025-01-09T00:00:00"/>
    <x v="2"/>
    <x v="4"/>
    <n v="3"/>
    <x v="0"/>
    <x v="9"/>
    <n v="3"/>
    <n v="2"/>
    <x v="2"/>
  </r>
  <r>
    <x v="132"/>
    <x v="6"/>
    <n v="29"/>
    <n v="54.9"/>
    <n v="1592.1"/>
    <d v="2025-01-06T00:00:00"/>
    <d v="2025-01-07T00:00:00"/>
    <x v="1"/>
    <x v="1"/>
    <n v="5"/>
    <x v="0"/>
    <x v="9"/>
    <n v="1"/>
    <n v="2"/>
    <x v="1"/>
  </r>
  <r>
    <x v="133"/>
    <x v="5"/>
    <n v="3"/>
    <n v="75.8"/>
    <n v="227.39999999999998"/>
    <d v="2025-01-06T00:00:00"/>
    <d v="2025-01-11T00:00:00"/>
    <x v="3"/>
    <x v="1"/>
    <n v="4"/>
    <x v="0"/>
    <x v="18"/>
    <n v="5"/>
    <n v="2"/>
    <x v="3"/>
  </r>
  <r>
    <x v="134"/>
    <x v="1"/>
    <n v="9"/>
    <n v="44.9"/>
    <n v="404.09999999999997"/>
    <d v="2025-01-06T00:00:00"/>
    <d v="2025-01-09T00:00:00"/>
    <x v="2"/>
    <x v="2"/>
    <n v="5"/>
    <x v="0"/>
    <x v="2"/>
    <n v="3"/>
    <n v="2"/>
    <x v="2"/>
  </r>
  <r>
    <x v="135"/>
    <x v="11"/>
    <n v="2"/>
    <n v="48.8"/>
    <n v="97.6"/>
    <d v="2025-01-06T00:00:00"/>
    <d v="2025-01-08T00:00:00"/>
    <x v="2"/>
    <x v="3"/>
    <n v="4"/>
    <x v="0"/>
    <x v="27"/>
    <n v="2"/>
    <n v="2"/>
    <x v="2"/>
  </r>
  <r>
    <x v="136"/>
    <x v="15"/>
    <n v="1"/>
    <n v="20.3"/>
    <n v="20.3"/>
    <d v="2025-01-06T00:00:00"/>
    <d v="2025-01-07T00:00:00"/>
    <x v="2"/>
    <x v="0"/>
    <n v="5"/>
    <x v="0"/>
    <x v="22"/>
    <n v="1"/>
    <n v="2"/>
    <x v="2"/>
  </r>
  <r>
    <x v="137"/>
    <x v="5"/>
    <n v="7"/>
    <n v="36.4"/>
    <n v="254.79999999999998"/>
    <d v="2025-01-06T00:00:00"/>
    <d v="2025-01-09T00:00:00"/>
    <x v="2"/>
    <x v="0"/>
    <n v="3"/>
    <x v="0"/>
    <x v="3"/>
    <n v="3"/>
    <n v="2"/>
    <x v="2"/>
  </r>
  <r>
    <x v="138"/>
    <x v="0"/>
    <n v="1"/>
    <n v="19"/>
    <n v="19"/>
    <d v="2025-01-06T00:00:00"/>
    <d v="2025-01-11T00:00:00"/>
    <x v="2"/>
    <x v="1"/>
    <n v="5"/>
    <x v="0"/>
    <x v="3"/>
    <n v="5"/>
    <n v="2"/>
    <x v="2"/>
  </r>
  <r>
    <x v="139"/>
    <x v="8"/>
    <n v="1"/>
    <n v="17.8"/>
    <n v="17.8"/>
    <d v="2025-01-06T00:00:00"/>
    <d v="2025-01-06T00:00:00"/>
    <x v="1"/>
    <x v="0"/>
    <n v="4"/>
    <x v="0"/>
    <x v="3"/>
    <n v="0"/>
    <n v="2"/>
    <x v="1"/>
  </r>
  <r>
    <x v="140"/>
    <x v="2"/>
    <n v="6"/>
    <n v="139.6"/>
    <n v="837.59999999999991"/>
    <d v="2025-01-06T00:00:00"/>
    <d v="2025-01-09T00:00:00"/>
    <x v="1"/>
    <x v="0"/>
    <n v="4"/>
    <x v="0"/>
    <x v="3"/>
    <n v="3"/>
    <n v="2"/>
    <x v="1"/>
  </r>
  <r>
    <x v="141"/>
    <x v="9"/>
    <n v="1"/>
    <n v="31.7"/>
    <n v="31.7"/>
    <d v="2025-01-06T00:00:00"/>
    <d v="2025-01-06T00:00:00"/>
    <x v="0"/>
    <x v="0"/>
    <n v="4"/>
    <x v="0"/>
    <x v="3"/>
    <n v="0"/>
    <n v="2"/>
    <x v="0"/>
  </r>
  <r>
    <x v="142"/>
    <x v="8"/>
    <n v="8"/>
    <n v="26.3"/>
    <n v="210.4"/>
    <d v="2025-01-06T00:00:00"/>
    <d v="2025-01-09T00:00:00"/>
    <x v="2"/>
    <x v="4"/>
    <n v="2"/>
    <x v="0"/>
    <x v="3"/>
    <n v="3"/>
    <n v="2"/>
    <x v="2"/>
  </r>
  <r>
    <x v="143"/>
    <x v="4"/>
    <n v="2"/>
    <n v="47.8"/>
    <n v="95.6"/>
    <d v="2025-01-06T00:00:00"/>
    <d v="2025-01-07T00:00:00"/>
    <x v="0"/>
    <x v="0"/>
    <n v="4"/>
    <x v="0"/>
    <x v="3"/>
    <n v="1"/>
    <n v="2"/>
    <x v="0"/>
  </r>
  <r>
    <x v="144"/>
    <x v="9"/>
    <n v="3"/>
    <n v="69.400000000000006"/>
    <n v="208.20000000000002"/>
    <d v="2025-01-06T00:00:00"/>
    <d v="2025-01-10T00:00:00"/>
    <x v="2"/>
    <x v="0"/>
    <n v="4"/>
    <x v="0"/>
    <x v="3"/>
    <n v="4"/>
    <n v="2"/>
    <x v="2"/>
  </r>
  <r>
    <x v="145"/>
    <x v="18"/>
    <n v="12"/>
    <n v="25.8"/>
    <n v="309.60000000000002"/>
    <d v="2025-01-06T00:00:00"/>
    <d v="2025-01-07T00:00:00"/>
    <x v="1"/>
    <x v="4"/>
    <n v="2"/>
    <x v="0"/>
    <x v="3"/>
    <n v="1"/>
    <n v="2"/>
    <x v="1"/>
  </r>
  <r>
    <x v="146"/>
    <x v="0"/>
    <n v="4"/>
    <n v="26.4"/>
    <n v="105.6"/>
    <d v="2025-01-06T00:00:00"/>
    <d v="2025-01-07T00:00:00"/>
    <x v="1"/>
    <x v="1"/>
    <n v="5"/>
    <x v="0"/>
    <x v="3"/>
    <n v="1"/>
    <n v="2"/>
    <x v="1"/>
  </r>
  <r>
    <x v="147"/>
    <x v="8"/>
    <n v="4"/>
    <n v="15.7"/>
    <n v="62.8"/>
    <d v="2025-01-06T00:00:00"/>
    <d v="2025-01-07T00:00:00"/>
    <x v="1"/>
    <x v="2"/>
    <n v="4"/>
    <x v="0"/>
    <x v="3"/>
    <n v="1"/>
    <n v="2"/>
    <x v="1"/>
  </r>
  <r>
    <x v="148"/>
    <x v="8"/>
    <n v="1"/>
    <n v="39.700000000000003"/>
    <n v="39.700000000000003"/>
    <d v="2025-01-06T00:00:00"/>
    <d v="2025-01-10T00:00:00"/>
    <x v="1"/>
    <x v="0"/>
    <n v="4"/>
    <x v="0"/>
    <x v="3"/>
    <n v="4"/>
    <n v="2"/>
    <x v="1"/>
  </r>
  <r>
    <x v="149"/>
    <x v="10"/>
    <n v="4"/>
    <n v="31.1"/>
    <n v="124.4"/>
    <d v="2025-01-06T00:00:00"/>
    <d v="2025-01-08T00:00:00"/>
    <x v="2"/>
    <x v="2"/>
    <n v="3"/>
    <x v="0"/>
    <x v="3"/>
    <n v="2"/>
    <n v="2"/>
    <x v="2"/>
  </r>
  <r>
    <x v="150"/>
    <x v="13"/>
    <n v="15"/>
    <n v="23.4"/>
    <n v="351"/>
    <d v="2025-01-06T00:00:00"/>
    <d v="2025-01-15T00:00:00"/>
    <x v="1"/>
    <x v="0"/>
    <n v="4"/>
    <x v="0"/>
    <x v="3"/>
    <n v="9"/>
    <n v="2"/>
    <x v="1"/>
  </r>
  <r>
    <x v="151"/>
    <x v="1"/>
    <n v="4"/>
    <n v="57.1"/>
    <n v="228.4"/>
    <d v="2025-01-07T00:00:00"/>
    <d v="2025-01-08T00:00:00"/>
    <x v="1"/>
    <x v="2"/>
    <n v="4"/>
    <x v="0"/>
    <x v="25"/>
    <n v="1"/>
    <n v="2"/>
    <x v="1"/>
  </r>
  <r>
    <x v="152"/>
    <x v="2"/>
    <n v="5"/>
    <n v="89.9"/>
    <n v="449.5"/>
    <d v="2025-01-07T00:00:00"/>
    <d v="2025-01-07T00:00:00"/>
    <x v="2"/>
    <x v="0"/>
    <n v="1"/>
    <x v="0"/>
    <x v="23"/>
    <n v="0"/>
    <n v="2"/>
    <x v="2"/>
  </r>
  <r>
    <x v="153"/>
    <x v="10"/>
    <n v="7"/>
    <n v="48.1"/>
    <n v="336.7"/>
    <d v="2025-01-07T00:00:00"/>
    <d v="2025-01-09T00:00:00"/>
    <x v="2"/>
    <x v="1"/>
    <n v="5"/>
    <x v="0"/>
    <x v="6"/>
    <n v="2"/>
    <n v="2"/>
    <x v="2"/>
  </r>
  <r>
    <x v="154"/>
    <x v="8"/>
    <n v="2"/>
    <n v="29.3"/>
    <n v="58.6"/>
    <d v="2025-01-07T00:00:00"/>
    <d v="2025-01-07T00:00:00"/>
    <x v="2"/>
    <x v="1"/>
    <n v="3"/>
    <x v="0"/>
    <x v="6"/>
    <n v="0"/>
    <n v="2"/>
    <x v="2"/>
  </r>
  <r>
    <x v="155"/>
    <x v="8"/>
    <n v="4"/>
    <n v="28.8"/>
    <n v="115.2"/>
    <d v="2025-01-07T00:00:00"/>
    <d v="2025-01-08T00:00:00"/>
    <x v="2"/>
    <x v="0"/>
    <n v="2"/>
    <x v="0"/>
    <x v="6"/>
    <n v="1"/>
    <n v="2"/>
    <x v="2"/>
  </r>
  <r>
    <x v="156"/>
    <x v="10"/>
    <n v="5"/>
    <n v="40.5"/>
    <n v="202.5"/>
    <d v="2025-01-07T00:00:00"/>
    <d v="2025-01-11T00:00:00"/>
    <x v="2"/>
    <x v="3"/>
    <n v="4"/>
    <x v="0"/>
    <x v="6"/>
    <n v="4"/>
    <n v="2"/>
    <x v="2"/>
  </r>
  <r>
    <x v="157"/>
    <x v="18"/>
    <n v="14"/>
    <n v="65.099999999999994"/>
    <n v="911.39999999999986"/>
    <d v="2025-01-07T00:00:00"/>
    <d v="2025-01-08T00:00:00"/>
    <x v="2"/>
    <x v="4"/>
    <n v="4"/>
    <x v="0"/>
    <x v="7"/>
    <n v="1"/>
    <n v="2"/>
    <x v="2"/>
  </r>
  <r>
    <x v="158"/>
    <x v="8"/>
    <n v="4"/>
    <n v="40.299999999999997"/>
    <n v="161.19999999999999"/>
    <d v="2025-01-07T00:00:00"/>
    <d v="2025-01-12T00:00:00"/>
    <x v="2"/>
    <x v="2"/>
    <n v="4"/>
    <x v="0"/>
    <x v="7"/>
    <n v="5"/>
    <n v="2"/>
    <x v="2"/>
  </r>
  <r>
    <x v="159"/>
    <x v="6"/>
    <n v="5"/>
    <n v="51.8"/>
    <n v="259"/>
    <d v="2025-01-07T00:00:00"/>
    <d v="2025-01-08T00:00:00"/>
    <x v="1"/>
    <x v="2"/>
    <n v="5"/>
    <x v="0"/>
    <x v="8"/>
    <n v="1"/>
    <n v="2"/>
    <x v="1"/>
  </r>
  <r>
    <x v="160"/>
    <x v="6"/>
    <n v="3"/>
    <n v="61.3"/>
    <n v="183.89999999999998"/>
    <d v="2025-01-07T00:00:00"/>
    <d v="2025-01-08T00:00:00"/>
    <x v="2"/>
    <x v="3"/>
    <n v="4"/>
    <x v="0"/>
    <x v="8"/>
    <n v="1"/>
    <n v="2"/>
    <x v="2"/>
  </r>
  <r>
    <x v="161"/>
    <x v="2"/>
    <n v="4"/>
    <n v="122.5"/>
    <n v="490"/>
    <d v="2025-01-07T00:00:00"/>
    <d v="2025-01-08T00:00:00"/>
    <x v="1"/>
    <x v="0"/>
    <n v="4"/>
    <x v="0"/>
    <x v="8"/>
    <n v="1"/>
    <n v="2"/>
    <x v="1"/>
  </r>
  <r>
    <x v="162"/>
    <x v="0"/>
    <n v="9"/>
    <n v="12.5"/>
    <n v="112.5"/>
    <d v="2025-01-07T00:00:00"/>
    <d v="2025-01-08T00:00:00"/>
    <x v="0"/>
    <x v="1"/>
    <n v="5"/>
    <x v="0"/>
    <x v="8"/>
    <n v="1"/>
    <n v="2"/>
    <x v="0"/>
  </r>
  <r>
    <x v="163"/>
    <x v="15"/>
    <n v="8"/>
    <n v="37.5"/>
    <n v="300"/>
    <d v="2025-01-07T00:00:00"/>
    <d v="2025-01-08T00:00:00"/>
    <x v="2"/>
    <x v="0"/>
    <n v="4"/>
    <x v="0"/>
    <x v="9"/>
    <n v="1"/>
    <n v="2"/>
    <x v="2"/>
  </r>
  <r>
    <x v="164"/>
    <x v="6"/>
    <n v="3"/>
    <n v="40"/>
    <n v="120"/>
    <d v="2025-01-07T00:00:00"/>
    <d v="2025-01-10T00:00:00"/>
    <x v="1"/>
    <x v="0"/>
    <n v="2"/>
    <x v="0"/>
    <x v="11"/>
    <n v="3"/>
    <n v="2"/>
    <x v="1"/>
  </r>
  <r>
    <x v="165"/>
    <x v="17"/>
    <n v="8"/>
    <n v="38.5"/>
    <n v="308"/>
    <d v="2025-01-07T00:00:00"/>
    <d v="2025-01-12T00:00:00"/>
    <x v="2"/>
    <x v="2"/>
    <n v="3"/>
    <x v="0"/>
    <x v="11"/>
    <n v="5"/>
    <n v="2"/>
    <x v="2"/>
  </r>
  <r>
    <x v="166"/>
    <x v="2"/>
    <n v="2"/>
    <n v="86.4"/>
    <n v="172.8"/>
    <d v="2025-01-07T00:00:00"/>
    <d v="2025-01-09T00:00:00"/>
    <x v="2"/>
    <x v="0"/>
    <n v="4"/>
    <x v="0"/>
    <x v="18"/>
    <n v="2"/>
    <n v="2"/>
    <x v="2"/>
  </r>
  <r>
    <x v="167"/>
    <x v="10"/>
    <n v="1"/>
    <n v="50.7"/>
    <n v="50.7"/>
    <d v="2025-01-07T00:00:00"/>
    <d v="2025-01-11T00:00:00"/>
    <x v="2"/>
    <x v="1"/>
    <n v="4"/>
    <x v="0"/>
    <x v="18"/>
    <n v="4"/>
    <n v="2"/>
    <x v="2"/>
  </r>
  <r>
    <x v="168"/>
    <x v="10"/>
    <n v="2"/>
    <n v="61"/>
    <n v="122"/>
    <d v="2025-01-07T00:00:00"/>
    <d v="2025-01-18T00:00:00"/>
    <x v="2"/>
    <x v="4"/>
    <n v="3"/>
    <x v="0"/>
    <x v="18"/>
    <n v="11"/>
    <n v="2"/>
    <x v="2"/>
  </r>
  <r>
    <x v="169"/>
    <x v="4"/>
    <n v="2"/>
    <n v="19.899999999999999"/>
    <n v="39.799999999999997"/>
    <d v="2025-01-07T00:00:00"/>
    <d v="2025-01-10T00:00:00"/>
    <x v="2"/>
    <x v="1"/>
    <n v="4"/>
    <x v="0"/>
    <x v="28"/>
    <n v="3"/>
    <n v="2"/>
    <x v="2"/>
  </r>
  <r>
    <x v="170"/>
    <x v="5"/>
    <n v="1"/>
    <n v="78.3"/>
    <n v="78.3"/>
    <d v="2025-01-07T00:00:00"/>
    <d v="2025-01-07T00:00:00"/>
    <x v="2"/>
    <x v="0"/>
    <n v="5"/>
    <x v="0"/>
    <x v="1"/>
    <n v="0"/>
    <n v="2"/>
    <x v="2"/>
  </r>
  <r>
    <x v="171"/>
    <x v="0"/>
    <n v="19"/>
    <n v="10.4"/>
    <n v="197.6"/>
    <d v="2025-01-07T00:00:00"/>
    <d v="2025-01-09T00:00:00"/>
    <x v="1"/>
    <x v="0"/>
    <n v="5"/>
    <x v="0"/>
    <x v="2"/>
    <n v="2"/>
    <n v="2"/>
    <x v="1"/>
  </r>
  <r>
    <x v="172"/>
    <x v="10"/>
    <n v="1"/>
    <n v="36.1"/>
    <n v="36.1"/>
    <d v="2025-01-07T00:00:00"/>
    <d v="2025-01-10T00:00:00"/>
    <x v="1"/>
    <x v="3"/>
    <n v="5"/>
    <x v="0"/>
    <x v="3"/>
    <n v="3"/>
    <n v="2"/>
    <x v="1"/>
  </r>
  <r>
    <x v="173"/>
    <x v="14"/>
    <n v="2"/>
    <n v="17.3"/>
    <n v="34.6"/>
    <d v="2025-01-07T00:00:00"/>
    <d v="2025-01-09T00:00:00"/>
    <x v="2"/>
    <x v="1"/>
    <n v="5"/>
    <x v="0"/>
    <x v="3"/>
    <n v="2"/>
    <n v="2"/>
    <x v="2"/>
  </r>
  <r>
    <x v="174"/>
    <x v="10"/>
    <n v="2"/>
    <n v="30.5"/>
    <n v="61"/>
    <d v="2025-01-07T00:00:00"/>
    <d v="2025-01-08T00:00:00"/>
    <x v="2"/>
    <x v="1"/>
    <n v="5"/>
    <x v="0"/>
    <x v="3"/>
    <n v="1"/>
    <n v="2"/>
    <x v="2"/>
  </r>
  <r>
    <x v="175"/>
    <x v="18"/>
    <n v="62"/>
    <n v="70.099999999999994"/>
    <n v="4346.2"/>
    <d v="2025-01-07T00:00:00"/>
    <d v="2025-01-07T00:00:00"/>
    <x v="2"/>
    <x v="2"/>
    <n v="4"/>
    <x v="0"/>
    <x v="3"/>
    <n v="0"/>
    <n v="2"/>
    <x v="2"/>
  </r>
  <r>
    <x v="176"/>
    <x v="3"/>
    <n v="1"/>
    <n v="76.099999999999994"/>
    <n v="76.099999999999994"/>
    <d v="2025-01-07T00:00:00"/>
    <d v="2025-01-07T00:00:00"/>
    <x v="2"/>
    <x v="2"/>
    <n v="3"/>
    <x v="0"/>
    <x v="3"/>
    <n v="0"/>
    <n v="2"/>
    <x v="2"/>
  </r>
  <r>
    <x v="177"/>
    <x v="15"/>
    <n v="13"/>
    <n v="34.200000000000003"/>
    <n v="444.6"/>
    <d v="2025-01-07T00:00:00"/>
    <d v="2025-01-08T00:00:00"/>
    <x v="1"/>
    <x v="0"/>
    <n v="4"/>
    <x v="0"/>
    <x v="3"/>
    <n v="1"/>
    <n v="2"/>
    <x v="1"/>
  </r>
  <r>
    <x v="178"/>
    <x v="8"/>
    <n v="5"/>
    <n v="30.3"/>
    <n v="151.5"/>
    <d v="2025-01-07T00:00:00"/>
    <d v="2025-01-12T00:00:00"/>
    <x v="2"/>
    <x v="4"/>
    <n v="4"/>
    <x v="0"/>
    <x v="3"/>
    <n v="5"/>
    <n v="2"/>
    <x v="2"/>
  </r>
  <r>
    <x v="179"/>
    <x v="6"/>
    <n v="5"/>
    <n v="52.5"/>
    <n v="262.5"/>
    <d v="2025-01-07T00:00:00"/>
    <d v="2025-01-11T00:00:00"/>
    <x v="0"/>
    <x v="3"/>
    <n v="4"/>
    <x v="0"/>
    <x v="3"/>
    <n v="4"/>
    <n v="2"/>
    <x v="0"/>
  </r>
  <r>
    <x v="180"/>
    <x v="9"/>
    <n v="11"/>
    <n v="28.7"/>
    <n v="315.7"/>
    <d v="2025-01-07T00:00:00"/>
    <d v="2025-01-08T00:00:00"/>
    <x v="2"/>
    <x v="2"/>
    <n v="4"/>
    <x v="0"/>
    <x v="3"/>
    <n v="1"/>
    <n v="2"/>
    <x v="2"/>
  </r>
  <r>
    <x v="181"/>
    <x v="7"/>
    <n v="7"/>
    <n v="52"/>
    <n v="364"/>
    <d v="2025-01-07T00:00:00"/>
    <d v="2025-01-08T00:00:00"/>
    <x v="1"/>
    <x v="1"/>
    <n v="2"/>
    <x v="0"/>
    <x v="3"/>
    <n v="1"/>
    <n v="2"/>
    <x v="1"/>
  </r>
  <r>
    <x v="182"/>
    <x v="0"/>
    <n v="1"/>
    <n v="13.3"/>
    <n v="13.3"/>
    <d v="2025-01-08T00:00:00"/>
    <d v="2025-01-12T00:00:00"/>
    <x v="2"/>
    <x v="2"/>
    <n v="3"/>
    <x v="0"/>
    <x v="3"/>
    <n v="4"/>
    <n v="2"/>
    <x v="2"/>
  </r>
  <r>
    <x v="183"/>
    <x v="0"/>
    <n v="3"/>
    <n v="15.7"/>
    <n v="47.099999999999994"/>
    <d v="2025-01-08T00:00:00"/>
    <d v="2025-01-09T00:00:00"/>
    <x v="2"/>
    <x v="1"/>
    <n v="4"/>
    <x v="0"/>
    <x v="29"/>
    <n v="1"/>
    <n v="2"/>
    <x v="2"/>
  </r>
  <r>
    <x v="184"/>
    <x v="8"/>
    <n v="2"/>
    <n v="25.6"/>
    <n v="51.2"/>
    <d v="2025-01-08T00:00:00"/>
    <d v="2025-01-09T00:00:00"/>
    <x v="1"/>
    <x v="0"/>
    <n v="5"/>
    <x v="0"/>
    <x v="23"/>
    <n v="1"/>
    <n v="2"/>
    <x v="1"/>
  </r>
  <r>
    <x v="185"/>
    <x v="8"/>
    <n v="1"/>
    <n v="43.4"/>
    <n v="43.4"/>
    <d v="2025-01-08T00:00:00"/>
    <d v="2025-01-13T00:00:00"/>
    <x v="1"/>
    <x v="0"/>
    <n v="4"/>
    <x v="0"/>
    <x v="6"/>
    <n v="5"/>
    <n v="2"/>
    <x v="1"/>
  </r>
  <r>
    <x v="186"/>
    <x v="11"/>
    <n v="9"/>
    <n v="33.4"/>
    <n v="300.59999999999997"/>
    <d v="2025-01-08T00:00:00"/>
    <d v="2025-01-08T00:00:00"/>
    <x v="2"/>
    <x v="0"/>
    <n v="4"/>
    <x v="0"/>
    <x v="8"/>
    <n v="0"/>
    <n v="2"/>
    <x v="2"/>
  </r>
  <r>
    <x v="187"/>
    <x v="8"/>
    <n v="19"/>
    <n v="55"/>
    <n v="1045"/>
    <d v="2025-01-08T00:00:00"/>
    <d v="2025-01-09T00:00:00"/>
    <x v="2"/>
    <x v="1"/>
    <n v="5"/>
    <x v="0"/>
    <x v="8"/>
    <n v="1"/>
    <n v="2"/>
    <x v="2"/>
  </r>
  <r>
    <x v="188"/>
    <x v="8"/>
    <n v="3"/>
    <n v="23.6"/>
    <n v="70.800000000000011"/>
    <d v="2025-01-08T00:00:00"/>
    <d v="2025-01-09T00:00:00"/>
    <x v="1"/>
    <x v="0"/>
    <n v="5"/>
    <x v="0"/>
    <x v="8"/>
    <n v="1"/>
    <n v="2"/>
    <x v="1"/>
  </r>
  <r>
    <x v="189"/>
    <x v="12"/>
    <n v="9"/>
    <n v="104"/>
    <n v="936"/>
    <d v="2025-01-08T00:00:00"/>
    <d v="2025-01-10T00:00:00"/>
    <x v="2"/>
    <x v="2"/>
    <n v="5"/>
    <x v="0"/>
    <x v="17"/>
    <n v="2"/>
    <n v="2"/>
    <x v="2"/>
  </r>
  <r>
    <x v="190"/>
    <x v="6"/>
    <n v="2"/>
    <n v="51.8"/>
    <n v="103.6"/>
    <d v="2025-01-08T00:00:00"/>
    <d v="2025-01-12T00:00:00"/>
    <x v="0"/>
    <x v="0"/>
    <n v="5"/>
    <x v="0"/>
    <x v="10"/>
    <n v="4"/>
    <n v="2"/>
    <x v="0"/>
  </r>
  <r>
    <x v="191"/>
    <x v="10"/>
    <n v="5"/>
    <n v="34.5"/>
    <n v="172.5"/>
    <d v="2025-01-08T00:00:00"/>
    <d v="2025-01-10T00:00:00"/>
    <x v="0"/>
    <x v="2"/>
    <n v="5"/>
    <x v="0"/>
    <x v="11"/>
    <n v="2"/>
    <n v="2"/>
    <x v="0"/>
  </r>
  <r>
    <x v="192"/>
    <x v="6"/>
    <n v="2"/>
    <n v="51.8"/>
    <n v="103.6"/>
    <d v="2025-01-08T00:00:00"/>
    <d v="2025-01-10T00:00:00"/>
    <x v="1"/>
    <x v="1"/>
    <n v="5"/>
    <x v="0"/>
    <x v="30"/>
    <n v="2"/>
    <n v="2"/>
    <x v="1"/>
  </r>
  <r>
    <x v="193"/>
    <x v="18"/>
    <n v="43"/>
    <n v="131.5"/>
    <n v="5654.5"/>
    <d v="2025-01-08T00:00:00"/>
    <d v="2025-01-09T00:00:00"/>
    <x v="2"/>
    <x v="0"/>
    <n v="5"/>
    <x v="0"/>
    <x v="18"/>
    <n v="1"/>
    <n v="2"/>
    <x v="2"/>
  </r>
  <r>
    <x v="194"/>
    <x v="8"/>
    <n v="7"/>
    <n v="47.8"/>
    <n v="334.59999999999997"/>
    <d v="2025-01-08T00:00:00"/>
    <d v="2025-01-08T00:00:00"/>
    <x v="2"/>
    <x v="0"/>
    <n v="4"/>
    <x v="0"/>
    <x v="19"/>
    <n v="0"/>
    <n v="2"/>
    <x v="2"/>
  </r>
  <r>
    <x v="195"/>
    <x v="0"/>
    <n v="2"/>
    <n v="10.199999999999999"/>
    <n v="20.399999999999999"/>
    <d v="2025-01-08T00:00:00"/>
    <d v="2025-01-10T00:00:00"/>
    <x v="2"/>
    <x v="0"/>
    <n v="4"/>
    <x v="0"/>
    <x v="19"/>
    <n v="2"/>
    <n v="2"/>
    <x v="2"/>
  </r>
  <r>
    <x v="196"/>
    <x v="8"/>
    <n v="8"/>
    <n v="41"/>
    <n v="328"/>
    <d v="2025-01-08T00:00:00"/>
    <d v="2025-01-08T00:00:00"/>
    <x v="2"/>
    <x v="1"/>
    <n v="5"/>
    <x v="0"/>
    <x v="19"/>
    <n v="0"/>
    <n v="2"/>
    <x v="2"/>
  </r>
  <r>
    <x v="197"/>
    <x v="10"/>
    <n v="7"/>
    <n v="50.8"/>
    <n v="355.59999999999997"/>
    <d v="2025-01-08T00:00:00"/>
    <d v="2025-01-11T00:00:00"/>
    <x v="2"/>
    <x v="1"/>
    <n v="4"/>
    <x v="0"/>
    <x v="21"/>
    <n v="3"/>
    <n v="2"/>
    <x v="2"/>
  </r>
  <r>
    <x v="198"/>
    <x v="18"/>
    <n v="3"/>
    <n v="39.6"/>
    <n v="118.80000000000001"/>
    <d v="2025-01-08T00:00:00"/>
    <d v="2025-01-09T00:00:00"/>
    <x v="1"/>
    <x v="2"/>
    <n v="5"/>
    <x v="0"/>
    <x v="1"/>
    <n v="1"/>
    <n v="2"/>
    <x v="1"/>
  </r>
  <r>
    <x v="199"/>
    <x v="5"/>
    <n v="2"/>
    <n v="69.5"/>
    <n v="139"/>
    <d v="2025-01-08T00:00:00"/>
    <d v="2025-01-10T00:00:00"/>
    <x v="1"/>
    <x v="0"/>
    <n v="5"/>
    <x v="0"/>
    <x v="2"/>
    <n v="2"/>
    <n v="2"/>
    <x v="1"/>
  </r>
  <r>
    <x v="200"/>
    <x v="8"/>
    <n v="8"/>
    <n v="32.6"/>
    <n v="260.8"/>
    <d v="2025-01-08T00:00:00"/>
    <d v="2025-01-11T00:00:00"/>
    <x v="1"/>
    <x v="1"/>
    <n v="4"/>
    <x v="0"/>
    <x v="3"/>
    <n v="3"/>
    <n v="2"/>
    <x v="1"/>
  </r>
  <r>
    <x v="201"/>
    <x v="7"/>
    <n v="2"/>
    <n v="49.1"/>
    <n v="98.2"/>
    <d v="2025-01-08T00:00:00"/>
    <d v="2025-01-16T00:00:00"/>
    <x v="1"/>
    <x v="3"/>
    <n v="5"/>
    <x v="0"/>
    <x v="3"/>
    <n v="8"/>
    <n v="2"/>
    <x v="1"/>
  </r>
  <r>
    <x v="202"/>
    <x v="6"/>
    <n v="2"/>
    <n v="49.4"/>
    <n v="98.8"/>
    <d v="2025-01-09T00:00:00"/>
    <d v="2025-01-10T00:00:00"/>
    <x v="2"/>
    <x v="2"/>
    <n v="4"/>
    <x v="0"/>
    <x v="3"/>
    <n v="1"/>
    <n v="2"/>
    <x v="2"/>
  </r>
  <r>
    <x v="203"/>
    <x v="7"/>
    <n v="7"/>
    <n v="65.099999999999994"/>
    <n v="455.69999999999993"/>
    <d v="2025-01-09T00:00:00"/>
    <d v="2025-01-12T00:00:00"/>
    <x v="2"/>
    <x v="2"/>
    <n v="5"/>
    <x v="0"/>
    <x v="3"/>
    <n v="3"/>
    <n v="2"/>
    <x v="2"/>
  </r>
  <r>
    <x v="204"/>
    <x v="3"/>
    <n v="2"/>
    <n v="52.1"/>
    <n v="104.2"/>
    <d v="2025-01-09T00:00:00"/>
    <d v="2025-01-13T00:00:00"/>
    <x v="2"/>
    <x v="2"/>
    <n v="4"/>
    <x v="0"/>
    <x v="3"/>
    <n v="4"/>
    <n v="2"/>
    <x v="2"/>
  </r>
  <r>
    <x v="205"/>
    <x v="2"/>
    <n v="4"/>
    <n v="129.19999999999999"/>
    <n v="516.79999999999995"/>
    <d v="2025-01-09T00:00:00"/>
    <d v="2025-01-10T00:00:00"/>
    <x v="2"/>
    <x v="1"/>
    <n v="4"/>
    <x v="0"/>
    <x v="3"/>
    <n v="1"/>
    <n v="2"/>
    <x v="2"/>
  </r>
  <r>
    <x v="206"/>
    <x v="1"/>
    <n v="19"/>
    <n v="81.8"/>
    <n v="1554.2"/>
    <d v="2025-01-09T00:00:00"/>
    <d v="2025-01-09T00:00:00"/>
    <x v="2"/>
    <x v="1"/>
    <n v="3"/>
    <x v="0"/>
    <x v="3"/>
    <n v="0"/>
    <n v="2"/>
    <x v="2"/>
  </r>
  <r>
    <x v="207"/>
    <x v="17"/>
    <n v="1"/>
    <n v="24.9"/>
    <n v="24.9"/>
    <d v="2025-01-09T00:00:00"/>
    <d v="2025-01-13T00:00:00"/>
    <x v="2"/>
    <x v="1"/>
    <n v="4"/>
    <x v="0"/>
    <x v="3"/>
    <n v="4"/>
    <n v="2"/>
    <x v="2"/>
  </r>
  <r>
    <x v="208"/>
    <x v="0"/>
    <n v="3"/>
    <n v="49.4"/>
    <n v="148.19999999999999"/>
    <d v="2025-01-09T00:00:00"/>
    <d v="2025-01-12T00:00:00"/>
    <x v="2"/>
    <x v="4"/>
    <n v="2"/>
    <x v="0"/>
    <x v="3"/>
    <n v="3"/>
    <n v="2"/>
    <x v="2"/>
  </r>
  <r>
    <x v="209"/>
    <x v="8"/>
    <n v="2"/>
    <n v="22.7"/>
    <n v="45.4"/>
    <d v="2025-01-09T00:00:00"/>
    <d v="2025-01-10T00:00:00"/>
    <x v="1"/>
    <x v="3"/>
    <n v="5"/>
    <x v="0"/>
    <x v="3"/>
    <n v="1"/>
    <n v="2"/>
    <x v="1"/>
  </r>
  <r>
    <x v="210"/>
    <x v="1"/>
    <n v="1"/>
    <n v="77.3"/>
    <n v="77.3"/>
    <d v="2025-01-09T00:00:00"/>
    <d v="2025-01-09T00:00:00"/>
    <x v="2"/>
    <x v="0"/>
    <n v="5"/>
    <x v="0"/>
    <x v="6"/>
    <n v="0"/>
    <n v="2"/>
    <x v="2"/>
  </r>
  <r>
    <x v="211"/>
    <x v="1"/>
    <n v="5"/>
    <n v="109.1"/>
    <n v="545.5"/>
    <d v="2025-01-09T00:00:00"/>
    <d v="2025-01-12T00:00:00"/>
    <x v="2"/>
    <x v="0"/>
    <n v="4"/>
    <x v="0"/>
    <x v="6"/>
    <n v="3"/>
    <n v="2"/>
    <x v="2"/>
  </r>
  <r>
    <x v="212"/>
    <x v="2"/>
    <n v="4"/>
    <n v="53.9"/>
    <n v="215.6"/>
    <d v="2025-01-09T00:00:00"/>
    <d v="2025-01-10T00:00:00"/>
    <x v="1"/>
    <x v="0"/>
    <n v="3"/>
    <x v="0"/>
    <x v="8"/>
    <n v="1"/>
    <n v="2"/>
    <x v="1"/>
  </r>
  <r>
    <x v="213"/>
    <x v="9"/>
    <n v="26"/>
    <n v="21.2"/>
    <n v="551.19999999999993"/>
    <d v="2025-01-09T00:00:00"/>
    <d v="2025-01-09T00:00:00"/>
    <x v="2"/>
    <x v="0"/>
    <n v="4"/>
    <x v="0"/>
    <x v="9"/>
    <n v="0"/>
    <n v="2"/>
    <x v="2"/>
  </r>
  <r>
    <x v="214"/>
    <x v="16"/>
    <n v="4"/>
    <n v="69"/>
    <n v="276"/>
    <d v="2025-01-09T00:00:00"/>
    <d v="2025-01-11T00:00:00"/>
    <x v="2"/>
    <x v="1"/>
    <n v="3"/>
    <x v="0"/>
    <x v="18"/>
    <n v="2"/>
    <n v="2"/>
    <x v="2"/>
  </r>
  <r>
    <x v="215"/>
    <x v="6"/>
    <n v="3"/>
    <n v="46.2"/>
    <n v="138.60000000000002"/>
    <d v="2025-01-09T00:00:00"/>
    <d v="2025-01-11T00:00:00"/>
    <x v="2"/>
    <x v="0"/>
    <n v="5"/>
    <x v="0"/>
    <x v="31"/>
    <n v="2"/>
    <n v="2"/>
    <x v="2"/>
  </r>
  <r>
    <x v="216"/>
    <x v="1"/>
    <n v="5"/>
    <n v="97.4"/>
    <n v="487"/>
    <d v="2025-01-09T00:00:00"/>
    <d v="2025-01-13T00:00:00"/>
    <x v="2"/>
    <x v="4"/>
    <n v="5"/>
    <x v="0"/>
    <x v="21"/>
    <n v="4"/>
    <n v="2"/>
    <x v="2"/>
  </r>
  <r>
    <x v="217"/>
    <x v="8"/>
    <n v="5"/>
    <n v="21"/>
    <n v="105"/>
    <d v="2025-01-09T00:00:00"/>
    <d v="2025-01-10T00:00:00"/>
    <x v="1"/>
    <x v="0"/>
    <n v="3"/>
    <x v="0"/>
    <x v="21"/>
    <n v="1"/>
    <n v="2"/>
    <x v="1"/>
  </r>
  <r>
    <x v="218"/>
    <x v="5"/>
    <n v="2"/>
    <n v="32.700000000000003"/>
    <n v="65.400000000000006"/>
    <d v="2025-01-10T00:00:00"/>
    <d v="2025-01-13T00:00:00"/>
    <x v="2"/>
    <x v="1"/>
    <n v="4"/>
    <x v="0"/>
    <x v="2"/>
    <n v="3"/>
    <n v="2"/>
    <x v="2"/>
  </r>
  <r>
    <x v="219"/>
    <x v="6"/>
    <n v="4"/>
    <n v="48"/>
    <n v="192"/>
    <d v="2025-01-10T00:00:00"/>
    <d v="2025-01-11T00:00:00"/>
    <x v="1"/>
    <x v="3"/>
    <n v="4"/>
    <x v="0"/>
    <x v="3"/>
    <n v="1"/>
    <n v="2"/>
    <x v="1"/>
  </r>
  <r>
    <x v="220"/>
    <x v="6"/>
    <n v="3"/>
    <n v="68.2"/>
    <n v="204.60000000000002"/>
    <d v="2025-01-10T00:00:00"/>
    <d v="2025-01-14T00:00:00"/>
    <x v="0"/>
    <x v="0"/>
    <n v="5"/>
    <x v="0"/>
    <x v="3"/>
    <n v="4"/>
    <n v="2"/>
    <x v="0"/>
  </r>
  <r>
    <x v="221"/>
    <x v="5"/>
    <n v="1"/>
    <n v="45.4"/>
    <n v="45.4"/>
    <d v="2025-01-10T00:00:00"/>
    <d v="2025-01-12T00:00:00"/>
    <x v="1"/>
    <x v="1"/>
    <n v="4"/>
    <x v="0"/>
    <x v="3"/>
    <n v="2"/>
    <n v="2"/>
    <x v="1"/>
  </r>
  <r>
    <x v="222"/>
    <x v="12"/>
    <n v="2"/>
    <n v="53.9"/>
    <n v="107.8"/>
    <d v="2025-01-10T00:00:00"/>
    <d v="2025-01-11T00:00:00"/>
    <x v="2"/>
    <x v="2"/>
    <n v="4"/>
    <x v="0"/>
    <x v="3"/>
    <n v="1"/>
    <n v="2"/>
    <x v="2"/>
  </r>
  <r>
    <x v="223"/>
    <x v="2"/>
    <n v="4"/>
    <n v="62.1"/>
    <n v="248.4"/>
    <d v="2025-01-10T00:00:00"/>
    <d v="2025-01-14T00:00:00"/>
    <x v="2"/>
    <x v="0"/>
    <n v="4"/>
    <x v="0"/>
    <x v="4"/>
    <n v="4"/>
    <n v="2"/>
    <x v="2"/>
  </r>
  <r>
    <x v="224"/>
    <x v="13"/>
    <n v="7"/>
    <n v="33.1"/>
    <n v="231.70000000000002"/>
    <d v="2025-01-10T00:00:00"/>
    <d v="2025-01-15T00:00:00"/>
    <x v="1"/>
    <x v="1"/>
    <n v="4"/>
    <x v="0"/>
    <x v="6"/>
    <n v="5"/>
    <n v="2"/>
    <x v="1"/>
  </r>
  <r>
    <x v="225"/>
    <x v="18"/>
    <n v="5"/>
    <n v="35.200000000000003"/>
    <n v="176"/>
    <d v="2025-01-10T00:00:00"/>
    <d v="2025-01-10T00:00:00"/>
    <x v="2"/>
    <x v="1"/>
    <n v="4"/>
    <x v="0"/>
    <x v="6"/>
    <n v="0"/>
    <n v="2"/>
    <x v="2"/>
  </r>
  <r>
    <x v="226"/>
    <x v="9"/>
    <n v="3"/>
    <n v="32.1"/>
    <n v="96.300000000000011"/>
    <d v="2025-01-10T00:00:00"/>
    <d v="2025-01-15T00:00:00"/>
    <x v="1"/>
    <x v="3"/>
    <n v="4"/>
    <x v="0"/>
    <x v="8"/>
    <n v="5"/>
    <n v="2"/>
    <x v="1"/>
  </r>
  <r>
    <x v="227"/>
    <x v="11"/>
    <n v="1"/>
    <n v="38.1"/>
    <n v="38.1"/>
    <d v="2025-01-10T00:00:00"/>
    <d v="2025-01-15T00:00:00"/>
    <x v="2"/>
    <x v="0"/>
    <n v="5"/>
    <x v="0"/>
    <x v="8"/>
    <n v="5"/>
    <n v="2"/>
    <x v="2"/>
  </r>
  <r>
    <x v="228"/>
    <x v="8"/>
    <n v="1"/>
    <n v="65.2"/>
    <n v="65.2"/>
    <d v="2025-01-10T00:00:00"/>
    <d v="2025-01-15T00:00:00"/>
    <x v="2"/>
    <x v="3"/>
    <n v="3"/>
    <x v="0"/>
    <x v="8"/>
    <n v="5"/>
    <n v="2"/>
    <x v="2"/>
  </r>
  <r>
    <x v="229"/>
    <x v="10"/>
    <n v="7"/>
    <n v="55.2"/>
    <n v="386.40000000000003"/>
    <d v="2025-01-10T00:00:00"/>
    <d v="2025-01-11T00:00:00"/>
    <x v="1"/>
    <x v="2"/>
    <n v="4"/>
    <x v="0"/>
    <x v="11"/>
    <n v="1"/>
    <n v="2"/>
    <x v="1"/>
  </r>
  <r>
    <x v="230"/>
    <x v="6"/>
    <n v="1"/>
    <n v="62"/>
    <n v="62"/>
    <d v="2025-01-10T00:00:00"/>
    <d v="2025-01-14T00:00:00"/>
    <x v="2"/>
    <x v="0"/>
    <n v="4"/>
    <x v="0"/>
    <x v="11"/>
    <n v="4"/>
    <n v="2"/>
    <x v="2"/>
  </r>
  <r>
    <x v="231"/>
    <x v="7"/>
    <n v="3"/>
    <n v="45.9"/>
    <n v="137.69999999999999"/>
    <d v="2025-01-10T00:00:00"/>
    <d v="2025-01-11T00:00:00"/>
    <x v="2"/>
    <x v="2"/>
    <n v="4"/>
    <x v="0"/>
    <x v="32"/>
    <n v="1"/>
    <n v="2"/>
    <x v="2"/>
  </r>
  <r>
    <x v="232"/>
    <x v="18"/>
    <n v="3"/>
    <n v="58.3"/>
    <n v="174.89999999999998"/>
    <d v="2025-01-10T00:00:00"/>
    <d v="2025-01-10T00:00:00"/>
    <x v="1"/>
    <x v="1"/>
    <n v="3"/>
    <x v="0"/>
    <x v="18"/>
    <n v="0"/>
    <n v="2"/>
    <x v="1"/>
  </r>
  <r>
    <x v="233"/>
    <x v="8"/>
    <n v="2"/>
    <n v="22.3"/>
    <n v="44.6"/>
    <d v="2025-01-10T00:00:00"/>
    <d v="2025-01-13T00:00:00"/>
    <x v="2"/>
    <x v="0"/>
    <n v="5"/>
    <x v="0"/>
    <x v="20"/>
    <n v="3"/>
    <n v="2"/>
    <x v="2"/>
  </r>
  <r>
    <x v="234"/>
    <x v="19"/>
    <n v="5"/>
    <n v="24"/>
    <n v="120"/>
    <d v="2025-01-10T00:00:00"/>
    <d v="2025-01-11T00:00:00"/>
    <x v="1"/>
    <x v="4"/>
    <n v="4"/>
    <x v="0"/>
    <x v="1"/>
    <n v="1"/>
    <n v="2"/>
    <x v="1"/>
  </r>
  <r>
    <x v="235"/>
    <x v="0"/>
    <n v="10"/>
    <n v="21.3"/>
    <n v="213"/>
    <d v="2025-01-10T00:00:00"/>
    <d v="2025-01-10T00:00:00"/>
    <x v="2"/>
    <x v="1"/>
    <n v="5"/>
    <x v="0"/>
    <x v="22"/>
    <n v="0"/>
    <n v="2"/>
    <x v="2"/>
  </r>
  <r>
    <x v="236"/>
    <x v="6"/>
    <n v="41"/>
    <n v="57.8"/>
    <n v="2369.7999999999997"/>
    <d v="2025-01-10T00:00:00"/>
    <d v="2025-01-12T00:00:00"/>
    <x v="2"/>
    <x v="0"/>
    <n v="5"/>
    <x v="0"/>
    <x v="3"/>
    <n v="2"/>
    <n v="2"/>
    <x v="2"/>
  </r>
  <r>
    <x v="237"/>
    <x v="10"/>
    <n v="3"/>
    <n v="67.599999999999994"/>
    <n v="202.79999999999998"/>
    <d v="2025-01-10T00:00:00"/>
    <d v="2025-01-11T00:00:00"/>
    <x v="2"/>
    <x v="0"/>
    <n v="4"/>
    <x v="0"/>
    <x v="3"/>
    <n v="1"/>
    <n v="2"/>
    <x v="2"/>
  </r>
  <r>
    <x v="238"/>
    <x v="6"/>
    <n v="6"/>
    <n v="66.7"/>
    <n v="400.20000000000005"/>
    <d v="2025-01-10T00:00:00"/>
    <d v="2025-01-14T00:00:00"/>
    <x v="1"/>
    <x v="4"/>
    <n v="3"/>
    <x v="0"/>
    <x v="3"/>
    <n v="4"/>
    <n v="2"/>
    <x v="1"/>
  </r>
  <r>
    <x v="239"/>
    <x v="1"/>
    <n v="4"/>
    <n v="53.1"/>
    <n v="212.4"/>
    <d v="2025-01-10T00:00:00"/>
    <d v="2025-01-12T00:00:00"/>
    <x v="2"/>
    <x v="1"/>
    <n v="4"/>
    <x v="0"/>
    <x v="3"/>
    <n v="2"/>
    <n v="2"/>
    <x v="2"/>
  </r>
  <r>
    <x v="240"/>
    <x v="12"/>
    <n v="3"/>
    <n v="57.4"/>
    <n v="172.2"/>
    <d v="2025-01-10T00:00:00"/>
    <d v="2025-01-13T00:00:00"/>
    <x v="2"/>
    <x v="0"/>
    <n v="5"/>
    <x v="0"/>
    <x v="29"/>
    <n v="3"/>
    <n v="2"/>
    <x v="2"/>
  </r>
  <r>
    <x v="241"/>
    <x v="2"/>
    <n v="5"/>
    <n v="58.1"/>
    <n v="290.5"/>
    <d v="2025-01-10T00:00:00"/>
    <d v="2025-01-10T00:00:00"/>
    <x v="1"/>
    <x v="2"/>
    <n v="5"/>
    <x v="0"/>
    <x v="6"/>
    <n v="0"/>
    <n v="2"/>
    <x v="1"/>
  </r>
  <r>
    <x v="242"/>
    <x v="5"/>
    <n v="3"/>
    <n v="31.8"/>
    <n v="95.4"/>
    <d v="2025-01-11T00:00:00"/>
    <d v="2025-01-13T00:00:00"/>
    <x v="1"/>
    <x v="3"/>
    <n v="4"/>
    <x v="0"/>
    <x v="6"/>
    <n v="2"/>
    <n v="2"/>
    <x v="1"/>
  </r>
  <r>
    <x v="243"/>
    <x v="4"/>
    <n v="3"/>
    <n v="31.5"/>
    <n v="94.5"/>
    <d v="2025-01-11T00:00:00"/>
    <d v="2025-01-14T00:00:00"/>
    <x v="1"/>
    <x v="0"/>
    <n v="3"/>
    <x v="0"/>
    <x v="8"/>
    <n v="3"/>
    <n v="2"/>
    <x v="1"/>
  </r>
  <r>
    <x v="244"/>
    <x v="6"/>
    <n v="7"/>
    <n v="55.9"/>
    <n v="391.3"/>
    <d v="2025-01-11T00:00:00"/>
    <d v="2025-01-15T00:00:00"/>
    <x v="2"/>
    <x v="1"/>
    <n v="5"/>
    <x v="0"/>
    <x v="8"/>
    <n v="4"/>
    <n v="2"/>
    <x v="2"/>
  </r>
  <r>
    <x v="245"/>
    <x v="8"/>
    <n v="2"/>
    <n v="36.4"/>
    <n v="72.8"/>
    <d v="2025-01-11T00:00:00"/>
    <d v="2025-01-12T00:00:00"/>
    <x v="1"/>
    <x v="1"/>
    <n v="3"/>
    <x v="0"/>
    <x v="9"/>
    <n v="1"/>
    <n v="2"/>
    <x v="1"/>
  </r>
  <r>
    <x v="246"/>
    <x v="1"/>
    <n v="5"/>
    <n v="47.3"/>
    <n v="236.5"/>
    <d v="2025-01-11T00:00:00"/>
    <d v="2025-01-14T00:00:00"/>
    <x v="1"/>
    <x v="2"/>
    <n v="4"/>
    <x v="0"/>
    <x v="10"/>
    <n v="3"/>
    <n v="2"/>
    <x v="1"/>
  </r>
  <r>
    <x v="247"/>
    <x v="6"/>
    <n v="3"/>
    <n v="82.5"/>
    <n v="247.5"/>
    <d v="2025-01-11T00:00:00"/>
    <d v="2025-01-12T00:00:00"/>
    <x v="1"/>
    <x v="0"/>
    <n v="4"/>
    <x v="0"/>
    <x v="11"/>
    <n v="1"/>
    <n v="2"/>
    <x v="1"/>
  </r>
  <r>
    <x v="248"/>
    <x v="0"/>
    <n v="1"/>
    <n v="14.3"/>
    <n v="14.3"/>
    <d v="2025-01-11T00:00:00"/>
    <d v="2025-01-12T00:00:00"/>
    <x v="2"/>
    <x v="0"/>
    <n v="4"/>
    <x v="0"/>
    <x v="21"/>
    <n v="1"/>
    <n v="2"/>
    <x v="2"/>
  </r>
  <r>
    <x v="249"/>
    <x v="2"/>
    <n v="6"/>
    <n v="57.6"/>
    <n v="345.6"/>
    <d v="2025-01-11T00:00:00"/>
    <d v="2025-01-25T00:00:00"/>
    <x v="2"/>
    <x v="0"/>
    <n v="4"/>
    <x v="0"/>
    <x v="21"/>
    <n v="14"/>
    <n v="2"/>
    <x v="2"/>
  </r>
  <r>
    <x v="250"/>
    <x v="2"/>
    <n v="3"/>
    <n v="142.4"/>
    <n v="427.20000000000005"/>
    <d v="2025-01-11T00:00:00"/>
    <d v="2025-01-13T00:00:00"/>
    <x v="1"/>
    <x v="4"/>
    <n v="3"/>
    <x v="0"/>
    <x v="21"/>
    <n v="2"/>
    <n v="2"/>
    <x v="1"/>
  </r>
  <r>
    <x v="251"/>
    <x v="12"/>
    <n v="1"/>
    <n v="30.2"/>
    <n v="30.2"/>
    <d v="2025-01-11T00:00:00"/>
    <d v="2025-01-15T00:00:00"/>
    <x v="1"/>
    <x v="1"/>
    <n v="5"/>
    <x v="0"/>
    <x v="2"/>
    <n v="4"/>
    <n v="2"/>
    <x v="1"/>
  </r>
  <r>
    <x v="252"/>
    <x v="18"/>
    <n v="3"/>
    <n v="65.3"/>
    <n v="195.89999999999998"/>
    <d v="2025-01-11T00:00:00"/>
    <d v="2025-01-12T00:00:00"/>
    <x v="3"/>
    <x v="1"/>
    <n v="4"/>
    <x v="0"/>
    <x v="33"/>
    <n v="1"/>
    <n v="2"/>
    <x v="3"/>
  </r>
  <r>
    <x v="253"/>
    <x v="0"/>
    <n v="2"/>
    <n v="33.4"/>
    <n v="66.8"/>
    <d v="2025-01-11T00:00:00"/>
    <d v="2025-01-12T00:00:00"/>
    <x v="1"/>
    <x v="1"/>
    <n v="3"/>
    <x v="0"/>
    <x v="22"/>
    <n v="1"/>
    <n v="2"/>
    <x v="1"/>
  </r>
  <r>
    <x v="254"/>
    <x v="7"/>
    <n v="2"/>
    <n v="45.1"/>
    <n v="90.2"/>
    <d v="2025-01-11T00:00:00"/>
    <d v="2025-01-19T00:00:00"/>
    <x v="1"/>
    <x v="0"/>
    <n v="4"/>
    <x v="0"/>
    <x v="34"/>
    <n v="8"/>
    <n v="2"/>
    <x v="1"/>
  </r>
  <r>
    <x v="255"/>
    <x v="2"/>
    <n v="7"/>
    <n v="61.7"/>
    <n v="431.90000000000003"/>
    <d v="2025-01-11T00:00:00"/>
    <d v="2025-01-13T00:00:00"/>
    <x v="2"/>
    <x v="4"/>
    <n v="4"/>
    <x v="0"/>
    <x v="3"/>
    <n v="2"/>
    <n v="2"/>
    <x v="2"/>
  </r>
  <r>
    <x v="256"/>
    <x v="9"/>
    <n v="3"/>
    <n v="45.1"/>
    <n v="135.30000000000001"/>
    <d v="2025-01-12T00:00:00"/>
    <d v="2025-01-13T00:00:00"/>
    <x v="1"/>
    <x v="4"/>
    <n v="3"/>
    <x v="0"/>
    <x v="3"/>
    <n v="1"/>
    <n v="3"/>
    <x v="1"/>
  </r>
  <r>
    <x v="257"/>
    <x v="15"/>
    <n v="5"/>
    <n v="22.7"/>
    <n v="113.5"/>
    <d v="2025-01-12T00:00:00"/>
    <d v="2025-01-17T00:00:00"/>
    <x v="1"/>
    <x v="0"/>
    <n v="5"/>
    <x v="0"/>
    <x v="35"/>
    <n v="5"/>
    <n v="3"/>
    <x v="1"/>
  </r>
  <r>
    <x v="258"/>
    <x v="8"/>
    <n v="1"/>
    <n v="17.600000000000001"/>
    <n v="17.600000000000001"/>
    <d v="2025-01-12T00:00:00"/>
    <d v="2025-01-13T00:00:00"/>
    <x v="2"/>
    <x v="0"/>
    <n v="5"/>
    <x v="0"/>
    <x v="23"/>
    <n v="1"/>
    <n v="3"/>
    <x v="2"/>
  </r>
  <r>
    <x v="259"/>
    <x v="14"/>
    <n v="2"/>
    <n v="11.3"/>
    <n v="22.6"/>
    <d v="2025-01-12T00:00:00"/>
    <d v="2025-01-15T00:00:00"/>
    <x v="2"/>
    <x v="3"/>
    <n v="5"/>
    <x v="0"/>
    <x v="23"/>
    <n v="3"/>
    <n v="3"/>
    <x v="2"/>
  </r>
  <r>
    <x v="260"/>
    <x v="6"/>
    <n v="3"/>
    <n v="53.4"/>
    <n v="160.19999999999999"/>
    <d v="2025-01-12T00:00:00"/>
    <d v="2025-01-15T00:00:00"/>
    <x v="1"/>
    <x v="3"/>
    <n v="5"/>
    <x v="0"/>
    <x v="36"/>
    <n v="3"/>
    <n v="3"/>
    <x v="1"/>
  </r>
  <r>
    <x v="261"/>
    <x v="6"/>
    <n v="11"/>
    <n v="51.1"/>
    <n v="562.1"/>
    <d v="2025-01-12T00:00:00"/>
    <d v="2025-01-14T00:00:00"/>
    <x v="2"/>
    <x v="2"/>
    <n v="5"/>
    <x v="0"/>
    <x v="8"/>
    <n v="2"/>
    <n v="3"/>
    <x v="2"/>
  </r>
  <r>
    <x v="262"/>
    <x v="8"/>
    <n v="2"/>
    <n v="27.5"/>
    <n v="55"/>
    <d v="2025-01-12T00:00:00"/>
    <d v="2025-01-13T00:00:00"/>
    <x v="1"/>
    <x v="4"/>
    <n v="3"/>
    <x v="0"/>
    <x v="8"/>
    <n v="1"/>
    <n v="3"/>
    <x v="1"/>
  </r>
  <r>
    <x v="263"/>
    <x v="9"/>
    <n v="1"/>
    <n v="33.5"/>
    <n v="33.5"/>
    <d v="2025-01-12T00:00:00"/>
    <d v="2025-01-14T00:00:00"/>
    <x v="2"/>
    <x v="0"/>
    <n v="2"/>
    <x v="0"/>
    <x v="8"/>
    <n v="2"/>
    <n v="3"/>
    <x v="2"/>
  </r>
  <r>
    <x v="264"/>
    <x v="4"/>
    <n v="1"/>
    <n v="59.5"/>
    <n v="59.5"/>
    <d v="2025-01-12T00:00:00"/>
    <d v="2025-01-12T00:00:00"/>
    <x v="1"/>
    <x v="0"/>
    <n v="5"/>
    <x v="0"/>
    <x v="18"/>
    <n v="0"/>
    <n v="3"/>
    <x v="1"/>
  </r>
  <r>
    <x v="265"/>
    <x v="17"/>
    <n v="4"/>
    <n v="23.5"/>
    <n v="94"/>
    <d v="2025-01-12T00:00:00"/>
    <d v="2025-01-13T00:00:00"/>
    <x v="2"/>
    <x v="3"/>
    <n v="1"/>
    <x v="0"/>
    <x v="19"/>
    <n v="1"/>
    <n v="3"/>
    <x v="2"/>
  </r>
  <r>
    <x v="266"/>
    <x v="6"/>
    <n v="1"/>
    <n v="49.7"/>
    <n v="49.7"/>
    <d v="2025-01-12T00:00:00"/>
    <d v="2025-01-13T00:00:00"/>
    <x v="0"/>
    <x v="1"/>
    <n v="5"/>
    <x v="0"/>
    <x v="20"/>
    <n v="1"/>
    <n v="3"/>
    <x v="0"/>
  </r>
  <r>
    <x v="267"/>
    <x v="6"/>
    <n v="4"/>
    <n v="44.2"/>
    <n v="176.8"/>
    <d v="2025-01-12T00:00:00"/>
    <d v="2025-01-15T00:00:00"/>
    <x v="2"/>
    <x v="0"/>
    <n v="5"/>
    <x v="0"/>
    <x v="21"/>
    <n v="3"/>
    <n v="3"/>
    <x v="2"/>
  </r>
  <r>
    <x v="268"/>
    <x v="8"/>
    <n v="1"/>
    <n v="22.1"/>
    <n v="22.1"/>
    <d v="2025-01-12T00:00:00"/>
    <d v="2025-01-16T00:00:00"/>
    <x v="2"/>
    <x v="1"/>
    <n v="3"/>
    <x v="0"/>
    <x v="33"/>
    <n v="4"/>
    <n v="3"/>
    <x v="2"/>
  </r>
  <r>
    <x v="269"/>
    <x v="6"/>
    <n v="3"/>
    <n v="90.9"/>
    <n v="272.70000000000005"/>
    <d v="2025-01-12T00:00:00"/>
    <d v="2025-01-13T00:00:00"/>
    <x v="2"/>
    <x v="2"/>
    <n v="2"/>
    <x v="0"/>
    <x v="3"/>
    <n v="1"/>
    <n v="3"/>
    <x v="2"/>
  </r>
  <r>
    <x v="270"/>
    <x v="8"/>
    <n v="3"/>
    <n v="44.5"/>
    <n v="133.5"/>
    <d v="2025-01-12T00:00:00"/>
    <d v="2025-01-13T00:00:00"/>
    <x v="2"/>
    <x v="1"/>
    <n v="4"/>
    <x v="0"/>
    <x v="3"/>
    <n v="1"/>
    <n v="3"/>
    <x v="2"/>
  </r>
  <r>
    <x v="271"/>
    <x v="9"/>
    <n v="6"/>
    <n v="32.299999999999997"/>
    <n v="193.79999999999998"/>
    <d v="2025-01-12T00:00:00"/>
    <d v="2025-01-16T00:00:00"/>
    <x v="2"/>
    <x v="0"/>
    <n v="4"/>
    <x v="0"/>
    <x v="3"/>
    <n v="4"/>
    <n v="3"/>
    <x v="2"/>
  </r>
  <r>
    <x v="272"/>
    <x v="17"/>
    <n v="3"/>
    <n v="87.5"/>
    <n v="262.5"/>
    <d v="2025-01-12T00:00:00"/>
    <d v="2025-01-13T00:00:00"/>
    <x v="2"/>
    <x v="1"/>
    <n v="3"/>
    <x v="0"/>
    <x v="3"/>
    <n v="1"/>
    <n v="3"/>
    <x v="2"/>
  </r>
  <r>
    <x v="273"/>
    <x v="16"/>
    <n v="5"/>
    <n v="48.7"/>
    <n v="243.5"/>
    <d v="2025-01-12T00:00:00"/>
    <d v="2025-01-13T00:00:00"/>
    <x v="1"/>
    <x v="2"/>
    <n v="4"/>
    <x v="0"/>
    <x v="3"/>
    <n v="1"/>
    <n v="3"/>
    <x v="1"/>
  </r>
  <r>
    <x v="274"/>
    <x v="0"/>
    <n v="5"/>
    <n v="22.5"/>
    <n v="112.5"/>
    <d v="2025-01-12T00:00:00"/>
    <d v="2025-01-13T00:00:00"/>
    <x v="1"/>
    <x v="0"/>
    <n v="4"/>
    <x v="0"/>
    <x v="3"/>
    <n v="1"/>
    <n v="3"/>
    <x v="1"/>
  </r>
  <r>
    <x v="275"/>
    <x v="1"/>
    <n v="8"/>
    <n v="65.900000000000006"/>
    <n v="527.20000000000005"/>
    <d v="2025-01-12T00:00:00"/>
    <d v="2025-01-15T00:00:00"/>
    <x v="2"/>
    <x v="1"/>
    <n v="5"/>
    <x v="0"/>
    <x v="3"/>
    <n v="3"/>
    <n v="3"/>
    <x v="2"/>
  </r>
  <r>
    <x v="276"/>
    <x v="6"/>
    <n v="5"/>
    <n v="41.9"/>
    <n v="209.5"/>
    <d v="2025-01-12T00:00:00"/>
    <d v="2025-01-19T00:00:00"/>
    <x v="0"/>
    <x v="0"/>
    <n v="4"/>
    <x v="0"/>
    <x v="3"/>
    <n v="7"/>
    <n v="3"/>
    <x v="0"/>
  </r>
  <r>
    <x v="277"/>
    <x v="1"/>
    <n v="5"/>
    <n v="67.5"/>
    <n v="337.5"/>
    <d v="2025-01-12T00:00:00"/>
    <d v="2025-01-13T00:00:00"/>
    <x v="2"/>
    <x v="0"/>
    <n v="5"/>
    <x v="0"/>
    <x v="3"/>
    <n v="1"/>
    <n v="3"/>
    <x v="2"/>
  </r>
  <r>
    <x v="278"/>
    <x v="9"/>
    <n v="1"/>
    <n v="60.4"/>
    <n v="60.4"/>
    <d v="2025-01-13T00:00:00"/>
    <d v="2025-01-15T00:00:00"/>
    <x v="2"/>
    <x v="1"/>
    <n v="3"/>
    <x v="0"/>
    <x v="3"/>
    <n v="2"/>
    <n v="3"/>
    <x v="2"/>
  </r>
  <r>
    <x v="279"/>
    <x v="1"/>
    <n v="7"/>
    <n v="30.4"/>
    <n v="212.79999999999998"/>
    <d v="2025-01-13T00:00:00"/>
    <d v="2025-01-16T00:00:00"/>
    <x v="2"/>
    <x v="4"/>
    <n v="4"/>
    <x v="0"/>
    <x v="3"/>
    <n v="3"/>
    <n v="3"/>
    <x v="2"/>
  </r>
  <r>
    <x v="280"/>
    <x v="14"/>
    <n v="2"/>
    <n v="24.5"/>
    <n v="49"/>
    <d v="2025-01-13T00:00:00"/>
    <d v="2025-01-14T00:00:00"/>
    <x v="1"/>
    <x v="3"/>
    <n v="5"/>
    <x v="0"/>
    <x v="3"/>
    <n v="1"/>
    <n v="3"/>
    <x v="1"/>
  </r>
  <r>
    <x v="281"/>
    <x v="2"/>
    <n v="3"/>
    <n v="105.9"/>
    <n v="317.70000000000005"/>
    <d v="2025-01-13T00:00:00"/>
    <d v="2025-01-18T00:00:00"/>
    <x v="1"/>
    <x v="0"/>
    <n v="4"/>
    <x v="0"/>
    <x v="37"/>
    <n v="5"/>
    <n v="3"/>
    <x v="1"/>
  </r>
  <r>
    <x v="282"/>
    <x v="10"/>
    <n v="24"/>
    <n v="25.9"/>
    <n v="621.59999999999991"/>
    <d v="2025-01-13T00:00:00"/>
    <d v="2025-01-14T00:00:00"/>
    <x v="2"/>
    <x v="4"/>
    <n v="4"/>
    <x v="0"/>
    <x v="23"/>
    <n v="1"/>
    <n v="3"/>
    <x v="2"/>
  </r>
  <r>
    <x v="283"/>
    <x v="6"/>
    <n v="3"/>
    <n v="66.8"/>
    <n v="200.39999999999998"/>
    <d v="2025-01-13T00:00:00"/>
    <d v="2025-01-13T00:00:00"/>
    <x v="1"/>
    <x v="0"/>
    <n v="4"/>
    <x v="0"/>
    <x v="23"/>
    <n v="0"/>
    <n v="3"/>
    <x v="1"/>
  </r>
  <r>
    <x v="284"/>
    <x v="6"/>
    <n v="3"/>
    <n v="112.3"/>
    <n v="336.9"/>
    <d v="2025-01-13T00:00:00"/>
    <d v="2025-01-14T00:00:00"/>
    <x v="1"/>
    <x v="2"/>
    <n v="2"/>
    <x v="0"/>
    <x v="6"/>
    <n v="1"/>
    <n v="3"/>
    <x v="1"/>
  </r>
  <r>
    <x v="285"/>
    <x v="1"/>
    <n v="6"/>
    <n v="94.1"/>
    <n v="564.59999999999991"/>
    <d v="2025-01-13T00:00:00"/>
    <d v="2025-01-14T00:00:00"/>
    <x v="2"/>
    <x v="0"/>
    <n v="2"/>
    <x v="0"/>
    <x v="6"/>
    <n v="1"/>
    <n v="3"/>
    <x v="2"/>
  </r>
  <r>
    <x v="286"/>
    <x v="5"/>
    <n v="1"/>
    <n v="40.700000000000003"/>
    <n v="40.700000000000003"/>
    <d v="2025-01-13T00:00:00"/>
    <d v="2025-01-16T00:00:00"/>
    <x v="2"/>
    <x v="2"/>
    <n v="4"/>
    <x v="0"/>
    <x v="6"/>
    <n v="3"/>
    <n v="3"/>
    <x v="2"/>
  </r>
  <r>
    <x v="287"/>
    <x v="3"/>
    <n v="2"/>
    <n v="71.400000000000006"/>
    <n v="142.80000000000001"/>
    <d v="2025-01-13T00:00:00"/>
    <d v="2025-01-14T00:00:00"/>
    <x v="1"/>
    <x v="0"/>
    <n v="4"/>
    <x v="0"/>
    <x v="7"/>
    <n v="1"/>
    <n v="3"/>
    <x v="1"/>
  </r>
  <r>
    <x v="288"/>
    <x v="0"/>
    <n v="18"/>
    <n v="15.6"/>
    <n v="280.8"/>
    <d v="2025-01-13T00:00:00"/>
    <d v="2025-01-14T00:00:00"/>
    <x v="1"/>
    <x v="1"/>
    <n v="1"/>
    <x v="0"/>
    <x v="8"/>
    <n v="1"/>
    <n v="3"/>
    <x v="1"/>
  </r>
  <r>
    <x v="289"/>
    <x v="10"/>
    <n v="4"/>
    <n v="37.799999999999997"/>
    <n v="151.19999999999999"/>
    <d v="2025-01-13T00:00:00"/>
    <d v="2025-01-14T00:00:00"/>
    <x v="1"/>
    <x v="2"/>
    <n v="5"/>
    <x v="0"/>
    <x v="8"/>
    <n v="1"/>
    <n v="3"/>
    <x v="1"/>
  </r>
  <r>
    <x v="290"/>
    <x v="4"/>
    <n v="3"/>
    <n v="28.1"/>
    <n v="84.300000000000011"/>
    <d v="2025-01-13T00:00:00"/>
    <d v="2025-01-17T00:00:00"/>
    <x v="1"/>
    <x v="0"/>
    <n v="4"/>
    <x v="0"/>
    <x v="8"/>
    <n v="4"/>
    <n v="3"/>
    <x v="1"/>
  </r>
  <r>
    <x v="291"/>
    <x v="7"/>
    <n v="6"/>
    <n v="51.4"/>
    <n v="308.39999999999998"/>
    <d v="2025-01-13T00:00:00"/>
    <d v="2025-01-17T00:00:00"/>
    <x v="1"/>
    <x v="0"/>
    <n v="4"/>
    <x v="0"/>
    <x v="8"/>
    <n v="4"/>
    <n v="3"/>
    <x v="1"/>
  </r>
  <r>
    <x v="292"/>
    <x v="7"/>
    <n v="2"/>
    <n v="97.7"/>
    <n v="195.4"/>
    <d v="2025-01-13T00:00:00"/>
    <d v="2025-01-15T00:00:00"/>
    <x v="2"/>
    <x v="4"/>
    <n v="5"/>
    <x v="0"/>
    <x v="17"/>
    <n v="2"/>
    <n v="3"/>
    <x v="2"/>
  </r>
  <r>
    <x v="293"/>
    <x v="1"/>
    <n v="4"/>
    <n v="63.8"/>
    <n v="255.2"/>
    <d v="2025-01-13T00:00:00"/>
    <d v="2025-01-14T00:00:00"/>
    <x v="1"/>
    <x v="2"/>
    <n v="4"/>
    <x v="0"/>
    <x v="38"/>
    <n v="1"/>
    <n v="3"/>
    <x v="1"/>
  </r>
  <r>
    <x v="294"/>
    <x v="13"/>
    <n v="2"/>
    <n v="20.100000000000001"/>
    <n v="40.200000000000003"/>
    <d v="2025-01-13T00:00:00"/>
    <d v="2025-01-15T00:00:00"/>
    <x v="1"/>
    <x v="0"/>
    <n v="5"/>
    <x v="0"/>
    <x v="20"/>
    <n v="2"/>
    <n v="3"/>
    <x v="1"/>
  </r>
  <r>
    <x v="295"/>
    <x v="11"/>
    <n v="3"/>
    <n v="50.4"/>
    <n v="151.19999999999999"/>
    <d v="2025-01-13T00:00:00"/>
    <d v="2025-01-16T00:00:00"/>
    <x v="2"/>
    <x v="3"/>
    <n v="4"/>
    <x v="0"/>
    <x v="13"/>
    <n v="3"/>
    <n v="3"/>
    <x v="2"/>
  </r>
  <r>
    <x v="296"/>
    <x v="0"/>
    <n v="1"/>
    <n v="16.2"/>
    <n v="16.2"/>
    <d v="2025-01-13T00:00:00"/>
    <d v="2025-01-26T00:00:00"/>
    <x v="2"/>
    <x v="1"/>
    <n v="4"/>
    <x v="0"/>
    <x v="1"/>
    <n v="13"/>
    <n v="3"/>
    <x v="2"/>
  </r>
  <r>
    <x v="297"/>
    <x v="6"/>
    <n v="7"/>
    <n v="80.900000000000006"/>
    <n v="566.30000000000007"/>
    <d v="2025-01-13T00:00:00"/>
    <d v="2025-01-15T00:00:00"/>
    <x v="1"/>
    <x v="4"/>
    <n v="2"/>
    <x v="0"/>
    <x v="2"/>
    <n v="2"/>
    <n v="3"/>
    <x v="1"/>
  </r>
  <r>
    <x v="298"/>
    <x v="9"/>
    <n v="6"/>
    <n v="95.2"/>
    <n v="571.20000000000005"/>
    <d v="2025-01-13T00:00:00"/>
    <d v="2025-01-15T00:00:00"/>
    <x v="2"/>
    <x v="0"/>
    <n v="5"/>
    <x v="0"/>
    <x v="2"/>
    <n v="2"/>
    <n v="3"/>
    <x v="2"/>
  </r>
  <r>
    <x v="299"/>
    <x v="5"/>
    <n v="8"/>
    <n v="70.400000000000006"/>
    <n v="563.20000000000005"/>
    <d v="2025-01-13T00:00:00"/>
    <d v="2025-01-14T00:00:00"/>
    <x v="1"/>
    <x v="1"/>
    <n v="3"/>
    <x v="0"/>
    <x v="3"/>
    <n v="1"/>
    <n v="3"/>
    <x v="1"/>
  </r>
  <r>
    <x v="300"/>
    <x v="0"/>
    <n v="5"/>
    <n v="10.7"/>
    <n v="53.5"/>
    <d v="2025-01-13T00:00:00"/>
    <d v="2025-01-17T00:00:00"/>
    <x v="2"/>
    <x v="2"/>
    <n v="4"/>
    <x v="0"/>
    <x v="3"/>
    <n v="4"/>
    <n v="3"/>
    <x v="2"/>
  </r>
  <r>
    <x v="301"/>
    <x v="8"/>
    <n v="5"/>
    <n v="19.600000000000001"/>
    <n v="98"/>
    <d v="2025-01-13T00:00:00"/>
    <d v="2025-01-15T00:00:00"/>
    <x v="2"/>
    <x v="0"/>
    <n v="1"/>
    <x v="0"/>
    <x v="3"/>
    <n v="2"/>
    <n v="3"/>
    <x v="2"/>
  </r>
  <r>
    <x v="302"/>
    <x v="8"/>
    <n v="11"/>
    <n v="34.700000000000003"/>
    <n v="381.70000000000005"/>
    <d v="2025-01-13T00:00:00"/>
    <d v="2025-01-15T00:00:00"/>
    <x v="2"/>
    <x v="0"/>
    <n v="5"/>
    <x v="0"/>
    <x v="3"/>
    <n v="2"/>
    <n v="3"/>
    <x v="2"/>
  </r>
  <r>
    <x v="303"/>
    <x v="10"/>
    <n v="9"/>
    <n v="34.1"/>
    <n v="306.90000000000003"/>
    <d v="2025-01-13T00:00:00"/>
    <d v="2025-01-14T00:00:00"/>
    <x v="2"/>
    <x v="4"/>
    <n v="3"/>
    <x v="0"/>
    <x v="3"/>
    <n v="1"/>
    <n v="3"/>
    <x v="2"/>
  </r>
  <r>
    <x v="304"/>
    <x v="0"/>
    <n v="49"/>
    <n v="29.3"/>
    <n v="1435.7"/>
    <d v="2025-01-13T00:00:00"/>
    <d v="2025-01-13T00:00:00"/>
    <x v="1"/>
    <x v="0"/>
    <n v="3"/>
    <x v="0"/>
    <x v="3"/>
    <n v="0"/>
    <n v="3"/>
    <x v="1"/>
  </r>
  <r>
    <x v="305"/>
    <x v="1"/>
    <n v="1"/>
    <n v="55.2"/>
    <n v="55.2"/>
    <d v="2025-01-13T00:00:00"/>
    <d v="2025-01-14T00:00:00"/>
    <x v="2"/>
    <x v="0"/>
    <n v="3"/>
    <x v="0"/>
    <x v="3"/>
    <n v="1"/>
    <n v="3"/>
    <x v="2"/>
  </r>
  <r>
    <x v="306"/>
    <x v="18"/>
    <n v="3"/>
    <n v="26"/>
    <n v="78"/>
    <d v="2025-01-13T00:00:00"/>
    <d v="2025-01-16T00:00:00"/>
    <x v="2"/>
    <x v="0"/>
    <n v="5"/>
    <x v="0"/>
    <x v="3"/>
    <n v="3"/>
    <n v="3"/>
    <x v="2"/>
  </r>
  <r>
    <x v="307"/>
    <x v="14"/>
    <n v="2"/>
    <n v="14.2"/>
    <n v="28.4"/>
    <d v="2025-01-13T00:00:00"/>
    <d v="2025-01-18T00:00:00"/>
    <x v="2"/>
    <x v="3"/>
    <n v="4"/>
    <x v="0"/>
    <x v="39"/>
    <n v="5"/>
    <n v="3"/>
    <x v="2"/>
  </r>
  <r>
    <x v="308"/>
    <x v="8"/>
    <n v="9"/>
    <n v="22.7"/>
    <n v="204.29999999999998"/>
    <d v="2025-01-14T00:00:00"/>
    <d v="2025-01-15T00:00:00"/>
    <x v="1"/>
    <x v="1"/>
    <n v="4"/>
    <x v="0"/>
    <x v="6"/>
    <n v="1"/>
    <n v="3"/>
    <x v="1"/>
  </r>
  <r>
    <x v="309"/>
    <x v="0"/>
    <n v="15"/>
    <n v="19.8"/>
    <n v="297"/>
    <d v="2025-01-14T00:00:00"/>
    <d v="2025-01-14T00:00:00"/>
    <x v="2"/>
    <x v="0"/>
    <n v="5"/>
    <x v="0"/>
    <x v="6"/>
    <n v="0"/>
    <n v="3"/>
    <x v="2"/>
  </r>
  <r>
    <x v="310"/>
    <x v="0"/>
    <n v="3"/>
    <n v="31.7"/>
    <n v="95.1"/>
    <d v="2025-01-14T00:00:00"/>
    <d v="2025-01-15T00:00:00"/>
    <x v="1"/>
    <x v="2"/>
    <n v="4"/>
    <x v="0"/>
    <x v="6"/>
    <n v="1"/>
    <n v="3"/>
    <x v="1"/>
  </r>
  <r>
    <x v="311"/>
    <x v="8"/>
    <n v="4"/>
    <n v="30.4"/>
    <n v="121.6"/>
    <d v="2025-01-14T00:00:00"/>
    <d v="2025-01-18T00:00:00"/>
    <x v="1"/>
    <x v="0"/>
    <n v="4"/>
    <x v="0"/>
    <x v="6"/>
    <n v="4"/>
    <n v="3"/>
    <x v="1"/>
  </r>
  <r>
    <x v="312"/>
    <x v="0"/>
    <n v="4"/>
    <n v="25.6"/>
    <n v="102.4"/>
    <d v="2025-01-14T00:00:00"/>
    <d v="2025-01-15T00:00:00"/>
    <x v="1"/>
    <x v="3"/>
    <n v="4"/>
    <x v="0"/>
    <x v="8"/>
    <n v="1"/>
    <n v="3"/>
    <x v="1"/>
  </r>
  <r>
    <x v="313"/>
    <x v="5"/>
    <n v="2"/>
    <n v="34.9"/>
    <n v="69.8"/>
    <d v="2025-01-14T00:00:00"/>
    <d v="2025-01-15T00:00:00"/>
    <x v="2"/>
    <x v="2"/>
    <n v="4"/>
    <x v="0"/>
    <x v="9"/>
    <n v="1"/>
    <n v="3"/>
    <x v="2"/>
  </r>
  <r>
    <x v="314"/>
    <x v="7"/>
    <n v="6"/>
    <n v="42.7"/>
    <n v="256.20000000000005"/>
    <d v="2025-01-14T00:00:00"/>
    <d v="2025-01-17T00:00:00"/>
    <x v="1"/>
    <x v="2"/>
    <n v="3"/>
    <x v="0"/>
    <x v="11"/>
    <n v="3"/>
    <n v="3"/>
    <x v="1"/>
  </r>
  <r>
    <x v="315"/>
    <x v="8"/>
    <n v="1"/>
    <n v="23.9"/>
    <n v="23.9"/>
    <d v="2025-01-14T00:00:00"/>
    <d v="2025-01-16T00:00:00"/>
    <x v="2"/>
    <x v="3"/>
    <n v="4"/>
    <x v="0"/>
    <x v="11"/>
    <n v="2"/>
    <n v="3"/>
    <x v="2"/>
  </r>
  <r>
    <x v="316"/>
    <x v="6"/>
    <n v="1"/>
    <n v="124.3"/>
    <n v="124.3"/>
    <d v="2025-01-14T00:00:00"/>
    <d v="2025-01-15T00:00:00"/>
    <x v="0"/>
    <x v="2"/>
    <n v="3"/>
    <x v="0"/>
    <x v="21"/>
    <n v="1"/>
    <n v="3"/>
    <x v="0"/>
  </r>
  <r>
    <x v="317"/>
    <x v="8"/>
    <n v="6"/>
    <n v="35.9"/>
    <n v="215.39999999999998"/>
    <d v="2025-01-14T00:00:00"/>
    <d v="2025-01-15T00:00:00"/>
    <x v="2"/>
    <x v="0"/>
    <n v="3"/>
    <x v="0"/>
    <x v="1"/>
    <n v="1"/>
    <n v="3"/>
    <x v="2"/>
  </r>
  <r>
    <x v="318"/>
    <x v="2"/>
    <n v="2"/>
    <n v="69.099999999999994"/>
    <n v="138.19999999999999"/>
    <d v="2025-01-14T00:00:00"/>
    <d v="2025-01-17T00:00:00"/>
    <x v="2"/>
    <x v="0"/>
    <n v="5"/>
    <x v="0"/>
    <x v="22"/>
    <n v="3"/>
    <n v="3"/>
    <x v="2"/>
  </r>
  <r>
    <x v="319"/>
    <x v="7"/>
    <n v="1"/>
    <n v="58.4"/>
    <n v="58.4"/>
    <d v="2025-01-14T00:00:00"/>
    <d v="2025-01-18T00:00:00"/>
    <x v="1"/>
    <x v="0"/>
    <n v="4"/>
    <x v="0"/>
    <x v="22"/>
    <n v="4"/>
    <n v="3"/>
    <x v="1"/>
  </r>
  <r>
    <x v="320"/>
    <x v="5"/>
    <n v="1"/>
    <n v="65.2"/>
    <n v="65.2"/>
    <d v="2025-01-14T00:00:00"/>
    <d v="2025-01-16T00:00:00"/>
    <x v="3"/>
    <x v="4"/>
    <n v="2"/>
    <x v="0"/>
    <x v="3"/>
    <n v="2"/>
    <n v="3"/>
    <x v="3"/>
  </r>
  <r>
    <x v="321"/>
    <x v="8"/>
    <n v="17"/>
    <n v="32.700000000000003"/>
    <n v="555.90000000000009"/>
    <d v="2025-01-14T00:00:00"/>
    <d v="2025-01-21T00:00:00"/>
    <x v="0"/>
    <x v="4"/>
    <n v="4"/>
    <x v="0"/>
    <x v="3"/>
    <n v="7"/>
    <n v="3"/>
    <x v="0"/>
  </r>
  <r>
    <x v="322"/>
    <x v="10"/>
    <n v="7"/>
    <n v="24.4"/>
    <n v="170.79999999999998"/>
    <d v="2025-01-14T00:00:00"/>
    <d v="2025-01-15T00:00:00"/>
    <x v="2"/>
    <x v="0"/>
    <n v="4"/>
    <x v="0"/>
    <x v="3"/>
    <n v="1"/>
    <n v="3"/>
    <x v="2"/>
  </r>
  <r>
    <x v="323"/>
    <x v="14"/>
    <n v="2"/>
    <n v="50.4"/>
    <n v="100.8"/>
    <d v="2025-01-14T00:00:00"/>
    <d v="2025-01-20T00:00:00"/>
    <x v="1"/>
    <x v="0"/>
    <n v="3"/>
    <x v="0"/>
    <x v="3"/>
    <n v="6"/>
    <n v="3"/>
    <x v="1"/>
  </r>
  <r>
    <x v="324"/>
    <x v="1"/>
    <n v="2"/>
    <n v="100"/>
    <n v="200"/>
    <d v="2025-01-14T00:00:00"/>
    <d v="2025-01-15T00:00:00"/>
    <x v="2"/>
    <x v="0"/>
    <n v="4"/>
    <x v="0"/>
    <x v="3"/>
    <n v="1"/>
    <n v="3"/>
    <x v="2"/>
  </r>
  <r>
    <x v="325"/>
    <x v="10"/>
    <n v="3"/>
    <n v="43"/>
    <n v="129"/>
    <d v="2025-01-15T00:00:00"/>
    <d v="2025-01-15T00:00:00"/>
    <x v="2"/>
    <x v="2"/>
    <n v="3"/>
    <x v="0"/>
    <x v="3"/>
    <n v="0"/>
    <n v="3"/>
    <x v="2"/>
  </r>
  <r>
    <x v="326"/>
    <x v="1"/>
    <n v="5"/>
    <n v="64.400000000000006"/>
    <n v="322"/>
    <d v="2025-01-15T00:00:00"/>
    <d v="2025-01-17T00:00:00"/>
    <x v="1"/>
    <x v="2"/>
    <n v="3"/>
    <x v="0"/>
    <x v="3"/>
    <n v="2"/>
    <n v="3"/>
    <x v="1"/>
  </r>
  <r>
    <x v="327"/>
    <x v="18"/>
    <n v="2"/>
    <n v="57.4"/>
    <n v="114.8"/>
    <d v="2025-01-15T00:00:00"/>
    <d v="2025-01-16T00:00:00"/>
    <x v="1"/>
    <x v="2"/>
    <n v="3"/>
    <x v="0"/>
    <x v="3"/>
    <n v="1"/>
    <n v="3"/>
    <x v="1"/>
  </r>
  <r>
    <x v="328"/>
    <x v="2"/>
    <n v="3"/>
    <n v="55.1"/>
    <n v="165.3"/>
    <d v="2025-01-15T00:00:00"/>
    <d v="2025-01-18T00:00:00"/>
    <x v="2"/>
    <x v="1"/>
    <n v="4"/>
    <x v="0"/>
    <x v="3"/>
    <n v="3"/>
    <n v="3"/>
    <x v="2"/>
  </r>
  <r>
    <x v="329"/>
    <x v="7"/>
    <n v="4"/>
    <n v="45.4"/>
    <n v="181.6"/>
    <d v="2025-01-15T00:00:00"/>
    <d v="2025-01-16T00:00:00"/>
    <x v="2"/>
    <x v="1"/>
    <n v="4"/>
    <x v="0"/>
    <x v="3"/>
    <n v="1"/>
    <n v="3"/>
    <x v="2"/>
  </r>
  <r>
    <x v="330"/>
    <x v="3"/>
    <n v="3"/>
    <n v="93.3"/>
    <n v="279.89999999999998"/>
    <d v="2025-01-15T00:00:00"/>
    <d v="2025-01-16T00:00:00"/>
    <x v="2"/>
    <x v="0"/>
    <n v="4"/>
    <x v="0"/>
    <x v="40"/>
    <n v="1"/>
    <n v="3"/>
    <x v="2"/>
  </r>
  <r>
    <x v="331"/>
    <x v="2"/>
    <n v="19"/>
    <n v="158.19999999999999"/>
    <n v="3005.7999999999997"/>
    <d v="2025-01-15T00:00:00"/>
    <d v="2025-01-16T00:00:00"/>
    <x v="2"/>
    <x v="1"/>
    <n v="5"/>
    <x v="0"/>
    <x v="16"/>
    <n v="1"/>
    <n v="3"/>
    <x v="2"/>
  </r>
  <r>
    <x v="332"/>
    <x v="2"/>
    <n v="2"/>
    <n v="74.900000000000006"/>
    <n v="149.80000000000001"/>
    <d v="2025-01-15T00:00:00"/>
    <d v="2025-01-17T00:00:00"/>
    <x v="1"/>
    <x v="3"/>
    <n v="4"/>
    <x v="0"/>
    <x v="6"/>
    <n v="2"/>
    <n v="3"/>
    <x v="1"/>
  </r>
  <r>
    <x v="333"/>
    <x v="8"/>
    <n v="7"/>
    <n v="26"/>
    <n v="182"/>
    <d v="2025-01-15T00:00:00"/>
    <d v="2025-01-18T00:00:00"/>
    <x v="2"/>
    <x v="1"/>
    <n v="4"/>
    <x v="0"/>
    <x v="8"/>
    <n v="3"/>
    <n v="3"/>
    <x v="2"/>
  </r>
  <r>
    <x v="334"/>
    <x v="9"/>
    <n v="6"/>
    <n v="37.5"/>
    <n v="225"/>
    <d v="2025-01-15T00:00:00"/>
    <d v="2025-01-16T00:00:00"/>
    <x v="2"/>
    <x v="0"/>
    <n v="3"/>
    <x v="0"/>
    <x v="8"/>
    <n v="1"/>
    <n v="3"/>
    <x v="2"/>
  </r>
  <r>
    <x v="335"/>
    <x v="6"/>
    <n v="2"/>
    <n v="75.8"/>
    <n v="151.6"/>
    <d v="2025-01-15T00:00:00"/>
    <d v="2025-01-21T00:00:00"/>
    <x v="1"/>
    <x v="0"/>
    <n v="4"/>
    <x v="0"/>
    <x v="8"/>
    <n v="6"/>
    <n v="3"/>
    <x v="1"/>
  </r>
  <r>
    <x v="336"/>
    <x v="7"/>
    <n v="1"/>
    <n v="48.5"/>
    <n v="48.5"/>
    <d v="2025-01-15T00:00:00"/>
    <d v="2025-01-27T00:00:00"/>
    <x v="0"/>
    <x v="4"/>
    <n v="5"/>
    <x v="0"/>
    <x v="8"/>
    <n v="12"/>
    <n v="3"/>
    <x v="0"/>
  </r>
  <r>
    <x v="337"/>
    <x v="6"/>
    <n v="3"/>
    <n v="98.9"/>
    <n v="296.70000000000005"/>
    <d v="2025-01-15T00:00:00"/>
    <d v="2025-01-17T00:00:00"/>
    <x v="2"/>
    <x v="4"/>
    <n v="3"/>
    <x v="0"/>
    <x v="8"/>
    <n v="2"/>
    <n v="3"/>
    <x v="2"/>
  </r>
  <r>
    <x v="338"/>
    <x v="1"/>
    <n v="12"/>
    <n v="50.9"/>
    <n v="610.79999999999995"/>
    <d v="2025-01-15T00:00:00"/>
    <d v="2025-01-15T00:00:00"/>
    <x v="1"/>
    <x v="4"/>
    <n v="4"/>
    <x v="0"/>
    <x v="8"/>
    <n v="0"/>
    <n v="3"/>
    <x v="1"/>
  </r>
  <r>
    <x v="339"/>
    <x v="12"/>
    <n v="6"/>
    <n v="84.7"/>
    <n v="508.20000000000005"/>
    <d v="2025-01-15T00:00:00"/>
    <d v="2025-01-15T00:00:00"/>
    <x v="2"/>
    <x v="2"/>
    <n v="4"/>
    <x v="0"/>
    <x v="8"/>
    <n v="0"/>
    <n v="3"/>
    <x v="2"/>
  </r>
  <r>
    <x v="340"/>
    <x v="8"/>
    <n v="1"/>
    <n v="20.7"/>
    <n v="20.7"/>
    <d v="2025-01-15T00:00:00"/>
    <d v="2025-01-17T00:00:00"/>
    <x v="2"/>
    <x v="3"/>
    <n v="5"/>
    <x v="0"/>
    <x v="8"/>
    <n v="2"/>
    <n v="3"/>
    <x v="2"/>
  </r>
  <r>
    <x v="341"/>
    <x v="12"/>
    <n v="9"/>
    <n v="57.8"/>
    <n v="520.19999999999993"/>
    <d v="2025-01-15T00:00:00"/>
    <d v="2025-01-26T00:00:00"/>
    <x v="1"/>
    <x v="0"/>
    <n v="2"/>
    <x v="0"/>
    <x v="17"/>
    <n v="11"/>
    <n v="3"/>
    <x v="1"/>
  </r>
  <r>
    <x v="342"/>
    <x v="2"/>
    <n v="2"/>
    <n v="106.9"/>
    <n v="213.8"/>
    <d v="2025-01-15T00:00:00"/>
    <d v="2025-01-17T00:00:00"/>
    <x v="2"/>
    <x v="0"/>
    <n v="5"/>
    <x v="0"/>
    <x v="41"/>
    <n v="2"/>
    <n v="3"/>
    <x v="2"/>
  </r>
  <r>
    <x v="343"/>
    <x v="3"/>
    <n v="5"/>
    <n v="45.2"/>
    <n v="226"/>
    <d v="2025-01-15T00:00:00"/>
    <d v="2025-01-19T00:00:00"/>
    <x v="2"/>
    <x v="1"/>
    <n v="4"/>
    <x v="0"/>
    <x v="21"/>
    <n v="4"/>
    <n v="3"/>
    <x v="2"/>
  </r>
  <r>
    <x v="344"/>
    <x v="8"/>
    <n v="13"/>
    <n v="34.6"/>
    <n v="449.8"/>
    <d v="2025-01-15T00:00:00"/>
    <d v="2025-01-15T00:00:00"/>
    <x v="2"/>
    <x v="1"/>
    <n v="3"/>
    <x v="0"/>
    <x v="21"/>
    <n v="0"/>
    <n v="3"/>
    <x v="2"/>
  </r>
  <r>
    <x v="345"/>
    <x v="15"/>
    <n v="1"/>
    <n v="43.8"/>
    <n v="43.8"/>
    <d v="2025-01-15T00:00:00"/>
    <d v="2025-01-17T00:00:00"/>
    <x v="0"/>
    <x v="0"/>
    <n v="5"/>
    <x v="0"/>
    <x v="21"/>
    <n v="2"/>
    <n v="3"/>
    <x v="0"/>
  </r>
  <r>
    <x v="346"/>
    <x v="15"/>
    <n v="1"/>
    <n v="20.399999999999999"/>
    <n v="20.399999999999999"/>
    <d v="2025-01-15T00:00:00"/>
    <d v="2025-01-17T00:00:00"/>
    <x v="1"/>
    <x v="4"/>
    <n v="3"/>
    <x v="0"/>
    <x v="21"/>
    <n v="2"/>
    <n v="3"/>
    <x v="1"/>
  </r>
  <r>
    <x v="347"/>
    <x v="1"/>
    <n v="1"/>
    <n v="36.700000000000003"/>
    <n v="36.700000000000003"/>
    <d v="2025-01-15T00:00:00"/>
    <d v="2025-01-16T00:00:00"/>
    <x v="1"/>
    <x v="0"/>
    <n v="3"/>
    <x v="0"/>
    <x v="1"/>
    <n v="1"/>
    <n v="3"/>
    <x v="1"/>
  </r>
  <r>
    <x v="348"/>
    <x v="8"/>
    <n v="3"/>
    <n v="27.2"/>
    <n v="81.599999999999994"/>
    <d v="2025-01-15T00:00:00"/>
    <d v="2025-01-19T00:00:00"/>
    <x v="1"/>
    <x v="0"/>
    <n v="5"/>
    <x v="0"/>
    <x v="1"/>
    <n v="4"/>
    <n v="3"/>
    <x v="1"/>
  </r>
  <r>
    <x v="349"/>
    <x v="6"/>
    <n v="1"/>
    <n v="58.2"/>
    <n v="58.2"/>
    <d v="2025-01-15T00:00:00"/>
    <d v="2025-01-16T00:00:00"/>
    <x v="2"/>
    <x v="0"/>
    <n v="5"/>
    <x v="0"/>
    <x v="42"/>
    <n v="1"/>
    <n v="3"/>
    <x v="2"/>
  </r>
  <r>
    <x v="350"/>
    <x v="8"/>
    <n v="3"/>
    <n v="25.6"/>
    <n v="76.800000000000011"/>
    <d v="2025-01-15T00:00:00"/>
    <d v="2025-01-16T00:00:00"/>
    <x v="1"/>
    <x v="4"/>
    <n v="2"/>
    <x v="0"/>
    <x v="2"/>
    <n v="1"/>
    <n v="3"/>
    <x v="1"/>
  </r>
  <r>
    <x v="351"/>
    <x v="10"/>
    <n v="1"/>
    <n v="21.2"/>
    <n v="21.2"/>
    <d v="2025-01-15T00:00:00"/>
    <d v="2025-01-15T00:00:00"/>
    <x v="2"/>
    <x v="1"/>
    <n v="5"/>
    <x v="0"/>
    <x v="3"/>
    <n v="0"/>
    <n v="3"/>
    <x v="2"/>
  </r>
  <r>
    <x v="352"/>
    <x v="6"/>
    <n v="2"/>
    <n v="48.2"/>
    <n v="96.4"/>
    <d v="2025-01-15T00:00:00"/>
    <d v="2025-01-23T00:00:00"/>
    <x v="2"/>
    <x v="0"/>
    <n v="5"/>
    <x v="0"/>
    <x v="3"/>
    <n v="8"/>
    <n v="3"/>
    <x v="2"/>
  </r>
  <r>
    <x v="353"/>
    <x v="1"/>
    <n v="4"/>
    <n v="83.4"/>
    <n v="333.6"/>
    <d v="2025-01-16T00:00:00"/>
    <d v="2025-01-17T00:00:00"/>
    <x v="1"/>
    <x v="0"/>
    <n v="4"/>
    <x v="0"/>
    <x v="3"/>
    <n v="1"/>
    <n v="3"/>
    <x v="1"/>
  </r>
  <r>
    <x v="354"/>
    <x v="9"/>
    <n v="3"/>
    <n v="45.3"/>
    <n v="135.89999999999998"/>
    <d v="2025-01-16T00:00:00"/>
    <d v="2025-01-22T00:00:00"/>
    <x v="1"/>
    <x v="2"/>
    <n v="3"/>
    <x v="0"/>
    <x v="3"/>
    <n v="6"/>
    <n v="3"/>
    <x v="1"/>
  </r>
  <r>
    <x v="355"/>
    <x v="17"/>
    <n v="1"/>
    <n v="42"/>
    <n v="42"/>
    <d v="2025-01-16T00:00:00"/>
    <d v="2025-01-17T00:00:00"/>
    <x v="0"/>
    <x v="0"/>
    <n v="4"/>
    <x v="0"/>
    <x v="3"/>
    <n v="1"/>
    <n v="3"/>
    <x v="0"/>
  </r>
  <r>
    <x v="356"/>
    <x v="0"/>
    <n v="9"/>
    <n v="21.8"/>
    <n v="196.20000000000002"/>
    <d v="2025-01-16T00:00:00"/>
    <d v="2025-01-18T00:00:00"/>
    <x v="2"/>
    <x v="1"/>
    <n v="4"/>
    <x v="0"/>
    <x v="3"/>
    <n v="2"/>
    <n v="3"/>
    <x v="2"/>
  </r>
  <r>
    <x v="357"/>
    <x v="8"/>
    <n v="18"/>
    <n v="21.4"/>
    <n v="385.2"/>
    <d v="2025-01-16T00:00:00"/>
    <d v="2025-01-19T00:00:00"/>
    <x v="2"/>
    <x v="1"/>
    <n v="5"/>
    <x v="0"/>
    <x v="3"/>
    <n v="3"/>
    <n v="3"/>
    <x v="2"/>
  </r>
  <r>
    <x v="358"/>
    <x v="10"/>
    <n v="3"/>
    <n v="45"/>
    <n v="135"/>
    <d v="2025-01-16T00:00:00"/>
    <d v="2025-01-16T00:00:00"/>
    <x v="2"/>
    <x v="1"/>
    <n v="5"/>
    <x v="0"/>
    <x v="3"/>
    <n v="0"/>
    <n v="3"/>
    <x v="2"/>
  </r>
  <r>
    <x v="359"/>
    <x v="14"/>
    <n v="1"/>
    <n v="39.6"/>
    <n v="39.6"/>
    <d v="2025-01-16T00:00:00"/>
    <d v="2025-01-17T00:00:00"/>
    <x v="1"/>
    <x v="0"/>
    <n v="5"/>
    <x v="0"/>
    <x v="3"/>
    <n v="1"/>
    <n v="3"/>
    <x v="1"/>
  </r>
  <r>
    <x v="360"/>
    <x v="12"/>
    <n v="3"/>
    <n v="79.8"/>
    <n v="239.39999999999998"/>
    <d v="2025-01-16T00:00:00"/>
    <d v="2025-01-22T00:00:00"/>
    <x v="2"/>
    <x v="1"/>
    <n v="2"/>
    <x v="0"/>
    <x v="3"/>
    <n v="6"/>
    <n v="3"/>
    <x v="2"/>
  </r>
  <r>
    <x v="361"/>
    <x v="1"/>
    <n v="4"/>
    <n v="63.6"/>
    <n v="254.4"/>
    <d v="2025-01-16T00:00:00"/>
    <d v="2025-01-17T00:00:00"/>
    <x v="3"/>
    <x v="0"/>
    <n v="5"/>
    <x v="0"/>
    <x v="24"/>
    <n v="1"/>
    <n v="3"/>
    <x v="3"/>
  </r>
  <r>
    <x v="362"/>
    <x v="7"/>
    <n v="10"/>
    <n v="92.7"/>
    <n v="927"/>
    <d v="2025-01-16T00:00:00"/>
    <d v="2025-01-20T00:00:00"/>
    <x v="1"/>
    <x v="1"/>
    <n v="5"/>
    <x v="0"/>
    <x v="6"/>
    <n v="4"/>
    <n v="3"/>
    <x v="1"/>
  </r>
  <r>
    <x v="363"/>
    <x v="1"/>
    <n v="4"/>
    <n v="48.4"/>
    <n v="193.6"/>
    <d v="2025-01-16T00:00:00"/>
    <d v="2025-01-18T00:00:00"/>
    <x v="2"/>
    <x v="1"/>
    <n v="5"/>
    <x v="0"/>
    <x v="6"/>
    <n v="2"/>
    <n v="3"/>
    <x v="2"/>
  </r>
  <r>
    <x v="364"/>
    <x v="9"/>
    <n v="8"/>
    <n v="36"/>
    <n v="288"/>
    <d v="2025-01-16T00:00:00"/>
    <d v="2025-01-19T00:00:00"/>
    <x v="1"/>
    <x v="2"/>
    <n v="5"/>
    <x v="0"/>
    <x v="8"/>
    <n v="3"/>
    <n v="3"/>
    <x v="1"/>
  </r>
  <r>
    <x v="365"/>
    <x v="8"/>
    <n v="12"/>
    <n v="27"/>
    <n v="324"/>
    <d v="2025-01-16T00:00:00"/>
    <d v="2025-01-18T00:00:00"/>
    <x v="2"/>
    <x v="2"/>
    <n v="3"/>
    <x v="0"/>
    <x v="8"/>
    <n v="2"/>
    <n v="3"/>
    <x v="2"/>
  </r>
  <r>
    <x v="366"/>
    <x v="2"/>
    <n v="8"/>
    <n v="53.9"/>
    <n v="431.2"/>
    <d v="2025-01-16T00:00:00"/>
    <d v="2025-01-17T00:00:00"/>
    <x v="0"/>
    <x v="0"/>
    <n v="4"/>
    <x v="0"/>
    <x v="8"/>
    <n v="1"/>
    <n v="3"/>
    <x v="0"/>
  </r>
  <r>
    <x v="367"/>
    <x v="3"/>
    <n v="9"/>
    <n v="48.4"/>
    <n v="435.59999999999997"/>
    <d v="2025-01-16T00:00:00"/>
    <d v="2025-01-17T00:00:00"/>
    <x v="2"/>
    <x v="1"/>
    <n v="4"/>
    <x v="0"/>
    <x v="9"/>
    <n v="1"/>
    <n v="3"/>
    <x v="2"/>
  </r>
  <r>
    <x v="368"/>
    <x v="17"/>
    <n v="2"/>
    <n v="49.9"/>
    <n v="99.8"/>
    <d v="2025-01-16T00:00:00"/>
    <d v="2025-01-21T00:00:00"/>
    <x v="1"/>
    <x v="4"/>
    <n v="2"/>
    <x v="0"/>
    <x v="10"/>
    <n v="5"/>
    <n v="3"/>
    <x v="1"/>
  </r>
  <r>
    <x v="369"/>
    <x v="1"/>
    <n v="3"/>
    <n v="51.7"/>
    <n v="155.10000000000002"/>
    <d v="2025-01-16T00:00:00"/>
    <d v="2025-01-17T00:00:00"/>
    <x v="2"/>
    <x v="0"/>
    <n v="5"/>
    <x v="0"/>
    <x v="11"/>
    <n v="1"/>
    <n v="3"/>
    <x v="2"/>
  </r>
  <r>
    <x v="370"/>
    <x v="8"/>
    <n v="3"/>
    <n v="41.8"/>
    <n v="125.39999999999999"/>
    <d v="2025-01-16T00:00:00"/>
    <d v="2025-01-18T00:00:00"/>
    <x v="2"/>
    <x v="2"/>
    <n v="4"/>
    <x v="0"/>
    <x v="18"/>
    <n v="2"/>
    <n v="3"/>
    <x v="2"/>
  </r>
  <r>
    <x v="371"/>
    <x v="4"/>
    <n v="4"/>
    <n v="36.200000000000003"/>
    <n v="144.80000000000001"/>
    <d v="2025-01-17T00:00:00"/>
    <d v="2025-01-18T00:00:00"/>
    <x v="1"/>
    <x v="2"/>
    <n v="5"/>
    <x v="0"/>
    <x v="21"/>
    <n v="1"/>
    <n v="3"/>
    <x v="1"/>
  </r>
  <r>
    <x v="372"/>
    <x v="2"/>
    <n v="1"/>
    <n v="150.9"/>
    <n v="150.9"/>
    <d v="2025-01-17T00:00:00"/>
    <d v="2025-01-27T00:00:00"/>
    <x v="1"/>
    <x v="0"/>
    <n v="4"/>
    <x v="0"/>
    <x v="1"/>
    <n v="10"/>
    <n v="3"/>
    <x v="1"/>
  </r>
  <r>
    <x v="373"/>
    <x v="18"/>
    <n v="4"/>
    <n v="77.599999999999994"/>
    <n v="310.39999999999998"/>
    <d v="2025-01-17T00:00:00"/>
    <d v="2025-01-18T00:00:00"/>
    <x v="0"/>
    <x v="2"/>
    <n v="4"/>
    <x v="0"/>
    <x v="3"/>
    <n v="1"/>
    <n v="3"/>
    <x v="0"/>
  </r>
  <r>
    <x v="374"/>
    <x v="13"/>
    <n v="5"/>
    <n v="65.5"/>
    <n v="327.5"/>
    <d v="2025-01-17T00:00:00"/>
    <d v="2025-01-17T00:00:00"/>
    <x v="1"/>
    <x v="1"/>
    <n v="4"/>
    <x v="0"/>
    <x v="3"/>
    <n v="0"/>
    <n v="3"/>
    <x v="1"/>
  </r>
  <r>
    <x v="375"/>
    <x v="6"/>
    <n v="3"/>
    <n v="90.1"/>
    <n v="270.29999999999995"/>
    <d v="2025-01-17T00:00:00"/>
    <d v="2025-01-19T00:00:00"/>
    <x v="2"/>
    <x v="0"/>
    <n v="4"/>
    <x v="0"/>
    <x v="3"/>
    <n v="2"/>
    <n v="3"/>
    <x v="2"/>
  </r>
  <r>
    <x v="376"/>
    <x v="1"/>
    <n v="2"/>
    <n v="108.3"/>
    <n v="216.6"/>
    <d v="2025-01-17T00:00:00"/>
    <d v="2025-01-20T00:00:00"/>
    <x v="3"/>
    <x v="4"/>
    <n v="4"/>
    <x v="0"/>
    <x v="3"/>
    <n v="3"/>
    <n v="3"/>
    <x v="3"/>
  </r>
  <r>
    <x v="377"/>
    <x v="5"/>
    <n v="3"/>
    <n v="59.9"/>
    <n v="179.7"/>
    <d v="2025-01-17T00:00:00"/>
    <d v="2025-01-21T00:00:00"/>
    <x v="2"/>
    <x v="0"/>
    <n v="4"/>
    <x v="0"/>
    <x v="3"/>
    <n v="4"/>
    <n v="3"/>
    <x v="2"/>
  </r>
  <r>
    <x v="378"/>
    <x v="2"/>
    <n v="17"/>
    <n v="139"/>
    <n v="2363"/>
    <d v="2025-01-17T00:00:00"/>
    <d v="2025-01-19T00:00:00"/>
    <x v="2"/>
    <x v="1"/>
    <n v="2"/>
    <x v="0"/>
    <x v="3"/>
    <n v="2"/>
    <n v="3"/>
    <x v="2"/>
  </r>
  <r>
    <x v="379"/>
    <x v="6"/>
    <n v="3"/>
    <n v="87.3"/>
    <n v="261.89999999999998"/>
    <d v="2025-01-17T00:00:00"/>
    <d v="2025-01-18T00:00:00"/>
    <x v="2"/>
    <x v="0"/>
    <n v="4"/>
    <x v="0"/>
    <x v="3"/>
    <n v="1"/>
    <n v="3"/>
    <x v="2"/>
  </r>
  <r>
    <x v="380"/>
    <x v="11"/>
    <n v="4"/>
    <n v="42.3"/>
    <n v="169.2"/>
    <d v="2025-01-17T00:00:00"/>
    <d v="2025-01-17T00:00:00"/>
    <x v="1"/>
    <x v="0"/>
    <n v="4"/>
    <x v="0"/>
    <x v="3"/>
    <n v="0"/>
    <n v="3"/>
    <x v="1"/>
  </r>
  <r>
    <x v="381"/>
    <x v="14"/>
    <n v="8"/>
    <n v="103.6"/>
    <n v="828.8"/>
    <d v="2025-01-17T00:00:00"/>
    <d v="2025-01-18T00:00:00"/>
    <x v="3"/>
    <x v="0"/>
    <n v="3"/>
    <x v="0"/>
    <x v="3"/>
    <n v="1"/>
    <n v="3"/>
    <x v="3"/>
  </r>
  <r>
    <x v="382"/>
    <x v="6"/>
    <n v="2"/>
    <n v="90.9"/>
    <n v="181.8"/>
    <d v="2025-01-17T00:00:00"/>
    <d v="2025-01-18T00:00:00"/>
    <x v="1"/>
    <x v="1"/>
    <n v="4"/>
    <x v="0"/>
    <x v="6"/>
    <n v="1"/>
    <n v="3"/>
    <x v="1"/>
  </r>
  <r>
    <x v="383"/>
    <x v="9"/>
    <n v="16"/>
    <n v="100.9"/>
    <n v="1614.4"/>
    <d v="2025-01-17T00:00:00"/>
    <d v="2025-01-18T00:00:00"/>
    <x v="2"/>
    <x v="1"/>
    <n v="4"/>
    <x v="0"/>
    <x v="6"/>
    <n v="1"/>
    <n v="3"/>
    <x v="2"/>
  </r>
  <r>
    <x v="384"/>
    <x v="4"/>
    <n v="5"/>
    <n v="36"/>
    <n v="180"/>
    <d v="2025-01-17T00:00:00"/>
    <d v="2025-01-19T00:00:00"/>
    <x v="2"/>
    <x v="1"/>
    <n v="4"/>
    <x v="0"/>
    <x v="7"/>
    <n v="2"/>
    <n v="3"/>
    <x v="2"/>
  </r>
  <r>
    <x v="385"/>
    <x v="6"/>
    <n v="6"/>
    <n v="83.3"/>
    <n v="499.79999999999995"/>
    <d v="2025-01-17T00:00:00"/>
    <d v="2025-01-20T00:00:00"/>
    <x v="0"/>
    <x v="2"/>
    <n v="4"/>
    <x v="0"/>
    <x v="7"/>
    <n v="3"/>
    <n v="3"/>
    <x v="0"/>
  </r>
  <r>
    <x v="386"/>
    <x v="2"/>
    <n v="17"/>
    <n v="60.3"/>
    <n v="1025.0999999999999"/>
    <d v="2025-01-17T00:00:00"/>
    <d v="2025-01-18T00:00:00"/>
    <x v="1"/>
    <x v="2"/>
    <n v="3"/>
    <x v="0"/>
    <x v="7"/>
    <n v="1"/>
    <n v="3"/>
    <x v="1"/>
  </r>
  <r>
    <x v="387"/>
    <x v="2"/>
    <n v="6"/>
    <n v="120.3"/>
    <n v="721.8"/>
    <d v="2025-01-17T00:00:00"/>
    <d v="2025-01-18T00:00:00"/>
    <x v="1"/>
    <x v="2"/>
    <n v="4"/>
    <x v="0"/>
    <x v="8"/>
    <n v="1"/>
    <n v="3"/>
    <x v="1"/>
  </r>
  <r>
    <x v="388"/>
    <x v="4"/>
    <n v="10"/>
    <n v="34"/>
    <n v="340"/>
    <d v="2025-01-17T00:00:00"/>
    <d v="2025-01-21T00:00:00"/>
    <x v="2"/>
    <x v="2"/>
    <n v="4"/>
    <x v="0"/>
    <x v="8"/>
    <n v="4"/>
    <n v="3"/>
    <x v="2"/>
  </r>
  <r>
    <x v="389"/>
    <x v="10"/>
    <n v="5"/>
    <n v="42.6"/>
    <n v="213"/>
    <d v="2025-01-17T00:00:00"/>
    <d v="2025-01-20T00:00:00"/>
    <x v="1"/>
    <x v="1"/>
    <n v="4"/>
    <x v="0"/>
    <x v="8"/>
    <n v="3"/>
    <n v="3"/>
    <x v="1"/>
  </r>
  <r>
    <x v="390"/>
    <x v="5"/>
    <n v="20"/>
    <n v="47.4"/>
    <n v="948"/>
    <d v="2025-01-17T00:00:00"/>
    <d v="2025-01-17T00:00:00"/>
    <x v="2"/>
    <x v="2"/>
    <n v="3"/>
    <x v="0"/>
    <x v="17"/>
    <n v="0"/>
    <n v="3"/>
    <x v="2"/>
  </r>
  <r>
    <x v="391"/>
    <x v="2"/>
    <n v="1"/>
    <n v="74"/>
    <n v="74"/>
    <d v="2025-01-18T00:00:00"/>
    <d v="2025-01-19T00:00:00"/>
    <x v="1"/>
    <x v="1"/>
    <n v="4"/>
    <x v="0"/>
    <x v="11"/>
    <n v="1"/>
    <n v="3"/>
    <x v="1"/>
  </r>
  <r>
    <x v="392"/>
    <x v="2"/>
    <n v="5"/>
    <n v="60.4"/>
    <n v="302"/>
    <d v="2025-01-18T00:00:00"/>
    <d v="2025-01-21T00:00:00"/>
    <x v="2"/>
    <x v="1"/>
    <n v="2"/>
    <x v="0"/>
    <x v="18"/>
    <n v="3"/>
    <n v="3"/>
    <x v="2"/>
  </r>
  <r>
    <x v="393"/>
    <x v="12"/>
    <n v="2"/>
    <n v="69.3"/>
    <n v="138.6"/>
    <d v="2025-01-18T00:00:00"/>
    <d v="2025-01-21T00:00:00"/>
    <x v="1"/>
    <x v="1"/>
    <n v="3"/>
    <x v="0"/>
    <x v="13"/>
    <n v="3"/>
    <n v="3"/>
    <x v="1"/>
  </r>
  <r>
    <x v="394"/>
    <x v="5"/>
    <n v="5"/>
    <n v="81"/>
    <n v="405"/>
    <d v="2025-01-18T00:00:00"/>
    <d v="2025-01-24T00:00:00"/>
    <x v="1"/>
    <x v="3"/>
    <n v="4"/>
    <x v="0"/>
    <x v="21"/>
    <n v="6"/>
    <n v="3"/>
    <x v="1"/>
  </r>
  <r>
    <x v="395"/>
    <x v="15"/>
    <n v="3"/>
    <n v="41.5"/>
    <n v="124.5"/>
    <d v="2025-01-18T00:00:00"/>
    <d v="2025-01-20T00:00:00"/>
    <x v="3"/>
    <x v="1"/>
    <n v="4"/>
    <x v="0"/>
    <x v="21"/>
    <n v="2"/>
    <n v="3"/>
    <x v="3"/>
  </r>
  <r>
    <x v="396"/>
    <x v="18"/>
    <n v="2"/>
    <n v="69.7"/>
    <n v="139.4"/>
    <d v="2025-01-18T00:00:00"/>
    <d v="2025-01-23T00:00:00"/>
    <x v="1"/>
    <x v="1"/>
    <n v="4"/>
    <x v="0"/>
    <x v="21"/>
    <n v="5"/>
    <n v="3"/>
    <x v="1"/>
  </r>
  <r>
    <x v="397"/>
    <x v="2"/>
    <n v="5"/>
    <n v="83.6"/>
    <n v="418"/>
    <d v="2025-01-18T00:00:00"/>
    <d v="2025-01-18T00:00:00"/>
    <x v="2"/>
    <x v="4"/>
    <n v="4"/>
    <x v="0"/>
    <x v="1"/>
    <n v="0"/>
    <n v="3"/>
    <x v="2"/>
  </r>
  <r>
    <x v="398"/>
    <x v="8"/>
    <n v="7"/>
    <n v="21.5"/>
    <n v="150.5"/>
    <d v="2025-01-18T00:00:00"/>
    <d v="2025-01-20T00:00:00"/>
    <x v="1"/>
    <x v="1"/>
    <n v="2"/>
    <x v="0"/>
    <x v="34"/>
    <n v="2"/>
    <n v="3"/>
    <x v="1"/>
  </r>
  <r>
    <x v="399"/>
    <x v="8"/>
    <n v="8"/>
    <n v="28.6"/>
    <n v="228.8"/>
    <d v="2025-01-18T00:00:00"/>
    <d v="2025-01-19T00:00:00"/>
    <x v="1"/>
    <x v="0"/>
    <n v="4"/>
    <x v="0"/>
    <x v="3"/>
    <n v="1"/>
    <n v="3"/>
    <x v="1"/>
  </r>
  <r>
    <x v="400"/>
    <x v="8"/>
    <n v="6"/>
    <n v="18.8"/>
    <n v="112.80000000000001"/>
    <d v="2025-01-18T00:00:00"/>
    <d v="2025-01-21T00:00:00"/>
    <x v="1"/>
    <x v="3"/>
    <n v="5"/>
    <x v="0"/>
    <x v="3"/>
    <n v="3"/>
    <n v="3"/>
    <x v="1"/>
  </r>
  <r>
    <x v="401"/>
    <x v="10"/>
    <n v="4"/>
    <n v="35.1"/>
    <n v="140.4"/>
    <d v="2025-01-18T00:00:00"/>
    <d v="2025-01-18T00:00:00"/>
    <x v="2"/>
    <x v="1"/>
    <n v="3"/>
    <x v="0"/>
    <x v="3"/>
    <n v="0"/>
    <n v="3"/>
    <x v="2"/>
  </r>
  <r>
    <x v="402"/>
    <x v="0"/>
    <n v="2"/>
    <n v="12.7"/>
    <n v="25.4"/>
    <d v="2025-01-18T00:00:00"/>
    <d v="2025-01-20T00:00:00"/>
    <x v="2"/>
    <x v="1"/>
    <n v="5"/>
    <x v="0"/>
    <x v="3"/>
    <n v="2"/>
    <n v="3"/>
    <x v="2"/>
  </r>
  <r>
    <x v="403"/>
    <x v="8"/>
    <n v="5"/>
    <n v="27.4"/>
    <n v="137"/>
    <d v="2025-01-18T00:00:00"/>
    <d v="2025-01-20T00:00:00"/>
    <x v="3"/>
    <x v="0"/>
    <n v="4"/>
    <x v="0"/>
    <x v="3"/>
    <n v="2"/>
    <n v="3"/>
    <x v="3"/>
  </r>
  <r>
    <x v="404"/>
    <x v="10"/>
    <n v="2"/>
    <n v="61.3"/>
    <n v="122.6"/>
    <d v="2025-01-18T00:00:00"/>
    <d v="2025-01-19T00:00:00"/>
    <x v="2"/>
    <x v="1"/>
    <n v="4"/>
    <x v="0"/>
    <x v="6"/>
    <n v="1"/>
    <n v="3"/>
    <x v="2"/>
  </r>
  <r>
    <x v="405"/>
    <x v="8"/>
    <n v="2"/>
    <n v="64.7"/>
    <n v="129.4"/>
    <d v="2025-01-18T00:00:00"/>
    <d v="2025-01-20T00:00:00"/>
    <x v="2"/>
    <x v="3"/>
    <n v="5"/>
    <x v="0"/>
    <x v="6"/>
    <n v="2"/>
    <n v="3"/>
    <x v="2"/>
  </r>
  <r>
    <x v="406"/>
    <x v="7"/>
    <n v="4"/>
    <n v="91.4"/>
    <n v="365.6"/>
    <d v="2025-01-18T00:00:00"/>
    <d v="2025-01-20T00:00:00"/>
    <x v="2"/>
    <x v="0"/>
    <n v="4"/>
    <x v="0"/>
    <x v="8"/>
    <n v="2"/>
    <n v="3"/>
    <x v="2"/>
  </r>
  <r>
    <x v="407"/>
    <x v="0"/>
    <n v="2"/>
    <n v="33.1"/>
    <n v="66.2"/>
    <d v="2025-01-19T00:00:00"/>
    <d v="2025-01-20T00:00:00"/>
    <x v="1"/>
    <x v="0"/>
    <n v="5"/>
    <x v="0"/>
    <x v="8"/>
    <n v="1"/>
    <n v="4"/>
    <x v="1"/>
  </r>
  <r>
    <x v="408"/>
    <x v="3"/>
    <n v="2"/>
    <n v="105.6"/>
    <n v="211.2"/>
    <d v="2025-01-19T00:00:00"/>
    <d v="2025-01-20T00:00:00"/>
    <x v="1"/>
    <x v="2"/>
    <n v="3"/>
    <x v="0"/>
    <x v="8"/>
    <n v="1"/>
    <n v="4"/>
    <x v="1"/>
  </r>
  <r>
    <x v="409"/>
    <x v="10"/>
    <n v="3"/>
    <n v="46.4"/>
    <n v="139.19999999999999"/>
    <d v="2025-01-19T00:00:00"/>
    <d v="2025-01-20T00:00:00"/>
    <x v="1"/>
    <x v="2"/>
    <n v="4"/>
    <x v="0"/>
    <x v="9"/>
    <n v="1"/>
    <n v="4"/>
    <x v="1"/>
  </r>
  <r>
    <x v="410"/>
    <x v="9"/>
    <n v="14"/>
    <n v="35.299999999999997"/>
    <n v="494.19999999999993"/>
    <d v="2025-01-19T00:00:00"/>
    <d v="2025-01-22T00:00:00"/>
    <x v="2"/>
    <x v="4"/>
    <n v="3"/>
    <x v="0"/>
    <x v="11"/>
    <n v="3"/>
    <n v="4"/>
    <x v="2"/>
  </r>
  <r>
    <x v="411"/>
    <x v="0"/>
    <n v="2"/>
    <n v="16.100000000000001"/>
    <n v="32.200000000000003"/>
    <d v="2025-01-19T00:00:00"/>
    <d v="2025-01-21T00:00:00"/>
    <x v="1"/>
    <x v="3"/>
    <n v="5"/>
    <x v="0"/>
    <x v="32"/>
    <n v="2"/>
    <n v="4"/>
    <x v="1"/>
  </r>
  <r>
    <x v="412"/>
    <x v="4"/>
    <n v="2"/>
    <n v="27.9"/>
    <n v="55.8"/>
    <d v="2025-01-19T00:00:00"/>
    <d v="2025-01-22T00:00:00"/>
    <x v="1"/>
    <x v="0"/>
    <n v="4"/>
    <x v="0"/>
    <x v="13"/>
    <n v="3"/>
    <n v="4"/>
    <x v="1"/>
  </r>
  <r>
    <x v="413"/>
    <x v="8"/>
    <n v="1"/>
    <n v="47.1"/>
    <n v="47.1"/>
    <d v="2025-01-19T00:00:00"/>
    <d v="2025-01-27T00:00:00"/>
    <x v="2"/>
    <x v="1"/>
    <n v="4"/>
    <x v="0"/>
    <x v="2"/>
    <n v="8"/>
    <n v="4"/>
    <x v="2"/>
  </r>
  <r>
    <x v="414"/>
    <x v="6"/>
    <n v="2"/>
    <n v="85"/>
    <n v="170"/>
    <d v="2025-01-19T00:00:00"/>
    <d v="2025-01-22T00:00:00"/>
    <x v="0"/>
    <x v="2"/>
    <n v="5"/>
    <x v="0"/>
    <x v="22"/>
    <n v="3"/>
    <n v="4"/>
    <x v="0"/>
  </r>
  <r>
    <x v="415"/>
    <x v="18"/>
    <n v="2"/>
    <n v="89"/>
    <n v="178"/>
    <d v="2025-01-19T00:00:00"/>
    <d v="2025-01-21T00:00:00"/>
    <x v="2"/>
    <x v="0"/>
    <n v="4"/>
    <x v="0"/>
    <x v="3"/>
    <n v="2"/>
    <n v="4"/>
    <x v="2"/>
  </r>
  <r>
    <x v="416"/>
    <x v="16"/>
    <n v="3"/>
    <n v="36.6"/>
    <n v="109.80000000000001"/>
    <d v="2025-01-19T00:00:00"/>
    <d v="2025-01-20T00:00:00"/>
    <x v="3"/>
    <x v="3"/>
    <n v="5"/>
    <x v="0"/>
    <x v="3"/>
    <n v="1"/>
    <n v="4"/>
    <x v="3"/>
  </r>
  <r>
    <x v="417"/>
    <x v="6"/>
    <n v="7"/>
    <n v="43.5"/>
    <n v="304.5"/>
    <d v="2025-01-19T00:00:00"/>
    <d v="2025-01-20T00:00:00"/>
    <x v="1"/>
    <x v="1"/>
    <n v="5"/>
    <x v="0"/>
    <x v="3"/>
    <n v="1"/>
    <n v="4"/>
    <x v="1"/>
  </r>
  <r>
    <x v="418"/>
    <x v="9"/>
    <n v="19"/>
    <n v="30.5"/>
    <n v="579.5"/>
    <d v="2025-01-19T00:00:00"/>
    <d v="2025-01-19T00:00:00"/>
    <x v="2"/>
    <x v="3"/>
    <n v="4"/>
    <x v="0"/>
    <x v="3"/>
    <n v="0"/>
    <n v="4"/>
    <x v="2"/>
  </r>
  <r>
    <x v="419"/>
    <x v="1"/>
    <n v="2"/>
    <n v="107.7"/>
    <n v="215.4"/>
    <d v="2025-01-19T00:00:00"/>
    <d v="2025-01-23T00:00:00"/>
    <x v="1"/>
    <x v="3"/>
    <n v="2"/>
    <x v="0"/>
    <x v="3"/>
    <n v="4"/>
    <n v="4"/>
    <x v="1"/>
  </r>
  <r>
    <x v="420"/>
    <x v="17"/>
    <n v="26"/>
    <n v="57.1"/>
    <n v="1484.6000000000001"/>
    <d v="2025-01-19T00:00:00"/>
    <d v="2025-01-20T00:00:00"/>
    <x v="1"/>
    <x v="1"/>
    <n v="4"/>
    <x v="0"/>
    <x v="3"/>
    <n v="1"/>
    <n v="4"/>
    <x v="1"/>
  </r>
  <r>
    <x v="421"/>
    <x v="2"/>
    <n v="10"/>
    <n v="111.7"/>
    <n v="1117"/>
    <d v="2025-01-19T00:00:00"/>
    <d v="2025-01-20T00:00:00"/>
    <x v="2"/>
    <x v="4"/>
    <n v="5"/>
    <x v="0"/>
    <x v="3"/>
    <n v="1"/>
    <n v="4"/>
    <x v="2"/>
  </r>
  <r>
    <x v="422"/>
    <x v="18"/>
    <n v="7"/>
    <n v="44.3"/>
    <n v="310.09999999999997"/>
    <d v="2025-01-19T00:00:00"/>
    <d v="2025-01-22T00:00:00"/>
    <x v="1"/>
    <x v="3"/>
    <n v="5"/>
    <x v="0"/>
    <x v="3"/>
    <n v="3"/>
    <n v="4"/>
    <x v="1"/>
  </r>
  <r>
    <x v="423"/>
    <x v="2"/>
    <n v="8"/>
    <n v="95.8"/>
    <n v="766.4"/>
    <d v="2025-01-19T00:00:00"/>
    <d v="2025-01-25T00:00:00"/>
    <x v="3"/>
    <x v="0"/>
    <n v="4"/>
    <x v="0"/>
    <x v="3"/>
    <n v="6"/>
    <n v="4"/>
    <x v="3"/>
  </r>
  <r>
    <x v="424"/>
    <x v="10"/>
    <n v="7"/>
    <n v="22.6"/>
    <n v="158.20000000000002"/>
    <d v="2025-01-19T00:00:00"/>
    <d v="2025-01-22T00:00:00"/>
    <x v="2"/>
    <x v="3"/>
    <n v="3"/>
    <x v="0"/>
    <x v="3"/>
    <n v="3"/>
    <n v="4"/>
    <x v="2"/>
  </r>
  <r>
    <x v="425"/>
    <x v="8"/>
    <n v="8"/>
    <n v="25.6"/>
    <n v="204.8"/>
    <d v="2025-01-19T00:00:00"/>
    <d v="2025-01-21T00:00:00"/>
    <x v="2"/>
    <x v="4"/>
    <n v="4"/>
    <x v="0"/>
    <x v="3"/>
    <n v="2"/>
    <n v="4"/>
    <x v="2"/>
  </r>
  <r>
    <x v="426"/>
    <x v="6"/>
    <n v="16"/>
    <n v="54.3"/>
    <n v="868.8"/>
    <d v="2025-01-19T00:00:00"/>
    <d v="2025-01-22T00:00:00"/>
    <x v="2"/>
    <x v="4"/>
    <n v="4"/>
    <x v="0"/>
    <x v="3"/>
    <n v="3"/>
    <n v="4"/>
    <x v="2"/>
  </r>
  <r>
    <x v="427"/>
    <x v="18"/>
    <n v="13"/>
    <n v="51.3"/>
    <n v="666.9"/>
    <d v="2025-01-19T00:00:00"/>
    <d v="2025-01-21T00:00:00"/>
    <x v="1"/>
    <x v="0"/>
    <n v="5"/>
    <x v="0"/>
    <x v="3"/>
    <n v="2"/>
    <n v="4"/>
    <x v="1"/>
  </r>
  <r>
    <x v="428"/>
    <x v="0"/>
    <n v="8"/>
    <n v="25.6"/>
    <n v="204.8"/>
    <d v="2025-01-19T00:00:00"/>
    <d v="2025-01-20T00:00:00"/>
    <x v="2"/>
    <x v="1"/>
    <n v="3"/>
    <x v="0"/>
    <x v="3"/>
    <n v="1"/>
    <n v="4"/>
    <x v="2"/>
  </r>
  <r>
    <x v="429"/>
    <x v="0"/>
    <n v="2"/>
    <n v="15.6"/>
    <n v="31.2"/>
    <d v="2025-01-19T00:00:00"/>
    <d v="2025-01-20T00:00:00"/>
    <x v="2"/>
    <x v="2"/>
    <n v="5"/>
    <x v="0"/>
    <x v="3"/>
    <n v="1"/>
    <n v="4"/>
    <x v="2"/>
  </r>
  <r>
    <x v="430"/>
    <x v="8"/>
    <n v="3"/>
    <n v="30.3"/>
    <n v="90.9"/>
    <d v="2025-01-19T00:00:00"/>
    <d v="2025-01-23T00:00:00"/>
    <x v="2"/>
    <x v="0"/>
    <n v="3"/>
    <x v="0"/>
    <x v="3"/>
    <n v="4"/>
    <n v="4"/>
    <x v="2"/>
  </r>
  <r>
    <x v="431"/>
    <x v="12"/>
    <n v="2"/>
    <n v="30.3"/>
    <n v="60.6"/>
    <d v="2025-01-19T00:00:00"/>
    <d v="2025-01-24T00:00:00"/>
    <x v="2"/>
    <x v="0"/>
    <n v="5"/>
    <x v="0"/>
    <x v="37"/>
    <n v="5"/>
    <n v="4"/>
    <x v="2"/>
  </r>
  <r>
    <x v="432"/>
    <x v="10"/>
    <n v="3"/>
    <n v="53"/>
    <n v="159"/>
    <d v="2025-01-19T00:00:00"/>
    <d v="2025-01-26T00:00:00"/>
    <x v="2"/>
    <x v="2"/>
    <n v="4"/>
    <x v="0"/>
    <x v="24"/>
    <n v="7"/>
    <n v="4"/>
    <x v="2"/>
  </r>
  <r>
    <x v="433"/>
    <x v="5"/>
    <n v="18"/>
    <n v="59.9"/>
    <n v="1078.2"/>
    <d v="2025-01-19T00:00:00"/>
    <d v="2025-01-22T00:00:00"/>
    <x v="1"/>
    <x v="2"/>
    <n v="2"/>
    <x v="0"/>
    <x v="25"/>
    <n v="3"/>
    <n v="4"/>
    <x v="1"/>
  </r>
  <r>
    <x v="434"/>
    <x v="9"/>
    <n v="2"/>
    <n v="45.7"/>
    <n v="91.4"/>
    <d v="2025-01-19T00:00:00"/>
    <d v="2025-01-20T00:00:00"/>
    <x v="2"/>
    <x v="1"/>
    <n v="5"/>
    <x v="0"/>
    <x v="6"/>
    <n v="1"/>
    <n v="4"/>
    <x v="2"/>
  </r>
  <r>
    <x v="435"/>
    <x v="8"/>
    <n v="4"/>
    <n v="46.1"/>
    <n v="184.4"/>
    <d v="2025-01-19T00:00:00"/>
    <d v="2025-01-20T00:00:00"/>
    <x v="1"/>
    <x v="0"/>
    <n v="4"/>
    <x v="0"/>
    <x v="6"/>
    <n v="1"/>
    <n v="4"/>
    <x v="1"/>
  </r>
  <r>
    <x v="436"/>
    <x v="8"/>
    <n v="3"/>
    <n v="17.5"/>
    <n v="52.5"/>
    <d v="2025-01-19T00:00:00"/>
    <d v="2025-01-20T00:00:00"/>
    <x v="2"/>
    <x v="0"/>
    <n v="5"/>
    <x v="0"/>
    <x v="8"/>
    <n v="1"/>
    <n v="4"/>
    <x v="2"/>
  </r>
  <r>
    <x v="437"/>
    <x v="10"/>
    <n v="3"/>
    <n v="36.5"/>
    <n v="109.5"/>
    <d v="2025-01-19T00:00:00"/>
    <d v="2025-01-30T00:00:00"/>
    <x v="1"/>
    <x v="2"/>
    <n v="4"/>
    <x v="0"/>
    <x v="8"/>
    <n v="11"/>
    <n v="4"/>
    <x v="1"/>
  </r>
  <r>
    <x v="438"/>
    <x v="8"/>
    <n v="2"/>
    <n v="47.5"/>
    <n v="95"/>
    <d v="2025-01-20T00:00:00"/>
    <d v="2025-01-22T00:00:00"/>
    <x v="2"/>
    <x v="1"/>
    <n v="4"/>
    <x v="0"/>
    <x v="8"/>
    <n v="2"/>
    <n v="4"/>
    <x v="2"/>
  </r>
  <r>
    <x v="439"/>
    <x v="6"/>
    <n v="5"/>
    <n v="45.6"/>
    <n v="228"/>
    <d v="2025-01-20T00:00:00"/>
    <d v="2025-01-22T00:00:00"/>
    <x v="2"/>
    <x v="0"/>
    <n v="5"/>
    <x v="0"/>
    <x v="8"/>
    <n v="2"/>
    <n v="4"/>
    <x v="2"/>
  </r>
  <r>
    <x v="440"/>
    <x v="9"/>
    <n v="2"/>
    <n v="50.5"/>
    <n v="101"/>
    <d v="2025-01-20T00:00:00"/>
    <d v="2025-01-22T00:00:00"/>
    <x v="1"/>
    <x v="0"/>
    <n v="3"/>
    <x v="0"/>
    <x v="17"/>
    <n v="2"/>
    <n v="4"/>
    <x v="1"/>
  </r>
  <r>
    <x v="441"/>
    <x v="2"/>
    <n v="10"/>
    <n v="99.8"/>
    <n v="998"/>
    <d v="2025-01-20T00:00:00"/>
    <d v="2025-01-23T00:00:00"/>
    <x v="2"/>
    <x v="2"/>
    <n v="3"/>
    <x v="0"/>
    <x v="17"/>
    <n v="3"/>
    <n v="4"/>
    <x v="2"/>
  </r>
  <r>
    <x v="442"/>
    <x v="8"/>
    <n v="15"/>
    <n v="19.2"/>
    <n v="288"/>
    <d v="2025-01-20T00:00:00"/>
    <d v="2025-01-22T00:00:00"/>
    <x v="3"/>
    <x v="4"/>
    <n v="3"/>
    <x v="0"/>
    <x v="26"/>
    <n v="2"/>
    <n v="4"/>
    <x v="3"/>
  </r>
  <r>
    <x v="443"/>
    <x v="17"/>
    <n v="3"/>
    <n v="22.6"/>
    <n v="67.800000000000011"/>
    <d v="2025-01-20T00:00:00"/>
    <d v="2025-01-21T00:00:00"/>
    <x v="1"/>
    <x v="1"/>
    <n v="4"/>
    <x v="0"/>
    <x v="11"/>
    <n v="1"/>
    <n v="4"/>
    <x v="1"/>
  </r>
  <r>
    <x v="444"/>
    <x v="1"/>
    <n v="15"/>
    <n v="126.9"/>
    <n v="1903.5"/>
    <d v="2025-01-20T00:00:00"/>
    <d v="2025-01-22T00:00:00"/>
    <x v="2"/>
    <x v="0"/>
    <n v="5"/>
    <x v="0"/>
    <x v="11"/>
    <n v="2"/>
    <n v="4"/>
    <x v="2"/>
  </r>
  <r>
    <x v="445"/>
    <x v="2"/>
    <n v="2"/>
    <n v="100.3"/>
    <n v="200.6"/>
    <d v="2025-01-20T00:00:00"/>
    <d v="2025-01-21T00:00:00"/>
    <x v="2"/>
    <x v="0"/>
    <n v="3"/>
    <x v="0"/>
    <x v="11"/>
    <n v="1"/>
    <n v="4"/>
    <x v="2"/>
  </r>
  <r>
    <x v="446"/>
    <x v="4"/>
    <n v="18"/>
    <n v="24.6"/>
    <n v="442.8"/>
    <d v="2025-01-20T00:00:00"/>
    <d v="2025-01-21T00:00:00"/>
    <x v="2"/>
    <x v="4"/>
    <n v="4"/>
    <x v="0"/>
    <x v="13"/>
    <n v="1"/>
    <n v="4"/>
    <x v="2"/>
  </r>
  <r>
    <x v="447"/>
    <x v="6"/>
    <n v="2"/>
    <n v="47.3"/>
    <n v="94.6"/>
    <d v="2025-01-20T00:00:00"/>
    <d v="2025-01-21T00:00:00"/>
    <x v="1"/>
    <x v="1"/>
    <n v="5"/>
    <x v="0"/>
    <x v="13"/>
    <n v="1"/>
    <n v="4"/>
    <x v="1"/>
  </r>
  <r>
    <x v="448"/>
    <x v="6"/>
    <n v="7"/>
    <n v="40.799999999999997"/>
    <n v="285.59999999999997"/>
    <d v="2025-01-20T00:00:00"/>
    <d v="2025-01-23T00:00:00"/>
    <x v="2"/>
    <x v="2"/>
    <n v="5"/>
    <x v="0"/>
    <x v="21"/>
    <n v="3"/>
    <n v="4"/>
    <x v="2"/>
  </r>
  <r>
    <x v="449"/>
    <x v="8"/>
    <n v="8"/>
    <n v="49.2"/>
    <n v="393.6"/>
    <d v="2025-01-20T00:00:00"/>
    <d v="2025-01-22T00:00:00"/>
    <x v="2"/>
    <x v="0"/>
    <n v="4"/>
    <x v="0"/>
    <x v="1"/>
    <n v="2"/>
    <n v="4"/>
    <x v="2"/>
  </r>
  <r>
    <x v="450"/>
    <x v="8"/>
    <n v="1"/>
    <n v="28.5"/>
    <n v="28.5"/>
    <d v="2025-01-20T00:00:00"/>
    <d v="2025-01-22T00:00:00"/>
    <x v="0"/>
    <x v="2"/>
    <n v="3"/>
    <x v="0"/>
    <x v="3"/>
    <n v="2"/>
    <n v="4"/>
    <x v="0"/>
  </r>
  <r>
    <x v="451"/>
    <x v="18"/>
    <n v="2"/>
    <n v="36.799999999999997"/>
    <n v="73.599999999999994"/>
    <d v="2025-01-20T00:00:00"/>
    <d v="2025-01-26T00:00:00"/>
    <x v="2"/>
    <x v="0"/>
    <n v="5"/>
    <x v="0"/>
    <x v="3"/>
    <n v="6"/>
    <n v="4"/>
    <x v="2"/>
  </r>
  <r>
    <x v="452"/>
    <x v="7"/>
    <n v="3"/>
    <n v="33.5"/>
    <n v="100.5"/>
    <d v="2025-01-20T00:00:00"/>
    <d v="2025-01-21T00:00:00"/>
    <x v="2"/>
    <x v="0"/>
    <n v="3"/>
    <x v="0"/>
    <x v="3"/>
    <n v="1"/>
    <n v="4"/>
    <x v="2"/>
  </r>
  <r>
    <x v="453"/>
    <x v="6"/>
    <n v="6"/>
    <n v="62.5"/>
    <n v="375"/>
    <d v="2025-01-20T00:00:00"/>
    <d v="2025-01-22T00:00:00"/>
    <x v="2"/>
    <x v="0"/>
    <n v="4"/>
    <x v="0"/>
    <x v="3"/>
    <n v="2"/>
    <n v="4"/>
    <x v="2"/>
  </r>
  <r>
    <x v="454"/>
    <x v="8"/>
    <n v="40"/>
    <n v="47.9"/>
    <n v="1916"/>
    <d v="2025-01-20T00:00:00"/>
    <d v="2025-01-21T00:00:00"/>
    <x v="2"/>
    <x v="3"/>
    <n v="4"/>
    <x v="0"/>
    <x v="3"/>
    <n v="1"/>
    <n v="4"/>
    <x v="2"/>
  </r>
  <r>
    <x v="455"/>
    <x v="6"/>
    <n v="6"/>
    <n v="92.9"/>
    <n v="557.40000000000009"/>
    <d v="2025-01-20T00:00:00"/>
    <d v="2025-01-31T00:00:00"/>
    <x v="2"/>
    <x v="0"/>
    <n v="2"/>
    <x v="0"/>
    <x v="3"/>
    <n v="11"/>
    <n v="4"/>
    <x v="2"/>
  </r>
  <r>
    <x v="456"/>
    <x v="12"/>
    <n v="3"/>
    <n v="44.1"/>
    <n v="132.30000000000001"/>
    <d v="2025-01-20T00:00:00"/>
    <d v="2025-01-20T00:00:00"/>
    <x v="2"/>
    <x v="1"/>
    <n v="3"/>
    <x v="0"/>
    <x v="43"/>
    <n v="0"/>
    <n v="4"/>
    <x v="2"/>
  </r>
  <r>
    <x v="457"/>
    <x v="0"/>
    <n v="1"/>
    <n v="11.4"/>
    <n v="11.4"/>
    <d v="2025-01-21T00:00:00"/>
    <d v="2025-01-23T00:00:00"/>
    <x v="2"/>
    <x v="2"/>
    <n v="4"/>
    <x v="0"/>
    <x v="5"/>
    <n v="2"/>
    <n v="4"/>
    <x v="2"/>
  </r>
  <r>
    <x v="458"/>
    <x v="6"/>
    <n v="1"/>
    <n v="83.7"/>
    <n v="83.7"/>
    <d v="2025-01-21T00:00:00"/>
    <d v="2025-01-23T00:00:00"/>
    <x v="2"/>
    <x v="0"/>
    <n v="5"/>
    <x v="0"/>
    <x v="6"/>
    <n v="2"/>
    <n v="4"/>
    <x v="2"/>
  </r>
  <r>
    <x v="459"/>
    <x v="10"/>
    <n v="2"/>
    <n v="23.2"/>
    <n v="46.4"/>
    <d v="2025-01-21T00:00:00"/>
    <d v="2025-01-22T00:00:00"/>
    <x v="1"/>
    <x v="2"/>
    <n v="4"/>
    <x v="0"/>
    <x v="8"/>
    <n v="1"/>
    <n v="4"/>
    <x v="1"/>
  </r>
  <r>
    <x v="460"/>
    <x v="2"/>
    <n v="1"/>
    <n v="162.1"/>
    <n v="162.1"/>
    <d v="2025-01-21T00:00:00"/>
    <d v="2025-01-24T00:00:00"/>
    <x v="2"/>
    <x v="0"/>
    <n v="5"/>
    <x v="0"/>
    <x v="9"/>
    <n v="3"/>
    <n v="4"/>
    <x v="2"/>
  </r>
  <r>
    <x v="461"/>
    <x v="6"/>
    <n v="4"/>
    <n v="49.2"/>
    <n v="196.8"/>
    <d v="2025-01-21T00:00:00"/>
    <d v="2025-01-25T00:00:00"/>
    <x v="1"/>
    <x v="1"/>
    <n v="4"/>
    <x v="0"/>
    <x v="9"/>
    <n v="4"/>
    <n v="4"/>
    <x v="1"/>
  </r>
  <r>
    <x v="462"/>
    <x v="1"/>
    <n v="2"/>
    <n v="61"/>
    <n v="122"/>
    <d v="2025-01-21T00:00:00"/>
    <d v="2025-01-22T00:00:00"/>
    <x v="1"/>
    <x v="3"/>
    <n v="4"/>
    <x v="0"/>
    <x v="10"/>
    <n v="1"/>
    <n v="4"/>
    <x v="1"/>
  </r>
  <r>
    <x v="463"/>
    <x v="2"/>
    <n v="10"/>
    <n v="53.1"/>
    <n v="531"/>
    <d v="2025-01-21T00:00:00"/>
    <d v="2025-01-23T00:00:00"/>
    <x v="1"/>
    <x v="0"/>
    <n v="4"/>
    <x v="0"/>
    <x v="11"/>
    <n v="2"/>
    <n v="4"/>
    <x v="1"/>
  </r>
  <r>
    <x v="464"/>
    <x v="4"/>
    <n v="2"/>
    <n v="22.4"/>
    <n v="44.8"/>
    <d v="2025-01-21T00:00:00"/>
    <d v="2025-01-23T00:00:00"/>
    <x v="0"/>
    <x v="1"/>
    <n v="5"/>
    <x v="0"/>
    <x v="13"/>
    <n v="2"/>
    <n v="4"/>
    <x v="0"/>
  </r>
  <r>
    <x v="465"/>
    <x v="1"/>
    <n v="5"/>
    <n v="75.3"/>
    <n v="376.5"/>
    <d v="2025-01-21T00:00:00"/>
    <d v="2025-01-22T00:00:00"/>
    <x v="1"/>
    <x v="0"/>
    <n v="4"/>
    <x v="0"/>
    <x v="21"/>
    <n v="1"/>
    <n v="4"/>
    <x v="1"/>
  </r>
  <r>
    <x v="466"/>
    <x v="6"/>
    <n v="1"/>
    <n v="48.5"/>
    <n v="48.5"/>
    <d v="2025-01-21T00:00:00"/>
    <d v="2025-01-22T00:00:00"/>
    <x v="2"/>
    <x v="0"/>
    <n v="3"/>
    <x v="0"/>
    <x v="21"/>
    <n v="1"/>
    <n v="4"/>
    <x v="2"/>
  </r>
  <r>
    <x v="467"/>
    <x v="6"/>
    <n v="1"/>
    <n v="42.6"/>
    <n v="42.6"/>
    <d v="2025-01-21T00:00:00"/>
    <d v="2025-01-25T00:00:00"/>
    <x v="2"/>
    <x v="3"/>
    <n v="4"/>
    <x v="0"/>
    <x v="1"/>
    <n v="4"/>
    <n v="4"/>
    <x v="2"/>
  </r>
  <r>
    <x v="468"/>
    <x v="5"/>
    <n v="5"/>
    <n v="49"/>
    <n v="245"/>
    <d v="2025-01-21T00:00:00"/>
    <d v="2025-01-22T00:00:00"/>
    <x v="1"/>
    <x v="0"/>
    <n v="4"/>
    <x v="0"/>
    <x v="22"/>
    <n v="1"/>
    <n v="4"/>
    <x v="1"/>
  </r>
  <r>
    <x v="469"/>
    <x v="8"/>
    <n v="3"/>
    <n v="31.3"/>
    <n v="93.9"/>
    <d v="2025-01-21T00:00:00"/>
    <d v="2025-01-22T00:00:00"/>
    <x v="1"/>
    <x v="2"/>
    <n v="3"/>
    <x v="0"/>
    <x v="3"/>
    <n v="1"/>
    <n v="4"/>
    <x v="1"/>
  </r>
  <r>
    <x v="470"/>
    <x v="2"/>
    <n v="2"/>
    <n v="85.4"/>
    <n v="170.8"/>
    <d v="2025-01-21T00:00:00"/>
    <d v="2025-01-22T00:00:00"/>
    <x v="2"/>
    <x v="2"/>
    <n v="4"/>
    <x v="0"/>
    <x v="3"/>
    <n v="1"/>
    <n v="4"/>
    <x v="2"/>
  </r>
  <r>
    <x v="471"/>
    <x v="8"/>
    <n v="4"/>
    <n v="40"/>
    <n v="160"/>
    <d v="2025-01-21T00:00:00"/>
    <d v="2025-01-22T00:00:00"/>
    <x v="3"/>
    <x v="0"/>
    <n v="5"/>
    <x v="0"/>
    <x v="3"/>
    <n v="1"/>
    <n v="4"/>
    <x v="3"/>
  </r>
  <r>
    <x v="472"/>
    <x v="5"/>
    <n v="2"/>
    <n v="38.5"/>
    <n v="77"/>
    <d v="2025-01-21T00:00:00"/>
    <d v="2025-01-24T00:00:00"/>
    <x v="1"/>
    <x v="1"/>
    <n v="5"/>
    <x v="0"/>
    <x v="3"/>
    <n v="3"/>
    <n v="4"/>
    <x v="1"/>
  </r>
  <r>
    <x v="473"/>
    <x v="2"/>
    <n v="2"/>
    <n v="57.8"/>
    <n v="115.6"/>
    <d v="2025-01-21T00:00:00"/>
    <d v="2025-01-22T00:00:00"/>
    <x v="0"/>
    <x v="0"/>
    <n v="4"/>
    <x v="0"/>
    <x v="3"/>
    <n v="1"/>
    <n v="4"/>
    <x v="0"/>
  </r>
  <r>
    <x v="474"/>
    <x v="8"/>
    <n v="1"/>
    <n v="19.2"/>
    <n v="19.2"/>
    <d v="2025-01-21T00:00:00"/>
    <d v="2025-01-22T00:00:00"/>
    <x v="2"/>
    <x v="0"/>
    <n v="2"/>
    <x v="0"/>
    <x v="3"/>
    <n v="1"/>
    <n v="4"/>
    <x v="2"/>
  </r>
  <r>
    <x v="475"/>
    <x v="6"/>
    <n v="6"/>
    <n v="114.8"/>
    <n v="688.8"/>
    <d v="2025-01-21T00:00:00"/>
    <d v="2025-01-24T00:00:00"/>
    <x v="1"/>
    <x v="1"/>
    <n v="3"/>
    <x v="0"/>
    <x v="3"/>
    <n v="3"/>
    <n v="4"/>
    <x v="1"/>
  </r>
  <r>
    <x v="476"/>
    <x v="10"/>
    <n v="7"/>
    <n v="48.4"/>
    <n v="338.8"/>
    <d v="2025-01-21T00:00:00"/>
    <d v="2025-01-24T00:00:00"/>
    <x v="2"/>
    <x v="3"/>
    <n v="3"/>
    <x v="0"/>
    <x v="3"/>
    <n v="3"/>
    <n v="4"/>
    <x v="2"/>
  </r>
  <r>
    <x v="477"/>
    <x v="9"/>
    <n v="5"/>
    <n v="73.2"/>
    <n v="366"/>
    <d v="2025-01-21T00:00:00"/>
    <d v="2025-01-22T00:00:00"/>
    <x v="2"/>
    <x v="1"/>
    <n v="2"/>
    <x v="0"/>
    <x v="3"/>
    <n v="1"/>
    <n v="4"/>
    <x v="2"/>
  </r>
  <r>
    <x v="478"/>
    <x v="15"/>
    <n v="2"/>
    <n v="48.6"/>
    <n v="97.2"/>
    <d v="2025-01-21T00:00:00"/>
    <d v="2025-01-25T00:00:00"/>
    <x v="2"/>
    <x v="3"/>
    <n v="4"/>
    <x v="0"/>
    <x v="3"/>
    <n v="4"/>
    <n v="4"/>
    <x v="2"/>
  </r>
  <r>
    <x v="479"/>
    <x v="0"/>
    <n v="6"/>
    <n v="48.7"/>
    <n v="292.20000000000005"/>
    <d v="2025-01-21T00:00:00"/>
    <d v="2025-01-22T00:00:00"/>
    <x v="1"/>
    <x v="0"/>
    <n v="4"/>
    <x v="0"/>
    <x v="3"/>
    <n v="1"/>
    <n v="4"/>
    <x v="1"/>
  </r>
  <r>
    <x v="480"/>
    <x v="4"/>
    <n v="2"/>
    <n v="32.200000000000003"/>
    <n v="64.400000000000006"/>
    <d v="2025-01-21T00:00:00"/>
    <d v="2025-01-24T00:00:00"/>
    <x v="1"/>
    <x v="2"/>
    <n v="5"/>
    <x v="0"/>
    <x v="3"/>
    <n v="3"/>
    <n v="4"/>
    <x v="1"/>
  </r>
  <r>
    <x v="481"/>
    <x v="15"/>
    <n v="8"/>
    <n v="25.8"/>
    <n v="206.4"/>
    <d v="2025-01-21T00:00:00"/>
    <d v="2025-01-22T00:00:00"/>
    <x v="1"/>
    <x v="0"/>
    <n v="4"/>
    <x v="0"/>
    <x v="37"/>
    <n v="1"/>
    <n v="4"/>
    <x v="1"/>
  </r>
  <r>
    <x v="482"/>
    <x v="6"/>
    <n v="2"/>
    <n v="94.8"/>
    <n v="189.6"/>
    <d v="2025-01-22T00:00:00"/>
    <d v="2025-01-25T00:00:00"/>
    <x v="2"/>
    <x v="1"/>
    <n v="3"/>
    <x v="0"/>
    <x v="25"/>
    <n v="3"/>
    <n v="4"/>
    <x v="2"/>
  </r>
  <r>
    <x v="483"/>
    <x v="15"/>
    <n v="25"/>
    <n v="56.8"/>
    <n v="1420"/>
    <d v="2025-01-22T00:00:00"/>
    <d v="2025-01-25T00:00:00"/>
    <x v="1"/>
    <x v="0"/>
    <n v="4"/>
    <x v="0"/>
    <x v="25"/>
    <n v="3"/>
    <n v="4"/>
    <x v="1"/>
  </r>
  <r>
    <x v="484"/>
    <x v="8"/>
    <n v="16"/>
    <n v="18.3"/>
    <n v="292.8"/>
    <d v="2025-01-22T00:00:00"/>
    <d v="2025-01-29T00:00:00"/>
    <x v="2"/>
    <x v="2"/>
    <n v="5"/>
    <x v="0"/>
    <x v="23"/>
    <n v="7"/>
    <n v="4"/>
    <x v="2"/>
  </r>
  <r>
    <x v="485"/>
    <x v="0"/>
    <n v="3"/>
    <n v="16.8"/>
    <n v="50.400000000000006"/>
    <d v="2025-01-22T00:00:00"/>
    <d v="2025-01-27T00:00:00"/>
    <x v="2"/>
    <x v="2"/>
    <n v="5"/>
    <x v="0"/>
    <x v="8"/>
    <n v="5"/>
    <n v="4"/>
    <x v="2"/>
  </r>
  <r>
    <x v="486"/>
    <x v="5"/>
    <n v="11"/>
    <n v="35.799999999999997"/>
    <n v="393.79999999999995"/>
    <d v="2025-01-22T00:00:00"/>
    <d v="2025-01-23T00:00:00"/>
    <x v="1"/>
    <x v="1"/>
    <n v="4"/>
    <x v="0"/>
    <x v="17"/>
    <n v="1"/>
    <n v="4"/>
    <x v="1"/>
  </r>
  <r>
    <x v="487"/>
    <x v="18"/>
    <n v="1"/>
    <n v="64.900000000000006"/>
    <n v="64.900000000000006"/>
    <d v="2025-01-22T00:00:00"/>
    <d v="2025-01-23T00:00:00"/>
    <x v="1"/>
    <x v="0"/>
    <n v="3"/>
    <x v="0"/>
    <x v="17"/>
    <n v="1"/>
    <n v="4"/>
    <x v="1"/>
  </r>
  <r>
    <x v="488"/>
    <x v="18"/>
    <n v="1"/>
    <n v="28.5"/>
    <n v="28.5"/>
    <d v="2025-01-22T00:00:00"/>
    <d v="2025-01-24T00:00:00"/>
    <x v="0"/>
    <x v="1"/>
    <n v="4"/>
    <x v="0"/>
    <x v="9"/>
    <n v="2"/>
    <n v="4"/>
    <x v="0"/>
  </r>
  <r>
    <x v="489"/>
    <x v="18"/>
    <n v="2"/>
    <n v="103.5"/>
    <n v="207"/>
    <d v="2025-01-22T00:00:00"/>
    <d v="2025-01-24T00:00:00"/>
    <x v="2"/>
    <x v="1"/>
    <n v="4"/>
    <x v="0"/>
    <x v="10"/>
    <n v="2"/>
    <n v="4"/>
    <x v="2"/>
  </r>
  <r>
    <x v="490"/>
    <x v="4"/>
    <n v="2"/>
    <n v="41.2"/>
    <n v="82.4"/>
    <d v="2025-01-22T00:00:00"/>
    <d v="2025-01-23T00:00:00"/>
    <x v="2"/>
    <x v="1"/>
    <n v="4"/>
    <x v="0"/>
    <x v="10"/>
    <n v="1"/>
    <n v="4"/>
    <x v="2"/>
  </r>
  <r>
    <x v="491"/>
    <x v="9"/>
    <n v="1"/>
    <n v="37.799999999999997"/>
    <n v="37.799999999999997"/>
    <d v="2025-01-22T00:00:00"/>
    <d v="2025-01-24T00:00:00"/>
    <x v="2"/>
    <x v="3"/>
    <n v="1"/>
    <x v="0"/>
    <x v="11"/>
    <n v="2"/>
    <n v="4"/>
    <x v="2"/>
  </r>
  <r>
    <x v="492"/>
    <x v="8"/>
    <n v="2"/>
    <n v="42.6"/>
    <n v="85.2"/>
    <d v="2025-01-22T00:00:00"/>
    <d v="2025-01-24T00:00:00"/>
    <x v="2"/>
    <x v="4"/>
    <n v="4"/>
    <x v="0"/>
    <x v="11"/>
    <n v="2"/>
    <n v="4"/>
    <x v="2"/>
  </r>
  <r>
    <x v="493"/>
    <x v="8"/>
    <n v="10"/>
    <n v="15.2"/>
    <n v="152"/>
    <d v="2025-01-22T00:00:00"/>
    <d v="2025-01-24T00:00:00"/>
    <x v="2"/>
    <x v="2"/>
    <n v="4"/>
    <x v="0"/>
    <x v="11"/>
    <n v="2"/>
    <n v="4"/>
    <x v="2"/>
  </r>
  <r>
    <x v="494"/>
    <x v="7"/>
    <n v="4"/>
    <n v="83.4"/>
    <n v="333.6"/>
    <d v="2025-01-22T00:00:00"/>
    <d v="2025-01-23T00:00:00"/>
    <x v="2"/>
    <x v="2"/>
    <n v="3"/>
    <x v="0"/>
    <x v="18"/>
    <n v="1"/>
    <n v="4"/>
    <x v="2"/>
  </r>
  <r>
    <x v="495"/>
    <x v="19"/>
    <n v="2"/>
    <n v="27.7"/>
    <n v="55.4"/>
    <d v="2025-01-22T00:00:00"/>
    <d v="2025-01-23T00:00:00"/>
    <x v="2"/>
    <x v="0"/>
    <n v="3"/>
    <x v="0"/>
    <x v="13"/>
    <n v="1"/>
    <n v="4"/>
    <x v="2"/>
  </r>
  <r>
    <x v="496"/>
    <x v="10"/>
    <n v="12"/>
    <n v="20.8"/>
    <n v="249.60000000000002"/>
    <d v="2025-01-22T00:00:00"/>
    <d v="2025-01-23T00:00:00"/>
    <x v="1"/>
    <x v="3"/>
    <n v="4"/>
    <x v="0"/>
    <x v="13"/>
    <n v="1"/>
    <n v="4"/>
    <x v="1"/>
  </r>
  <r>
    <x v="497"/>
    <x v="11"/>
    <n v="2"/>
    <n v="72.7"/>
    <n v="145.4"/>
    <d v="2025-01-22T00:00:00"/>
    <d v="2025-01-26T00:00:00"/>
    <x v="2"/>
    <x v="4"/>
    <n v="5"/>
    <x v="0"/>
    <x v="44"/>
    <n v="4"/>
    <n v="4"/>
    <x v="2"/>
  </r>
  <r>
    <x v="498"/>
    <x v="10"/>
    <n v="4"/>
    <n v="38.6"/>
    <n v="154.4"/>
    <d v="2025-01-22T00:00:00"/>
    <d v="2025-01-23T00:00:00"/>
    <x v="1"/>
    <x v="0"/>
    <n v="5"/>
    <x v="0"/>
    <x v="22"/>
    <n v="1"/>
    <n v="4"/>
    <x v="1"/>
  </r>
  <r>
    <x v="499"/>
    <x v="8"/>
    <n v="7"/>
    <n v="33.1"/>
    <n v="231.70000000000002"/>
    <d v="2025-01-22T00:00:00"/>
    <d v="2025-01-23T00:00:00"/>
    <x v="3"/>
    <x v="4"/>
    <n v="1"/>
    <x v="0"/>
    <x v="3"/>
    <n v="1"/>
    <n v="4"/>
    <x v="3"/>
  </r>
  <r>
    <x v="500"/>
    <x v="10"/>
    <n v="2"/>
    <n v="30.5"/>
    <n v="61"/>
    <d v="2025-01-22T00:00:00"/>
    <d v="2025-01-22T00:00:00"/>
    <x v="0"/>
    <x v="1"/>
    <n v="3"/>
    <x v="0"/>
    <x v="3"/>
    <n v="0"/>
    <n v="4"/>
    <x v="0"/>
  </r>
  <r>
    <x v="501"/>
    <x v="9"/>
    <n v="2"/>
    <n v="69.599999999999994"/>
    <n v="139.19999999999999"/>
    <d v="2025-01-22T00:00:00"/>
    <d v="2025-01-23T00:00:00"/>
    <x v="1"/>
    <x v="0"/>
    <n v="3"/>
    <x v="0"/>
    <x v="3"/>
    <n v="1"/>
    <n v="4"/>
    <x v="1"/>
  </r>
  <r>
    <x v="502"/>
    <x v="11"/>
    <n v="1"/>
    <n v="42.4"/>
    <n v="42.4"/>
    <d v="2025-01-22T00:00:00"/>
    <d v="2025-01-26T00:00:00"/>
    <x v="2"/>
    <x v="1"/>
    <n v="4"/>
    <x v="0"/>
    <x v="3"/>
    <n v="4"/>
    <n v="4"/>
    <x v="2"/>
  </r>
  <r>
    <x v="503"/>
    <x v="17"/>
    <n v="1"/>
    <n v="32.200000000000003"/>
    <n v="32.200000000000003"/>
    <d v="2025-01-22T00:00:00"/>
    <d v="2025-01-25T00:00:00"/>
    <x v="2"/>
    <x v="2"/>
    <n v="3"/>
    <x v="0"/>
    <x v="3"/>
    <n v="3"/>
    <n v="4"/>
    <x v="2"/>
  </r>
  <r>
    <x v="504"/>
    <x v="6"/>
    <n v="2"/>
    <n v="41.5"/>
    <n v="83"/>
    <d v="2025-01-22T00:00:00"/>
    <d v="2025-01-25T00:00:00"/>
    <x v="2"/>
    <x v="0"/>
    <n v="5"/>
    <x v="0"/>
    <x v="3"/>
    <n v="3"/>
    <n v="4"/>
    <x v="2"/>
  </r>
  <r>
    <x v="505"/>
    <x v="16"/>
    <n v="9"/>
    <n v="58.9"/>
    <n v="530.1"/>
    <d v="2025-01-22T00:00:00"/>
    <d v="2025-01-26T00:00:00"/>
    <x v="2"/>
    <x v="3"/>
    <n v="4"/>
    <x v="0"/>
    <x v="3"/>
    <n v="4"/>
    <n v="4"/>
    <x v="2"/>
  </r>
  <r>
    <x v="506"/>
    <x v="2"/>
    <n v="1"/>
    <n v="57.1"/>
    <n v="57.1"/>
    <d v="2025-01-22T00:00:00"/>
    <d v="2025-01-25T00:00:00"/>
    <x v="2"/>
    <x v="1"/>
    <n v="4"/>
    <x v="0"/>
    <x v="3"/>
    <n v="3"/>
    <n v="4"/>
    <x v="2"/>
  </r>
  <r>
    <x v="507"/>
    <x v="6"/>
    <n v="1"/>
    <n v="57.2"/>
    <n v="57.2"/>
    <d v="2025-01-22T00:00:00"/>
    <d v="2025-01-24T00:00:00"/>
    <x v="1"/>
    <x v="1"/>
    <n v="4"/>
    <x v="0"/>
    <x v="3"/>
    <n v="2"/>
    <n v="4"/>
    <x v="1"/>
  </r>
  <r>
    <x v="508"/>
    <x v="8"/>
    <n v="2"/>
    <n v="35.1"/>
    <n v="70.2"/>
    <d v="2025-01-22T00:00:00"/>
    <d v="2025-01-23T00:00:00"/>
    <x v="1"/>
    <x v="1"/>
    <n v="4"/>
    <x v="0"/>
    <x v="6"/>
    <n v="1"/>
    <n v="4"/>
    <x v="1"/>
  </r>
  <r>
    <x v="509"/>
    <x v="1"/>
    <n v="1"/>
    <n v="52.1"/>
    <n v="52.1"/>
    <d v="2025-01-22T00:00:00"/>
    <d v="2025-01-24T00:00:00"/>
    <x v="2"/>
    <x v="4"/>
    <n v="3"/>
    <x v="0"/>
    <x v="8"/>
    <n v="2"/>
    <n v="4"/>
    <x v="2"/>
  </r>
  <r>
    <x v="510"/>
    <x v="13"/>
    <n v="3"/>
    <n v="59.8"/>
    <n v="179.39999999999998"/>
    <d v="2025-01-22T00:00:00"/>
    <d v="2025-01-24T00:00:00"/>
    <x v="2"/>
    <x v="4"/>
    <n v="3"/>
    <x v="0"/>
    <x v="8"/>
    <n v="2"/>
    <n v="4"/>
    <x v="2"/>
  </r>
  <r>
    <x v="511"/>
    <x v="3"/>
    <n v="4"/>
    <n v="83.3"/>
    <n v="333.2"/>
    <d v="2025-01-22T00:00:00"/>
    <d v="2025-01-22T00:00:00"/>
    <x v="0"/>
    <x v="2"/>
    <n v="4"/>
    <x v="0"/>
    <x v="8"/>
    <n v="0"/>
    <n v="4"/>
    <x v="0"/>
  </r>
  <r>
    <x v="512"/>
    <x v="15"/>
    <n v="12"/>
    <n v="41.3"/>
    <n v="495.59999999999997"/>
    <d v="2025-01-22T00:00:00"/>
    <d v="2025-01-23T00:00:00"/>
    <x v="2"/>
    <x v="1"/>
    <n v="4"/>
    <x v="0"/>
    <x v="8"/>
    <n v="1"/>
    <n v="4"/>
    <x v="2"/>
  </r>
  <r>
    <x v="513"/>
    <x v="8"/>
    <n v="5"/>
    <n v="16"/>
    <n v="80"/>
    <d v="2025-01-22T00:00:00"/>
    <d v="2025-01-24T00:00:00"/>
    <x v="1"/>
    <x v="4"/>
    <n v="3"/>
    <x v="0"/>
    <x v="9"/>
    <n v="2"/>
    <n v="4"/>
    <x v="1"/>
  </r>
  <r>
    <x v="514"/>
    <x v="10"/>
    <n v="2"/>
    <n v="20.8"/>
    <n v="41.6"/>
    <d v="2025-01-23T00:00:00"/>
    <d v="2025-01-25T00:00:00"/>
    <x v="1"/>
    <x v="0"/>
    <n v="5"/>
    <x v="0"/>
    <x v="11"/>
    <n v="2"/>
    <n v="4"/>
    <x v="1"/>
  </r>
  <r>
    <x v="515"/>
    <x v="8"/>
    <n v="28"/>
    <n v="27.1"/>
    <n v="758.80000000000007"/>
    <d v="2025-01-23T00:00:00"/>
    <d v="2025-01-24T00:00:00"/>
    <x v="0"/>
    <x v="3"/>
    <n v="5"/>
    <x v="0"/>
    <x v="11"/>
    <n v="1"/>
    <n v="4"/>
    <x v="0"/>
  </r>
  <r>
    <x v="516"/>
    <x v="10"/>
    <n v="2"/>
    <n v="38.9"/>
    <n v="77.8"/>
    <d v="2025-01-23T00:00:00"/>
    <d v="2025-01-25T00:00:00"/>
    <x v="2"/>
    <x v="0"/>
    <n v="4"/>
    <x v="0"/>
    <x v="18"/>
    <n v="2"/>
    <n v="4"/>
    <x v="2"/>
  </r>
  <r>
    <x v="517"/>
    <x v="0"/>
    <n v="2"/>
    <n v="10.8"/>
    <n v="21.6"/>
    <d v="2025-01-23T00:00:00"/>
    <d v="2025-01-26T00:00:00"/>
    <x v="2"/>
    <x v="1"/>
    <n v="5"/>
    <x v="0"/>
    <x v="45"/>
    <n v="3"/>
    <n v="4"/>
    <x v="2"/>
  </r>
  <r>
    <x v="518"/>
    <x v="4"/>
    <n v="13"/>
    <n v="48.4"/>
    <n v="629.19999999999993"/>
    <d v="2025-01-23T00:00:00"/>
    <d v="2025-01-27T00:00:00"/>
    <x v="2"/>
    <x v="0"/>
    <n v="4"/>
    <x v="0"/>
    <x v="21"/>
    <n v="4"/>
    <n v="4"/>
    <x v="2"/>
  </r>
  <r>
    <x v="519"/>
    <x v="4"/>
    <n v="3"/>
    <n v="29.2"/>
    <n v="87.6"/>
    <d v="2025-01-23T00:00:00"/>
    <d v="2025-01-26T00:00:00"/>
    <x v="2"/>
    <x v="1"/>
    <n v="3"/>
    <x v="0"/>
    <x v="2"/>
    <n v="3"/>
    <n v="4"/>
    <x v="2"/>
  </r>
  <r>
    <x v="520"/>
    <x v="4"/>
    <n v="2"/>
    <n v="25.1"/>
    <n v="50.2"/>
    <d v="2025-01-23T00:00:00"/>
    <d v="2025-01-24T00:00:00"/>
    <x v="1"/>
    <x v="0"/>
    <n v="3"/>
    <x v="0"/>
    <x v="2"/>
    <n v="1"/>
    <n v="4"/>
    <x v="1"/>
  </r>
  <r>
    <x v="521"/>
    <x v="7"/>
    <n v="3"/>
    <n v="65.599999999999994"/>
    <n v="196.79999999999998"/>
    <d v="2025-01-23T00:00:00"/>
    <d v="2025-01-23T00:00:00"/>
    <x v="2"/>
    <x v="2"/>
    <n v="3"/>
    <x v="0"/>
    <x v="3"/>
    <n v="0"/>
    <n v="4"/>
    <x v="2"/>
  </r>
  <r>
    <x v="522"/>
    <x v="2"/>
    <n v="2"/>
    <n v="57.3"/>
    <n v="114.6"/>
    <d v="2025-01-23T00:00:00"/>
    <d v="2025-01-23T00:00:00"/>
    <x v="0"/>
    <x v="0"/>
    <n v="4"/>
    <x v="0"/>
    <x v="3"/>
    <n v="0"/>
    <n v="4"/>
    <x v="0"/>
  </r>
  <r>
    <x v="523"/>
    <x v="9"/>
    <n v="4"/>
    <n v="22.4"/>
    <n v="89.6"/>
    <d v="2025-01-23T00:00:00"/>
    <d v="2025-01-24T00:00:00"/>
    <x v="2"/>
    <x v="2"/>
    <n v="5"/>
    <x v="0"/>
    <x v="3"/>
    <n v="1"/>
    <n v="4"/>
    <x v="2"/>
  </r>
  <r>
    <x v="524"/>
    <x v="12"/>
    <n v="9"/>
    <n v="45.7"/>
    <n v="411.3"/>
    <d v="2025-01-23T00:00:00"/>
    <d v="2025-01-24T00:00:00"/>
    <x v="2"/>
    <x v="0"/>
    <n v="4"/>
    <x v="0"/>
    <x v="3"/>
    <n v="1"/>
    <n v="4"/>
    <x v="2"/>
  </r>
  <r>
    <x v="525"/>
    <x v="8"/>
    <n v="2"/>
    <n v="29.3"/>
    <n v="58.6"/>
    <d v="2025-01-23T00:00:00"/>
    <d v="2025-01-24T00:00:00"/>
    <x v="1"/>
    <x v="1"/>
    <n v="4"/>
    <x v="0"/>
    <x v="3"/>
    <n v="1"/>
    <n v="4"/>
    <x v="1"/>
  </r>
  <r>
    <x v="526"/>
    <x v="18"/>
    <n v="22"/>
    <n v="74"/>
    <n v="1628"/>
    <d v="2025-01-23T00:00:00"/>
    <d v="2025-01-24T00:00:00"/>
    <x v="1"/>
    <x v="0"/>
    <n v="5"/>
    <x v="0"/>
    <x v="3"/>
    <n v="1"/>
    <n v="4"/>
    <x v="1"/>
  </r>
  <r>
    <x v="527"/>
    <x v="14"/>
    <n v="2"/>
    <n v="39.200000000000003"/>
    <n v="78.400000000000006"/>
    <d v="2025-01-23T00:00:00"/>
    <d v="2025-01-25T00:00:00"/>
    <x v="2"/>
    <x v="1"/>
    <n v="4"/>
    <x v="0"/>
    <x v="3"/>
    <n v="2"/>
    <n v="4"/>
    <x v="2"/>
  </r>
  <r>
    <x v="528"/>
    <x v="4"/>
    <n v="17"/>
    <n v="62.7"/>
    <n v="1065.9000000000001"/>
    <d v="2025-01-23T00:00:00"/>
    <d v="2025-01-24T00:00:00"/>
    <x v="2"/>
    <x v="2"/>
    <n v="3"/>
    <x v="0"/>
    <x v="3"/>
    <n v="1"/>
    <n v="4"/>
    <x v="2"/>
  </r>
  <r>
    <x v="529"/>
    <x v="10"/>
    <n v="2"/>
    <n v="60.1"/>
    <n v="120.2"/>
    <d v="2025-01-23T00:00:00"/>
    <d v="2025-01-24T00:00:00"/>
    <x v="2"/>
    <x v="3"/>
    <n v="4"/>
    <x v="0"/>
    <x v="3"/>
    <n v="1"/>
    <n v="4"/>
    <x v="2"/>
  </r>
  <r>
    <x v="530"/>
    <x v="0"/>
    <n v="4"/>
    <n v="11.2"/>
    <n v="44.8"/>
    <d v="2025-01-23T00:00:00"/>
    <d v="2025-01-24T00:00:00"/>
    <x v="2"/>
    <x v="3"/>
    <n v="3"/>
    <x v="0"/>
    <x v="3"/>
    <n v="1"/>
    <n v="4"/>
    <x v="2"/>
  </r>
  <r>
    <x v="531"/>
    <x v="8"/>
    <n v="2"/>
    <n v="22.9"/>
    <n v="45.8"/>
    <d v="2025-01-23T00:00:00"/>
    <d v="2025-01-24T00:00:00"/>
    <x v="2"/>
    <x v="0"/>
    <n v="4"/>
    <x v="0"/>
    <x v="6"/>
    <n v="1"/>
    <n v="4"/>
    <x v="2"/>
  </r>
  <r>
    <x v="532"/>
    <x v="1"/>
    <n v="2"/>
    <n v="37.6"/>
    <n v="75.2"/>
    <d v="2025-01-23T00:00:00"/>
    <d v="2025-01-26T00:00:00"/>
    <x v="2"/>
    <x v="0"/>
    <n v="4"/>
    <x v="0"/>
    <x v="6"/>
    <n v="3"/>
    <n v="4"/>
    <x v="2"/>
  </r>
  <r>
    <x v="533"/>
    <x v="6"/>
    <n v="1"/>
    <n v="42.4"/>
    <n v="42.4"/>
    <d v="2025-01-23T00:00:00"/>
    <d v="2025-01-24T00:00:00"/>
    <x v="2"/>
    <x v="3"/>
    <n v="5"/>
    <x v="0"/>
    <x v="6"/>
    <n v="1"/>
    <n v="4"/>
    <x v="2"/>
  </r>
  <r>
    <x v="534"/>
    <x v="8"/>
    <n v="2"/>
    <n v="19.600000000000001"/>
    <n v="39.200000000000003"/>
    <d v="2025-01-23T00:00:00"/>
    <d v="2025-01-27T00:00:00"/>
    <x v="2"/>
    <x v="2"/>
    <n v="4"/>
    <x v="0"/>
    <x v="7"/>
    <n v="4"/>
    <n v="4"/>
    <x v="2"/>
  </r>
  <r>
    <x v="535"/>
    <x v="9"/>
    <n v="1"/>
    <n v="90.5"/>
    <n v="90.5"/>
    <d v="2025-01-23T00:00:00"/>
    <d v="2025-01-26T00:00:00"/>
    <x v="2"/>
    <x v="2"/>
    <n v="4"/>
    <x v="0"/>
    <x v="7"/>
    <n v="3"/>
    <n v="4"/>
    <x v="2"/>
  </r>
  <r>
    <x v="536"/>
    <x v="16"/>
    <n v="11"/>
    <n v="33.9"/>
    <n v="372.9"/>
    <d v="2025-01-23T00:00:00"/>
    <d v="2025-01-24T00:00:00"/>
    <x v="1"/>
    <x v="2"/>
    <n v="3"/>
    <x v="0"/>
    <x v="7"/>
    <n v="1"/>
    <n v="4"/>
    <x v="1"/>
  </r>
  <r>
    <x v="537"/>
    <x v="0"/>
    <n v="2"/>
    <n v="32.799999999999997"/>
    <n v="65.599999999999994"/>
    <d v="2025-01-23T00:00:00"/>
    <d v="2025-01-25T00:00:00"/>
    <x v="2"/>
    <x v="4"/>
    <n v="2"/>
    <x v="0"/>
    <x v="8"/>
    <n v="2"/>
    <n v="4"/>
    <x v="2"/>
  </r>
  <r>
    <x v="538"/>
    <x v="15"/>
    <n v="1"/>
    <n v="49.9"/>
    <n v="49.9"/>
    <d v="2025-01-23T00:00:00"/>
    <d v="2025-01-24T00:00:00"/>
    <x v="1"/>
    <x v="3"/>
    <n v="3"/>
    <x v="0"/>
    <x v="8"/>
    <n v="1"/>
    <n v="4"/>
    <x v="1"/>
  </r>
  <r>
    <x v="539"/>
    <x v="7"/>
    <n v="5"/>
    <n v="79.2"/>
    <n v="396"/>
    <d v="2025-01-23T00:00:00"/>
    <d v="2025-01-24T00:00:00"/>
    <x v="2"/>
    <x v="4"/>
    <n v="4"/>
    <x v="0"/>
    <x v="8"/>
    <n v="1"/>
    <n v="4"/>
    <x v="2"/>
  </r>
  <r>
    <x v="540"/>
    <x v="8"/>
    <n v="16"/>
    <n v="19.5"/>
    <n v="312"/>
    <d v="2025-01-23T00:00:00"/>
    <d v="2025-01-25T00:00:00"/>
    <x v="1"/>
    <x v="3"/>
    <n v="5"/>
    <x v="0"/>
    <x v="8"/>
    <n v="2"/>
    <n v="4"/>
    <x v="1"/>
  </r>
  <r>
    <x v="541"/>
    <x v="8"/>
    <n v="4"/>
    <n v="18"/>
    <n v="72"/>
    <d v="2025-01-23T00:00:00"/>
    <d v="2025-01-24T00:00:00"/>
    <x v="1"/>
    <x v="1"/>
    <n v="4"/>
    <x v="0"/>
    <x v="10"/>
    <n v="1"/>
    <n v="4"/>
    <x v="1"/>
  </r>
  <r>
    <x v="542"/>
    <x v="9"/>
    <n v="3"/>
    <n v="45.9"/>
    <n v="137.69999999999999"/>
    <d v="2025-01-23T00:00:00"/>
    <d v="2025-01-25T00:00:00"/>
    <x v="2"/>
    <x v="1"/>
    <n v="3"/>
    <x v="0"/>
    <x v="10"/>
    <n v="2"/>
    <n v="4"/>
    <x v="2"/>
  </r>
  <r>
    <x v="543"/>
    <x v="11"/>
    <n v="1"/>
    <n v="41.2"/>
    <n v="41.2"/>
    <d v="2025-01-23T00:00:00"/>
    <d v="2025-01-25T00:00:00"/>
    <x v="2"/>
    <x v="1"/>
    <n v="5"/>
    <x v="0"/>
    <x v="11"/>
    <n v="2"/>
    <n v="4"/>
    <x v="2"/>
  </r>
  <r>
    <x v="544"/>
    <x v="2"/>
    <n v="10"/>
    <n v="167.2"/>
    <n v="1672"/>
    <d v="2025-01-23T00:00:00"/>
    <d v="2025-01-25T00:00:00"/>
    <x v="2"/>
    <x v="2"/>
    <n v="5"/>
    <x v="0"/>
    <x v="32"/>
    <n v="2"/>
    <n v="4"/>
    <x v="2"/>
  </r>
  <r>
    <x v="545"/>
    <x v="6"/>
    <n v="30"/>
    <n v="74.5"/>
    <n v="2235"/>
    <d v="2025-01-24T00:00:00"/>
    <d v="2025-01-27T00:00:00"/>
    <x v="2"/>
    <x v="1"/>
    <n v="5"/>
    <x v="0"/>
    <x v="38"/>
    <n v="3"/>
    <n v="4"/>
    <x v="2"/>
  </r>
  <r>
    <x v="546"/>
    <x v="7"/>
    <n v="4"/>
    <n v="39.299999999999997"/>
    <n v="157.19999999999999"/>
    <d v="2025-01-24T00:00:00"/>
    <d v="2025-01-25T00:00:00"/>
    <x v="0"/>
    <x v="2"/>
    <n v="4"/>
    <x v="0"/>
    <x v="19"/>
    <n v="1"/>
    <n v="4"/>
    <x v="0"/>
  </r>
  <r>
    <x v="547"/>
    <x v="9"/>
    <n v="1"/>
    <n v="68.5"/>
    <n v="68.5"/>
    <d v="2025-01-24T00:00:00"/>
    <d v="2025-01-27T00:00:00"/>
    <x v="1"/>
    <x v="1"/>
    <n v="5"/>
    <x v="0"/>
    <x v="12"/>
    <n v="3"/>
    <n v="4"/>
    <x v="1"/>
  </r>
  <r>
    <x v="548"/>
    <x v="0"/>
    <n v="3"/>
    <n v="22.5"/>
    <n v="67.5"/>
    <d v="2025-01-24T00:00:00"/>
    <d v="2025-01-24T00:00:00"/>
    <x v="2"/>
    <x v="4"/>
    <n v="4"/>
    <x v="0"/>
    <x v="13"/>
    <n v="0"/>
    <n v="4"/>
    <x v="2"/>
  </r>
  <r>
    <x v="549"/>
    <x v="1"/>
    <n v="1"/>
    <n v="48"/>
    <n v="48"/>
    <d v="2025-01-24T00:00:00"/>
    <d v="2025-01-25T00:00:00"/>
    <x v="3"/>
    <x v="4"/>
    <n v="3"/>
    <x v="0"/>
    <x v="46"/>
    <n v="1"/>
    <n v="4"/>
    <x v="3"/>
  </r>
  <r>
    <x v="550"/>
    <x v="6"/>
    <n v="1"/>
    <n v="94"/>
    <n v="94"/>
    <d v="2025-01-24T00:00:00"/>
    <d v="2025-01-25T00:00:00"/>
    <x v="1"/>
    <x v="3"/>
    <n v="3"/>
    <x v="0"/>
    <x v="1"/>
    <n v="1"/>
    <n v="4"/>
    <x v="1"/>
  </r>
  <r>
    <x v="551"/>
    <x v="8"/>
    <n v="3"/>
    <n v="21.9"/>
    <n v="65.699999999999989"/>
    <d v="2025-01-24T00:00:00"/>
    <d v="2025-01-25T00:00:00"/>
    <x v="2"/>
    <x v="0"/>
    <n v="4"/>
    <x v="0"/>
    <x v="44"/>
    <n v="1"/>
    <n v="4"/>
    <x v="2"/>
  </r>
  <r>
    <x v="552"/>
    <x v="6"/>
    <n v="7"/>
    <n v="64.900000000000006"/>
    <n v="454.30000000000007"/>
    <d v="2025-01-24T00:00:00"/>
    <d v="2025-01-25T00:00:00"/>
    <x v="2"/>
    <x v="0"/>
    <n v="4"/>
    <x v="0"/>
    <x v="3"/>
    <n v="1"/>
    <n v="4"/>
    <x v="2"/>
  </r>
  <r>
    <x v="553"/>
    <x v="12"/>
    <n v="1"/>
    <n v="52.9"/>
    <n v="52.9"/>
    <d v="2025-01-24T00:00:00"/>
    <d v="2025-01-24T00:00:00"/>
    <x v="2"/>
    <x v="1"/>
    <n v="3"/>
    <x v="0"/>
    <x v="3"/>
    <n v="0"/>
    <n v="4"/>
    <x v="2"/>
  </r>
  <r>
    <x v="554"/>
    <x v="8"/>
    <n v="3"/>
    <n v="25.5"/>
    <n v="76.5"/>
    <d v="2025-01-24T00:00:00"/>
    <d v="2025-01-25T00:00:00"/>
    <x v="2"/>
    <x v="1"/>
    <n v="5"/>
    <x v="0"/>
    <x v="3"/>
    <n v="1"/>
    <n v="4"/>
    <x v="2"/>
  </r>
  <r>
    <x v="555"/>
    <x v="6"/>
    <n v="3"/>
    <n v="51.9"/>
    <n v="155.69999999999999"/>
    <d v="2025-01-24T00:00:00"/>
    <d v="2025-01-25T00:00:00"/>
    <x v="2"/>
    <x v="3"/>
    <n v="4"/>
    <x v="0"/>
    <x v="3"/>
    <n v="1"/>
    <n v="4"/>
    <x v="2"/>
  </r>
  <r>
    <x v="556"/>
    <x v="5"/>
    <n v="1"/>
    <n v="46.3"/>
    <n v="46.3"/>
    <d v="2025-01-24T00:00:00"/>
    <d v="2025-01-27T00:00:00"/>
    <x v="2"/>
    <x v="4"/>
    <n v="4"/>
    <x v="0"/>
    <x v="3"/>
    <n v="3"/>
    <n v="4"/>
    <x v="2"/>
  </r>
  <r>
    <x v="557"/>
    <x v="6"/>
    <n v="2"/>
    <n v="68.2"/>
    <n v="136.4"/>
    <d v="2025-01-24T00:00:00"/>
    <d v="2025-01-26T00:00:00"/>
    <x v="2"/>
    <x v="3"/>
    <n v="4"/>
    <x v="0"/>
    <x v="3"/>
    <n v="2"/>
    <n v="4"/>
    <x v="2"/>
  </r>
  <r>
    <x v="558"/>
    <x v="1"/>
    <n v="1"/>
    <n v="40.299999999999997"/>
    <n v="40.299999999999997"/>
    <d v="2025-01-24T00:00:00"/>
    <d v="2025-01-25T00:00:00"/>
    <x v="1"/>
    <x v="0"/>
    <n v="3"/>
    <x v="0"/>
    <x v="3"/>
    <n v="1"/>
    <n v="4"/>
    <x v="1"/>
  </r>
  <r>
    <x v="559"/>
    <x v="2"/>
    <n v="3"/>
    <n v="91.3"/>
    <n v="273.89999999999998"/>
    <d v="2025-01-24T00:00:00"/>
    <d v="2025-01-29T00:00:00"/>
    <x v="1"/>
    <x v="0"/>
    <n v="5"/>
    <x v="0"/>
    <x v="6"/>
    <n v="5"/>
    <n v="4"/>
    <x v="1"/>
  </r>
  <r>
    <x v="560"/>
    <x v="0"/>
    <n v="3"/>
    <n v="11.9"/>
    <n v="35.700000000000003"/>
    <d v="2025-01-24T00:00:00"/>
    <d v="2025-01-25T00:00:00"/>
    <x v="2"/>
    <x v="0"/>
    <n v="3"/>
    <x v="0"/>
    <x v="6"/>
    <n v="1"/>
    <n v="4"/>
    <x v="2"/>
  </r>
  <r>
    <x v="561"/>
    <x v="2"/>
    <n v="2"/>
    <n v="63.5"/>
    <n v="127"/>
    <d v="2025-01-24T00:00:00"/>
    <d v="2025-01-26T00:00:00"/>
    <x v="1"/>
    <x v="1"/>
    <n v="4"/>
    <x v="0"/>
    <x v="6"/>
    <n v="2"/>
    <n v="4"/>
    <x v="1"/>
  </r>
  <r>
    <x v="562"/>
    <x v="4"/>
    <n v="2"/>
    <n v="27.1"/>
    <n v="54.2"/>
    <d v="2025-01-24T00:00:00"/>
    <d v="2025-01-27T00:00:00"/>
    <x v="1"/>
    <x v="2"/>
    <n v="5"/>
    <x v="0"/>
    <x v="6"/>
    <n v="3"/>
    <n v="4"/>
    <x v="1"/>
  </r>
  <r>
    <x v="563"/>
    <x v="1"/>
    <n v="2"/>
    <n v="82.1"/>
    <n v="164.2"/>
    <d v="2025-01-25T00:00:00"/>
    <d v="2025-01-28T00:00:00"/>
    <x v="1"/>
    <x v="1"/>
    <n v="3"/>
    <x v="0"/>
    <x v="7"/>
    <n v="3"/>
    <n v="4"/>
    <x v="1"/>
  </r>
  <r>
    <x v="564"/>
    <x v="3"/>
    <n v="5"/>
    <n v="42.9"/>
    <n v="214.5"/>
    <d v="2025-01-25T00:00:00"/>
    <d v="2025-01-27T00:00:00"/>
    <x v="2"/>
    <x v="1"/>
    <n v="4"/>
    <x v="0"/>
    <x v="8"/>
    <n v="2"/>
    <n v="4"/>
    <x v="2"/>
  </r>
  <r>
    <x v="565"/>
    <x v="8"/>
    <n v="11"/>
    <n v="37.9"/>
    <n v="416.9"/>
    <d v="2025-01-25T00:00:00"/>
    <d v="2025-02-01T00:00:00"/>
    <x v="1"/>
    <x v="0"/>
    <n v="4"/>
    <x v="0"/>
    <x v="8"/>
    <n v="7"/>
    <n v="4"/>
    <x v="1"/>
  </r>
  <r>
    <x v="566"/>
    <x v="0"/>
    <n v="1"/>
    <n v="22.4"/>
    <n v="22.4"/>
    <d v="2025-01-25T00:00:00"/>
    <d v="2025-01-26T00:00:00"/>
    <x v="2"/>
    <x v="0"/>
    <n v="3"/>
    <x v="0"/>
    <x v="17"/>
    <n v="1"/>
    <n v="4"/>
    <x v="2"/>
  </r>
  <r>
    <x v="567"/>
    <x v="2"/>
    <n v="13"/>
    <n v="79.900000000000006"/>
    <n v="1038.7"/>
    <d v="2025-01-25T00:00:00"/>
    <d v="2025-02-07T00:00:00"/>
    <x v="2"/>
    <x v="3"/>
    <n v="3"/>
    <x v="0"/>
    <x v="11"/>
    <n v="13"/>
    <n v="4"/>
    <x v="2"/>
  </r>
  <r>
    <x v="568"/>
    <x v="1"/>
    <n v="1"/>
    <n v="70.599999999999994"/>
    <n v="70.599999999999994"/>
    <d v="2025-01-25T00:00:00"/>
    <d v="2025-01-28T00:00:00"/>
    <x v="2"/>
    <x v="0"/>
    <n v="3"/>
    <x v="0"/>
    <x v="11"/>
    <n v="3"/>
    <n v="4"/>
    <x v="2"/>
  </r>
  <r>
    <x v="569"/>
    <x v="6"/>
    <n v="1"/>
    <n v="49.5"/>
    <n v="49.5"/>
    <d v="2025-01-25T00:00:00"/>
    <d v="2025-01-27T00:00:00"/>
    <x v="1"/>
    <x v="0"/>
    <n v="4"/>
    <x v="0"/>
    <x v="13"/>
    <n v="2"/>
    <n v="4"/>
    <x v="1"/>
  </r>
  <r>
    <x v="570"/>
    <x v="2"/>
    <n v="2"/>
    <n v="96.6"/>
    <n v="193.2"/>
    <d v="2025-01-25T00:00:00"/>
    <d v="2025-01-27T00:00:00"/>
    <x v="1"/>
    <x v="0"/>
    <n v="4"/>
    <x v="0"/>
    <x v="21"/>
    <n v="2"/>
    <n v="4"/>
    <x v="1"/>
  </r>
  <r>
    <x v="571"/>
    <x v="6"/>
    <n v="2"/>
    <n v="52.8"/>
    <n v="105.6"/>
    <d v="2025-01-25T00:00:00"/>
    <d v="2025-01-26T00:00:00"/>
    <x v="2"/>
    <x v="1"/>
    <n v="3"/>
    <x v="0"/>
    <x v="21"/>
    <n v="1"/>
    <n v="4"/>
    <x v="2"/>
  </r>
  <r>
    <x v="572"/>
    <x v="2"/>
    <n v="1"/>
    <n v="101.7"/>
    <n v="101.7"/>
    <d v="2025-01-25T00:00:00"/>
    <d v="2025-01-26T00:00:00"/>
    <x v="1"/>
    <x v="0"/>
    <n v="4"/>
    <x v="0"/>
    <x v="1"/>
    <n v="1"/>
    <n v="4"/>
    <x v="1"/>
  </r>
  <r>
    <x v="573"/>
    <x v="4"/>
    <n v="5"/>
    <n v="26.9"/>
    <n v="134.5"/>
    <d v="2025-01-25T00:00:00"/>
    <d v="2025-01-30T00:00:00"/>
    <x v="2"/>
    <x v="1"/>
    <n v="3"/>
    <x v="0"/>
    <x v="22"/>
    <n v="5"/>
    <n v="4"/>
    <x v="2"/>
  </r>
  <r>
    <x v="574"/>
    <x v="2"/>
    <n v="4"/>
    <n v="211"/>
    <n v="844"/>
    <d v="2025-01-25T00:00:00"/>
    <d v="2025-01-25T00:00:00"/>
    <x v="2"/>
    <x v="1"/>
    <n v="3"/>
    <x v="0"/>
    <x v="3"/>
    <n v="0"/>
    <n v="4"/>
    <x v="2"/>
  </r>
  <r>
    <x v="575"/>
    <x v="0"/>
    <n v="4"/>
    <n v="21.1"/>
    <n v="84.4"/>
    <d v="2025-01-25T00:00:00"/>
    <d v="2025-01-28T00:00:00"/>
    <x v="1"/>
    <x v="4"/>
    <n v="4"/>
    <x v="0"/>
    <x v="3"/>
    <n v="3"/>
    <n v="4"/>
    <x v="1"/>
  </r>
  <r>
    <x v="576"/>
    <x v="10"/>
    <n v="1"/>
    <n v="26.6"/>
    <n v="26.6"/>
    <d v="2025-01-25T00:00:00"/>
    <d v="2025-01-27T00:00:00"/>
    <x v="1"/>
    <x v="0"/>
    <n v="2"/>
    <x v="0"/>
    <x v="3"/>
    <n v="2"/>
    <n v="4"/>
    <x v="1"/>
  </r>
  <r>
    <x v="577"/>
    <x v="12"/>
    <n v="4"/>
    <n v="51.2"/>
    <n v="204.8"/>
    <d v="2025-01-25T00:00:00"/>
    <d v="2025-01-26T00:00:00"/>
    <x v="2"/>
    <x v="3"/>
    <n v="4"/>
    <x v="0"/>
    <x v="47"/>
    <n v="1"/>
    <n v="4"/>
    <x v="2"/>
  </r>
  <r>
    <x v="578"/>
    <x v="0"/>
    <n v="5"/>
    <n v="10.6"/>
    <n v="53"/>
    <d v="2025-01-25T00:00:00"/>
    <d v="2025-01-29T00:00:00"/>
    <x v="2"/>
    <x v="0"/>
    <n v="4"/>
    <x v="0"/>
    <x v="8"/>
    <n v="4"/>
    <n v="4"/>
    <x v="2"/>
  </r>
  <r>
    <x v="579"/>
    <x v="6"/>
    <n v="3"/>
    <n v="43.4"/>
    <n v="130.19999999999999"/>
    <d v="2025-01-25T00:00:00"/>
    <d v="2025-01-28T00:00:00"/>
    <x v="2"/>
    <x v="4"/>
    <n v="4"/>
    <x v="0"/>
    <x v="8"/>
    <n v="3"/>
    <n v="4"/>
    <x v="2"/>
  </r>
  <r>
    <x v="580"/>
    <x v="12"/>
    <n v="1"/>
    <n v="80"/>
    <n v="80"/>
    <d v="2025-01-25T00:00:00"/>
    <d v="2025-01-25T00:00:00"/>
    <x v="2"/>
    <x v="0"/>
    <n v="5"/>
    <x v="0"/>
    <x v="8"/>
    <n v="0"/>
    <n v="4"/>
    <x v="2"/>
  </r>
  <r>
    <x v="581"/>
    <x v="10"/>
    <n v="4"/>
    <n v="64.7"/>
    <n v="258.8"/>
    <d v="2025-01-25T00:00:00"/>
    <d v="2025-01-27T00:00:00"/>
    <x v="2"/>
    <x v="1"/>
    <n v="2"/>
    <x v="0"/>
    <x v="8"/>
    <n v="2"/>
    <n v="4"/>
    <x v="2"/>
  </r>
  <r>
    <x v="582"/>
    <x v="8"/>
    <n v="11"/>
    <n v="26.3"/>
    <n v="289.3"/>
    <d v="2025-01-26T00:00:00"/>
    <d v="2025-01-26T00:00:00"/>
    <x v="2"/>
    <x v="4"/>
    <n v="3"/>
    <x v="0"/>
    <x v="26"/>
    <n v="0"/>
    <n v="5"/>
    <x v="2"/>
  </r>
  <r>
    <x v="583"/>
    <x v="10"/>
    <n v="1"/>
    <n v="28.5"/>
    <n v="28.5"/>
    <d v="2025-01-26T00:00:00"/>
    <d v="2025-01-26T00:00:00"/>
    <x v="1"/>
    <x v="0"/>
    <n v="3"/>
    <x v="0"/>
    <x v="9"/>
    <n v="0"/>
    <n v="5"/>
    <x v="1"/>
  </r>
  <r>
    <x v="584"/>
    <x v="17"/>
    <n v="1"/>
    <n v="47.8"/>
    <n v="47.8"/>
    <d v="2025-01-26T00:00:00"/>
    <d v="2025-01-28T00:00:00"/>
    <x v="2"/>
    <x v="0"/>
    <n v="3"/>
    <x v="0"/>
    <x v="9"/>
    <n v="2"/>
    <n v="5"/>
    <x v="2"/>
  </r>
  <r>
    <x v="585"/>
    <x v="10"/>
    <n v="3"/>
    <n v="42.8"/>
    <n v="128.39999999999998"/>
    <d v="2025-01-26T00:00:00"/>
    <d v="2025-01-29T00:00:00"/>
    <x v="2"/>
    <x v="4"/>
    <n v="3"/>
    <x v="0"/>
    <x v="11"/>
    <n v="3"/>
    <n v="5"/>
    <x v="2"/>
  </r>
  <r>
    <x v="586"/>
    <x v="6"/>
    <n v="5"/>
    <n v="46.8"/>
    <n v="234"/>
    <d v="2025-01-26T00:00:00"/>
    <d v="2025-01-31T00:00:00"/>
    <x v="2"/>
    <x v="1"/>
    <n v="5"/>
    <x v="0"/>
    <x v="11"/>
    <n v="5"/>
    <n v="5"/>
    <x v="2"/>
  </r>
  <r>
    <x v="587"/>
    <x v="1"/>
    <n v="10"/>
    <n v="64.099999999999994"/>
    <n v="641"/>
    <d v="2025-01-26T00:00:00"/>
    <d v="2025-01-27T00:00:00"/>
    <x v="1"/>
    <x v="1"/>
    <n v="4"/>
    <x v="0"/>
    <x v="11"/>
    <n v="1"/>
    <n v="5"/>
    <x v="1"/>
  </r>
  <r>
    <x v="588"/>
    <x v="2"/>
    <n v="1"/>
    <n v="89.1"/>
    <n v="89.1"/>
    <d v="2025-01-26T00:00:00"/>
    <d v="2025-01-27T00:00:00"/>
    <x v="2"/>
    <x v="0"/>
    <n v="3"/>
    <x v="0"/>
    <x v="20"/>
    <n v="1"/>
    <n v="5"/>
    <x v="2"/>
  </r>
  <r>
    <x v="589"/>
    <x v="2"/>
    <n v="3"/>
    <n v="83.1"/>
    <n v="249.29999999999998"/>
    <d v="2025-01-26T00:00:00"/>
    <d v="2025-01-27T00:00:00"/>
    <x v="2"/>
    <x v="2"/>
    <n v="3"/>
    <x v="0"/>
    <x v="13"/>
    <n v="1"/>
    <n v="5"/>
    <x v="2"/>
  </r>
  <r>
    <x v="590"/>
    <x v="8"/>
    <n v="3"/>
    <n v="40.9"/>
    <n v="122.69999999999999"/>
    <d v="2025-01-26T00:00:00"/>
    <d v="2025-01-27T00:00:00"/>
    <x v="1"/>
    <x v="0"/>
    <n v="4"/>
    <x v="0"/>
    <x v="1"/>
    <n v="1"/>
    <n v="5"/>
    <x v="1"/>
  </r>
  <r>
    <x v="591"/>
    <x v="2"/>
    <n v="2"/>
    <n v="125.7"/>
    <n v="251.4"/>
    <d v="2025-01-26T00:00:00"/>
    <d v="2025-01-27T00:00:00"/>
    <x v="2"/>
    <x v="3"/>
    <n v="4"/>
    <x v="0"/>
    <x v="2"/>
    <n v="1"/>
    <n v="5"/>
    <x v="2"/>
  </r>
  <r>
    <x v="592"/>
    <x v="3"/>
    <n v="2"/>
    <n v="30.9"/>
    <n v="61.8"/>
    <d v="2025-01-26T00:00:00"/>
    <d v="2025-01-26T00:00:00"/>
    <x v="2"/>
    <x v="2"/>
    <n v="5"/>
    <x v="0"/>
    <x v="22"/>
    <n v="0"/>
    <n v="5"/>
    <x v="2"/>
  </r>
  <r>
    <x v="593"/>
    <x v="8"/>
    <n v="2"/>
    <n v="18.3"/>
    <n v="36.6"/>
    <d v="2025-01-26T00:00:00"/>
    <d v="2025-01-27T00:00:00"/>
    <x v="2"/>
    <x v="1"/>
    <n v="4"/>
    <x v="0"/>
    <x v="3"/>
    <n v="1"/>
    <n v="5"/>
    <x v="2"/>
  </r>
  <r>
    <x v="594"/>
    <x v="4"/>
    <n v="2"/>
    <n v="56.5"/>
    <n v="113"/>
    <d v="2025-01-26T00:00:00"/>
    <d v="2025-01-30T00:00:00"/>
    <x v="1"/>
    <x v="2"/>
    <n v="5"/>
    <x v="0"/>
    <x v="3"/>
    <n v="4"/>
    <n v="5"/>
    <x v="1"/>
  </r>
  <r>
    <x v="595"/>
    <x v="10"/>
    <n v="7"/>
    <n v="29.9"/>
    <n v="209.29999999999998"/>
    <d v="2025-01-26T00:00:00"/>
    <d v="2025-01-28T00:00:00"/>
    <x v="1"/>
    <x v="4"/>
    <n v="5"/>
    <x v="0"/>
    <x v="3"/>
    <n v="2"/>
    <n v="5"/>
    <x v="1"/>
  </r>
  <r>
    <x v="596"/>
    <x v="5"/>
    <n v="2"/>
    <n v="50.4"/>
    <n v="100.8"/>
    <d v="2025-01-26T00:00:00"/>
    <d v="2025-01-27T00:00:00"/>
    <x v="2"/>
    <x v="2"/>
    <n v="4"/>
    <x v="0"/>
    <x v="3"/>
    <n v="1"/>
    <n v="5"/>
    <x v="2"/>
  </r>
  <r>
    <x v="597"/>
    <x v="2"/>
    <n v="1"/>
    <n v="85.8"/>
    <n v="85.8"/>
    <d v="2025-01-26T00:00:00"/>
    <d v="2025-01-26T00:00:00"/>
    <x v="2"/>
    <x v="2"/>
    <n v="5"/>
    <x v="0"/>
    <x v="3"/>
    <n v="0"/>
    <n v="5"/>
    <x v="2"/>
  </r>
  <r>
    <x v="598"/>
    <x v="4"/>
    <n v="16"/>
    <n v="66.599999999999994"/>
    <n v="1065.5999999999999"/>
    <d v="2025-01-26T00:00:00"/>
    <d v="2025-01-28T00:00:00"/>
    <x v="1"/>
    <x v="1"/>
    <n v="4"/>
    <x v="0"/>
    <x v="3"/>
    <n v="2"/>
    <n v="5"/>
    <x v="1"/>
  </r>
  <r>
    <x v="599"/>
    <x v="6"/>
    <n v="4"/>
    <n v="70.3"/>
    <n v="281.2"/>
    <d v="2025-01-26T00:00:00"/>
    <d v="2025-01-27T00:00:00"/>
    <x v="2"/>
    <x v="0"/>
    <n v="3"/>
    <x v="0"/>
    <x v="3"/>
    <n v="1"/>
    <n v="5"/>
    <x v="2"/>
  </r>
  <r>
    <x v="600"/>
    <x v="8"/>
    <n v="4"/>
    <n v="31"/>
    <n v="124"/>
    <d v="2025-01-26T00:00:00"/>
    <d v="2025-01-29T00:00:00"/>
    <x v="1"/>
    <x v="0"/>
    <n v="5"/>
    <x v="0"/>
    <x v="3"/>
    <n v="3"/>
    <n v="5"/>
    <x v="1"/>
  </r>
  <r>
    <x v="601"/>
    <x v="7"/>
    <n v="6"/>
    <n v="81.599999999999994"/>
    <n v="489.59999999999997"/>
    <d v="2025-01-26T00:00:00"/>
    <d v="2025-01-27T00:00:00"/>
    <x v="2"/>
    <x v="1"/>
    <n v="3"/>
    <x v="0"/>
    <x v="37"/>
    <n v="1"/>
    <n v="5"/>
    <x v="2"/>
  </r>
  <r>
    <x v="602"/>
    <x v="1"/>
    <n v="25"/>
    <n v="58.3"/>
    <n v="1457.5"/>
    <d v="2025-01-26T00:00:00"/>
    <d v="2025-01-27T00:00:00"/>
    <x v="2"/>
    <x v="0"/>
    <n v="4"/>
    <x v="0"/>
    <x v="16"/>
    <n v="1"/>
    <n v="5"/>
    <x v="2"/>
  </r>
  <r>
    <x v="603"/>
    <x v="1"/>
    <n v="4"/>
    <n v="35.1"/>
    <n v="140.4"/>
    <d v="2025-01-26T00:00:00"/>
    <d v="2025-01-28T00:00:00"/>
    <x v="1"/>
    <x v="0"/>
    <n v="5"/>
    <x v="0"/>
    <x v="8"/>
    <n v="2"/>
    <n v="5"/>
    <x v="1"/>
  </r>
  <r>
    <x v="604"/>
    <x v="2"/>
    <n v="1"/>
    <n v="80.2"/>
    <n v="80.2"/>
    <d v="2025-01-26T00:00:00"/>
    <d v="2025-01-27T00:00:00"/>
    <x v="1"/>
    <x v="3"/>
    <n v="5"/>
    <x v="0"/>
    <x v="8"/>
    <n v="1"/>
    <n v="5"/>
    <x v="1"/>
  </r>
  <r>
    <x v="605"/>
    <x v="14"/>
    <n v="3"/>
    <n v="39.200000000000003"/>
    <n v="117.60000000000001"/>
    <d v="2025-01-26T00:00:00"/>
    <d v="2025-01-28T00:00:00"/>
    <x v="2"/>
    <x v="1"/>
    <n v="4"/>
    <x v="0"/>
    <x v="9"/>
    <n v="2"/>
    <n v="5"/>
    <x v="2"/>
  </r>
  <r>
    <x v="606"/>
    <x v="0"/>
    <n v="2"/>
    <n v="15.4"/>
    <n v="30.8"/>
    <d v="2025-01-26T00:00:00"/>
    <d v="2025-01-26T00:00:00"/>
    <x v="2"/>
    <x v="3"/>
    <n v="4"/>
    <x v="0"/>
    <x v="48"/>
    <n v="0"/>
    <n v="5"/>
    <x v="2"/>
  </r>
  <r>
    <x v="607"/>
    <x v="3"/>
    <n v="3"/>
    <n v="65.400000000000006"/>
    <n v="196.20000000000002"/>
    <d v="2025-01-26T00:00:00"/>
    <d v="2025-01-29T00:00:00"/>
    <x v="1"/>
    <x v="3"/>
    <n v="4"/>
    <x v="0"/>
    <x v="18"/>
    <n v="3"/>
    <n v="5"/>
    <x v="1"/>
  </r>
  <r>
    <x v="608"/>
    <x v="1"/>
    <n v="8"/>
    <n v="63.2"/>
    <n v="505.6"/>
    <d v="2025-01-26T00:00:00"/>
    <d v="2025-01-28T00:00:00"/>
    <x v="2"/>
    <x v="1"/>
    <n v="4"/>
    <x v="0"/>
    <x v="19"/>
    <n v="2"/>
    <n v="5"/>
    <x v="2"/>
  </r>
  <r>
    <x v="609"/>
    <x v="1"/>
    <n v="6"/>
    <n v="35.700000000000003"/>
    <n v="214.20000000000002"/>
    <d v="2025-01-26T00:00:00"/>
    <d v="2025-01-30T00:00:00"/>
    <x v="2"/>
    <x v="4"/>
    <n v="3"/>
    <x v="0"/>
    <x v="19"/>
    <n v="4"/>
    <n v="5"/>
    <x v="2"/>
  </r>
  <r>
    <x v="610"/>
    <x v="0"/>
    <n v="20"/>
    <n v="26.2"/>
    <n v="524"/>
    <d v="2025-01-26T00:00:00"/>
    <d v="2025-01-27T00:00:00"/>
    <x v="2"/>
    <x v="3"/>
    <n v="4"/>
    <x v="0"/>
    <x v="21"/>
    <n v="1"/>
    <n v="5"/>
    <x v="2"/>
  </r>
  <r>
    <x v="611"/>
    <x v="7"/>
    <n v="2"/>
    <n v="31"/>
    <n v="62"/>
    <d v="2025-01-26T00:00:00"/>
    <d v="2025-01-27T00:00:00"/>
    <x v="2"/>
    <x v="0"/>
    <n v="5"/>
    <x v="0"/>
    <x v="1"/>
    <n v="1"/>
    <n v="5"/>
    <x v="2"/>
  </r>
  <r>
    <x v="612"/>
    <x v="8"/>
    <n v="4"/>
    <n v="37.700000000000003"/>
    <n v="150.80000000000001"/>
    <d v="2025-01-26T00:00:00"/>
    <d v="2025-01-27T00:00:00"/>
    <x v="2"/>
    <x v="1"/>
    <n v="4"/>
    <x v="0"/>
    <x v="22"/>
    <n v="1"/>
    <n v="5"/>
    <x v="2"/>
  </r>
  <r>
    <x v="613"/>
    <x v="10"/>
    <n v="34"/>
    <n v="43.6"/>
    <n v="1482.4"/>
    <d v="2025-01-26T00:00:00"/>
    <d v="2025-01-28T00:00:00"/>
    <x v="2"/>
    <x v="4"/>
    <n v="3"/>
    <x v="0"/>
    <x v="3"/>
    <n v="2"/>
    <n v="5"/>
    <x v="2"/>
  </r>
  <r>
    <x v="614"/>
    <x v="9"/>
    <n v="4"/>
    <n v="26.5"/>
    <n v="106"/>
    <d v="2025-01-26T00:00:00"/>
    <d v="2025-01-28T00:00:00"/>
    <x v="1"/>
    <x v="0"/>
    <n v="2"/>
    <x v="0"/>
    <x v="3"/>
    <n v="2"/>
    <n v="5"/>
    <x v="1"/>
  </r>
  <r>
    <x v="615"/>
    <x v="0"/>
    <n v="2"/>
    <n v="34.6"/>
    <n v="69.2"/>
    <d v="2025-01-26T00:00:00"/>
    <d v="2025-01-27T00:00:00"/>
    <x v="1"/>
    <x v="4"/>
    <n v="3"/>
    <x v="0"/>
    <x v="3"/>
    <n v="1"/>
    <n v="5"/>
    <x v="1"/>
  </r>
  <r>
    <x v="616"/>
    <x v="8"/>
    <n v="2"/>
    <n v="58.2"/>
    <n v="116.4"/>
    <d v="2025-01-26T00:00:00"/>
    <d v="2025-01-27T00:00:00"/>
    <x v="1"/>
    <x v="2"/>
    <n v="5"/>
    <x v="0"/>
    <x v="3"/>
    <n v="1"/>
    <n v="5"/>
    <x v="1"/>
  </r>
  <r>
    <x v="617"/>
    <x v="7"/>
    <n v="1"/>
    <n v="30.2"/>
    <n v="30.2"/>
    <d v="2025-01-27T00:00:00"/>
    <d v="2025-01-28T00:00:00"/>
    <x v="2"/>
    <x v="2"/>
    <n v="3"/>
    <x v="0"/>
    <x v="3"/>
    <n v="1"/>
    <n v="5"/>
    <x v="2"/>
  </r>
  <r>
    <x v="618"/>
    <x v="1"/>
    <n v="10"/>
    <n v="53.2"/>
    <n v="532"/>
    <d v="2025-01-27T00:00:00"/>
    <d v="2025-01-28T00:00:00"/>
    <x v="1"/>
    <x v="0"/>
    <n v="5"/>
    <x v="0"/>
    <x v="5"/>
    <n v="1"/>
    <n v="5"/>
    <x v="1"/>
  </r>
  <r>
    <x v="619"/>
    <x v="12"/>
    <n v="6"/>
    <n v="51.1"/>
    <n v="306.60000000000002"/>
    <d v="2025-01-27T00:00:00"/>
    <d v="2025-01-27T00:00:00"/>
    <x v="1"/>
    <x v="1"/>
    <n v="5"/>
    <x v="0"/>
    <x v="5"/>
    <n v="0"/>
    <n v="5"/>
    <x v="1"/>
  </r>
  <r>
    <x v="620"/>
    <x v="1"/>
    <n v="1"/>
    <n v="105.4"/>
    <n v="105.4"/>
    <d v="2025-01-27T00:00:00"/>
    <d v="2025-01-31T00:00:00"/>
    <x v="2"/>
    <x v="1"/>
    <n v="5"/>
    <x v="0"/>
    <x v="23"/>
    <n v="4"/>
    <n v="5"/>
    <x v="2"/>
  </r>
  <r>
    <x v="621"/>
    <x v="7"/>
    <n v="1"/>
    <n v="57.7"/>
    <n v="57.7"/>
    <d v="2025-01-27T00:00:00"/>
    <d v="2025-01-27T00:00:00"/>
    <x v="1"/>
    <x v="0"/>
    <n v="2"/>
    <x v="0"/>
    <x v="8"/>
    <n v="0"/>
    <n v="5"/>
    <x v="1"/>
  </r>
  <r>
    <x v="622"/>
    <x v="15"/>
    <n v="2"/>
    <n v="72.400000000000006"/>
    <n v="144.80000000000001"/>
    <d v="2025-01-27T00:00:00"/>
    <d v="2025-02-01T00:00:00"/>
    <x v="2"/>
    <x v="0"/>
    <n v="4"/>
    <x v="0"/>
    <x v="17"/>
    <n v="5"/>
    <n v="5"/>
    <x v="2"/>
  </r>
  <r>
    <x v="623"/>
    <x v="6"/>
    <n v="2"/>
    <n v="62.5"/>
    <n v="125"/>
    <d v="2025-01-27T00:00:00"/>
    <d v="2025-01-28T00:00:00"/>
    <x v="0"/>
    <x v="0"/>
    <n v="5"/>
    <x v="0"/>
    <x v="11"/>
    <n v="1"/>
    <n v="5"/>
    <x v="0"/>
  </r>
  <r>
    <x v="624"/>
    <x v="0"/>
    <n v="22"/>
    <n v="11.6"/>
    <n v="255.2"/>
    <d v="2025-01-27T00:00:00"/>
    <d v="2025-01-29T00:00:00"/>
    <x v="2"/>
    <x v="3"/>
    <n v="5"/>
    <x v="0"/>
    <x v="18"/>
    <n v="2"/>
    <n v="5"/>
    <x v="2"/>
  </r>
  <r>
    <x v="625"/>
    <x v="10"/>
    <n v="10"/>
    <n v="39.6"/>
    <n v="396"/>
    <d v="2025-01-27T00:00:00"/>
    <d v="2025-01-29T00:00:00"/>
    <x v="2"/>
    <x v="2"/>
    <n v="5"/>
    <x v="0"/>
    <x v="18"/>
    <n v="2"/>
    <n v="5"/>
    <x v="2"/>
  </r>
  <r>
    <x v="626"/>
    <x v="8"/>
    <n v="2"/>
    <n v="40.1"/>
    <n v="80.2"/>
    <d v="2025-01-27T00:00:00"/>
    <d v="2025-01-28T00:00:00"/>
    <x v="2"/>
    <x v="2"/>
    <n v="4"/>
    <x v="0"/>
    <x v="18"/>
    <n v="1"/>
    <n v="5"/>
    <x v="2"/>
  </r>
  <r>
    <x v="627"/>
    <x v="8"/>
    <n v="3"/>
    <n v="18.600000000000001"/>
    <n v="55.800000000000004"/>
    <d v="2025-01-27T00:00:00"/>
    <d v="2025-01-28T00:00:00"/>
    <x v="2"/>
    <x v="2"/>
    <n v="4"/>
    <x v="0"/>
    <x v="21"/>
    <n v="1"/>
    <n v="5"/>
    <x v="2"/>
  </r>
  <r>
    <x v="628"/>
    <x v="4"/>
    <n v="1"/>
    <n v="58.8"/>
    <n v="58.8"/>
    <d v="2025-01-27T00:00:00"/>
    <d v="2025-01-29T00:00:00"/>
    <x v="2"/>
    <x v="0"/>
    <n v="3"/>
    <x v="0"/>
    <x v="21"/>
    <n v="2"/>
    <n v="5"/>
    <x v="2"/>
  </r>
  <r>
    <x v="629"/>
    <x v="8"/>
    <n v="2"/>
    <n v="22.1"/>
    <n v="44.2"/>
    <d v="2025-01-27T00:00:00"/>
    <d v="2025-01-30T00:00:00"/>
    <x v="1"/>
    <x v="1"/>
    <n v="5"/>
    <x v="0"/>
    <x v="21"/>
    <n v="3"/>
    <n v="5"/>
    <x v="1"/>
  </r>
  <r>
    <x v="630"/>
    <x v="2"/>
    <n v="1"/>
    <n v="114.9"/>
    <n v="114.9"/>
    <d v="2025-01-28T00:00:00"/>
    <d v="2025-01-29T00:00:00"/>
    <x v="2"/>
    <x v="1"/>
    <n v="3"/>
    <x v="0"/>
    <x v="22"/>
    <n v="1"/>
    <n v="5"/>
    <x v="2"/>
  </r>
  <r>
    <x v="631"/>
    <x v="9"/>
    <n v="5"/>
    <n v="75.8"/>
    <n v="379"/>
    <d v="2025-01-28T00:00:00"/>
    <d v="2025-01-29T00:00:00"/>
    <x v="1"/>
    <x v="0"/>
    <n v="5"/>
    <x v="0"/>
    <x v="3"/>
    <n v="1"/>
    <n v="5"/>
    <x v="1"/>
  </r>
  <r>
    <x v="632"/>
    <x v="14"/>
    <n v="5"/>
    <n v="20.6"/>
    <n v="103"/>
    <d v="2025-01-28T00:00:00"/>
    <d v="2025-01-29T00:00:00"/>
    <x v="1"/>
    <x v="2"/>
    <n v="5"/>
    <x v="0"/>
    <x v="3"/>
    <n v="1"/>
    <n v="5"/>
    <x v="1"/>
  </r>
  <r>
    <x v="633"/>
    <x v="17"/>
    <n v="3"/>
    <n v="67.900000000000006"/>
    <n v="203.70000000000002"/>
    <d v="2025-01-28T00:00:00"/>
    <d v="2025-01-29T00:00:00"/>
    <x v="2"/>
    <x v="1"/>
    <n v="3"/>
    <x v="0"/>
    <x v="3"/>
    <n v="1"/>
    <n v="5"/>
    <x v="2"/>
  </r>
  <r>
    <x v="634"/>
    <x v="0"/>
    <n v="5"/>
    <n v="27"/>
    <n v="135"/>
    <d v="2025-01-28T00:00:00"/>
    <d v="2025-02-04T00:00:00"/>
    <x v="2"/>
    <x v="0"/>
    <n v="5"/>
    <x v="0"/>
    <x v="3"/>
    <n v="7"/>
    <n v="5"/>
    <x v="2"/>
  </r>
  <r>
    <x v="635"/>
    <x v="13"/>
    <n v="1"/>
    <n v="50.6"/>
    <n v="50.6"/>
    <d v="2025-01-28T00:00:00"/>
    <d v="2025-01-28T00:00:00"/>
    <x v="1"/>
    <x v="0"/>
    <n v="3"/>
    <x v="0"/>
    <x v="3"/>
    <n v="0"/>
    <n v="5"/>
    <x v="1"/>
  </r>
  <r>
    <x v="636"/>
    <x v="4"/>
    <n v="5"/>
    <n v="22.1"/>
    <n v="110.5"/>
    <d v="2025-01-28T00:00:00"/>
    <d v="2025-02-02T00:00:00"/>
    <x v="1"/>
    <x v="0"/>
    <n v="4"/>
    <x v="0"/>
    <x v="3"/>
    <n v="5"/>
    <n v="5"/>
    <x v="1"/>
  </r>
  <r>
    <x v="637"/>
    <x v="8"/>
    <n v="3"/>
    <n v="42.9"/>
    <n v="128.69999999999999"/>
    <d v="2025-01-28T00:00:00"/>
    <d v="2025-01-30T00:00:00"/>
    <x v="2"/>
    <x v="0"/>
    <n v="4"/>
    <x v="0"/>
    <x v="3"/>
    <n v="2"/>
    <n v="5"/>
    <x v="2"/>
  </r>
  <r>
    <x v="638"/>
    <x v="1"/>
    <n v="11"/>
    <n v="62.4"/>
    <n v="686.4"/>
    <d v="2025-01-28T00:00:00"/>
    <d v="2025-01-30T00:00:00"/>
    <x v="2"/>
    <x v="2"/>
    <n v="4"/>
    <x v="0"/>
    <x v="3"/>
    <n v="2"/>
    <n v="5"/>
    <x v="2"/>
  </r>
  <r>
    <x v="639"/>
    <x v="13"/>
    <n v="9"/>
    <n v="36.4"/>
    <n v="327.59999999999997"/>
    <d v="2025-01-28T00:00:00"/>
    <d v="2025-01-30T00:00:00"/>
    <x v="2"/>
    <x v="0"/>
    <n v="5"/>
    <x v="0"/>
    <x v="3"/>
    <n v="2"/>
    <n v="5"/>
    <x v="2"/>
  </r>
  <r>
    <x v="640"/>
    <x v="0"/>
    <n v="2"/>
    <n v="22.5"/>
    <n v="45"/>
    <d v="2025-01-28T00:00:00"/>
    <d v="2025-01-31T00:00:00"/>
    <x v="1"/>
    <x v="0"/>
    <n v="4"/>
    <x v="0"/>
    <x v="3"/>
    <n v="3"/>
    <n v="5"/>
    <x v="1"/>
  </r>
  <r>
    <x v="641"/>
    <x v="6"/>
    <n v="4"/>
    <n v="70.8"/>
    <n v="283.2"/>
    <d v="2025-01-28T00:00:00"/>
    <d v="2025-01-30T00:00:00"/>
    <x v="2"/>
    <x v="4"/>
    <n v="4"/>
    <x v="0"/>
    <x v="3"/>
    <n v="2"/>
    <n v="5"/>
    <x v="2"/>
  </r>
  <r>
    <x v="642"/>
    <x v="6"/>
    <n v="5"/>
    <n v="56.6"/>
    <n v="283"/>
    <d v="2025-01-28T00:00:00"/>
    <d v="2025-01-30T00:00:00"/>
    <x v="1"/>
    <x v="0"/>
    <n v="3"/>
    <x v="0"/>
    <x v="4"/>
    <n v="2"/>
    <n v="5"/>
    <x v="1"/>
  </r>
  <r>
    <x v="643"/>
    <x v="6"/>
    <n v="2"/>
    <n v="47.9"/>
    <n v="95.8"/>
    <d v="2025-01-28T00:00:00"/>
    <d v="2025-01-29T00:00:00"/>
    <x v="2"/>
    <x v="0"/>
    <n v="4"/>
    <x v="0"/>
    <x v="6"/>
    <n v="1"/>
    <n v="5"/>
    <x v="2"/>
  </r>
  <r>
    <x v="644"/>
    <x v="6"/>
    <n v="8"/>
    <n v="78.400000000000006"/>
    <n v="627.20000000000005"/>
    <d v="2025-01-28T00:00:00"/>
    <d v="2025-01-30T00:00:00"/>
    <x v="2"/>
    <x v="1"/>
    <n v="4"/>
    <x v="0"/>
    <x v="6"/>
    <n v="2"/>
    <n v="5"/>
    <x v="2"/>
  </r>
  <r>
    <x v="645"/>
    <x v="2"/>
    <n v="14"/>
    <n v="122.1"/>
    <n v="1709.3999999999999"/>
    <d v="2025-01-28T00:00:00"/>
    <d v="2025-02-02T00:00:00"/>
    <x v="2"/>
    <x v="0"/>
    <n v="5"/>
    <x v="0"/>
    <x v="6"/>
    <n v="5"/>
    <n v="5"/>
    <x v="2"/>
  </r>
  <r>
    <x v="646"/>
    <x v="2"/>
    <n v="2"/>
    <n v="83.7"/>
    <n v="167.4"/>
    <d v="2025-01-29T00:00:00"/>
    <d v="2025-01-29T00:00:00"/>
    <x v="0"/>
    <x v="1"/>
    <n v="5"/>
    <x v="0"/>
    <x v="7"/>
    <n v="0"/>
    <n v="5"/>
    <x v="0"/>
  </r>
  <r>
    <x v="647"/>
    <x v="3"/>
    <n v="4"/>
    <n v="97.9"/>
    <n v="391.6"/>
    <d v="2025-01-29T00:00:00"/>
    <d v="2025-02-02T00:00:00"/>
    <x v="2"/>
    <x v="3"/>
    <n v="5"/>
    <x v="0"/>
    <x v="7"/>
    <n v="4"/>
    <n v="5"/>
    <x v="2"/>
  </r>
  <r>
    <x v="648"/>
    <x v="14"/>
    <n v="1"/>
    <n v="15"/>
    <n v="15"/>
    <d v="2025-01-29T00:00:00"/>
    <d v="2025-02-03T00:00:00"/>
    <x v="2"/>
    <x v="3"/>
    <n v="4"/>
    <x v="0"/>
    <x v="8"/>
    <n v="5"/>
    <n v="5"/>
    <x v="2"/>
  </r>
  <r>
    <x v="649"/>
    <x v="12"/>
    <n v="3"/>
    <n v="94.6"/>
    <n v="283.79999999999995"/>
    <d v="2025-01-29T00:00:00"/>
    <d v="2025-01-30T00:00:00"/>
    <x v="1"/>
    <x v="2"/>
    <n v="3"/>
    <x v="0"/>
    <x v="8"/>
    <n v="1"/>
    <n v="5"/>
    <x v="1"/>
  </r>
  <r>
    <x v="650"/>
    <x v="0"/>
    <n v="6"/>
    <n v="19.7"/>
    <n v="118.19999999999999"/>
    <d v="2025-01-29T00:00:00"/>
    <d v="2025-02-09T00:00:00"/>
    <x v="2"/>
    <x v="0"/>
    <n v="5"/>
    <x v="0"/>
    <x v="8"/>
    <n v="11"/>
    <n v="5"/>
    <x v="2"/>
  </r>
  <r>
    <x v="651"/>
    <x v="7"/>
    <n v="1"/>
    <n v="46.7"/>
    <n v="46.7"/>
    <d v="2025-01-29T00:00:00"/>
    <d v="2025-02-01T00:00:00"/>
    <x v="2"/>
    <x v="2"/>
    <n v="4"/>
    <x v="0"/>
    <x v="17"/>
    <n v="3"/>
    <n v="5"/>
    <x v="2"/>
  </r>
  <r>
    <x v="652"/>
    <x v="1"/>
    <n v="4"/>
    <n v="43"/>
    <n v="172"/>
    <d v="2025-01-29T00:00:00"/>
    <d v="2025-01-30T00:00:00"/>
    <x v="1"/>
    <x v="2"/>
    <n v="5"/>
    <x v="0"/>
    <x v="17"/>
    <n v="1"/>
    <n v="5"/>
    <x v="1"/>
  </r>
  <r>
    <x v="653"/>
    <x v="6"/>
    <n v="3"/>
    <n v="68.2"/>
    <n v="204.60000000000002"/>
    <d v="2025-01-29T00:00:00"/>
    <d v="2025-02-04T00:00:00"/>
    <x v="2"/>
    <x v="0"/>
    <n v="4"/>
    <x v="0"/>
    <x v="9"/>
    <n v="6"/>
    <n v="5"/>
    <x v="2"/>
  </r>
  <r>
    <x v="654"/>
    <x v="10"/>
    <n v="10"/>
    <n v="24.3"/>
    <n v="243"/>
    <d v="2025-01-29T00:00:00"/>
    <d v="2025-01-30T00:00:00"/>
    <x v="1"/>
    <x v="0"/>
    <n v="5"/>
    <x v="0"/>
    <x v="10"/>
    <n v="1"/>
    <n v="5"/>
    <x v="1"/>
  </r>
  <r>
    <x v="655"/>
    <x v="7"/>
    <n v="2"/>
    <n v="86.8"/>
    <n v="173.6"/>
    <d v="2025-01-29T00:00:00"/>
    <d v="2025-02-02T00:00:00"/>
    <x v="2"/>
    <x v="4"/>
    <n v="5"/>
    <x v="0"/>
    <x v="11"/>
    <n v="4"/>
    <n v="5"/>
    <x v="2"/>
  </r>
  <r>
    <x v="656"/>
    <x v="0"/>
    <n v="2"/>
    <n v="15.8"/>
    <n v="31.6"/>
    <d v="2025-01-29T00:00:00"/>
    <d v="2025-01-31T00:00:00"/>
    <x v="1"/>
    <x v="1"/>
    <n v="4"/>
    <x v="0"/>
    <x v="11"/>
    <n v="2"/>
    <n v="5"/>
    <x v="1"/>
  </r>
  <r>
    <x v="657"/>
    <x v="2"/>
    <n v="4"/>
    <n v="61.6"/>
    <n v="246.4"/>
    <d v="2025-01-29T00:00:00"/>
    <d v="2025-01-30T00:00:00"/>
    <x v="1"/>
    <x v="2"/>
    <n v="4"/>
    <x v="0"/>
    <x v="11"/>
    <n v="1"/>
    <n v="5"/>
    <x v="1"/>
  </r>
  <r>
    <x v="658"/>
    <x v="6"/>
    <n v="3"/>
    <n v="48.7"/>
    <n v="146.10000000000002"/>
    <d v="2025-01-29T00:00:00"/>
    <d v="2025-02-04T00:00:00"/>
    <x v="2"/>
    <x v="1"/>
    <n v="5"/>
    <x v="0"/>
    <x v="45"/>
    <n v="6"/>
    <n v="5"/>
    <x v="2"/>
  </r>
  <r>
    <x v="659"/>
    <x v="8"/>
    <n v="4"/>
    <n v="24.3"/>
    <n v="97.2"/>
    <d v="2025-01-29T00:00:00"/>
    <d v="2025-01-31T00:00:00"/>
    <x v="2"/>
    <x v="1"/>
    <n v="5"/>
    <x v="0"/>
    <x v="21"/>
    <n v="2"/>
    <n v="5"/>
    <x v="2"/>
  </r>
  <r>
    <x v="660"/>
    <x v="2"/>
    <n v="2"/>
    <n v="130.69999999999999"/>
    <n v="261.39999999999998"/>
    <d v="2025-01-29T00:00:00"/>
    <d v="2025-01-30T00:00:00"/>
    <x v="2"/>
    <x v="2"/>
    <n v="4"/>
    <x v="0"/>
    <x v="44"/>
    <n v="1"/>
    <n v="5"/>
    <x v="2"/>
  </r>
  <r>
    <x v="661"/>
    <x v="10"/>
    <n v="1"/>
    <n v="26"/>
    <n v="26"/>
    <d v="2025-01-29T00:00:00"/>
    <d v="2025-01-31T00:00:00"/>
    <x v="1"/>
    <x v="0"/>
    <n v="4"/>
    <x v="0"/>
    <x v="3"/>
    <n v="2"/>
    <n v="5"/>
    <x v="1"/>
  </r>
  <r>
    <x v="662"/>
    <x v="2"/>
    <n v="5"/>
    <n v="94.4"/>
    <n v="472"/>
    <d v="2025-01-29T00:00:00"/>
    <d v="2025-01-30T00:00:00"/>
    <x v="2"/>
    <x v="0"/>
    <n v="4"/>
    <x v="0"/>
    <x v="3"/>
    <n v="1"/>
    <n v="5"/>
    <x v="2"/>
  </r>
  <r>
    <x v="663"/>
    <x v="0"/>
    <n v="6"/>
    <n v="23.7"/>
    <n v="142.19999999999999"/>
    <d v="2025-01-29T00:00:00"/>
    <d v="2025-01-31T00:00:00"/>
    <x v="1"/>
    <x v="2"/>
    <n v="5"/>
    <x v="0"/>
    <x v="3"/>
    <n v="2"/>
    <n v="5"/>
    <x v="1"/>
  </r>
  <r>
    <x v="664"/>
    <x v="9"/>
    <n v="12"/>
    <n v="37.4"/>
    <n v="448.79999999999995"/>
    <d v="2025-01-29T00:00:00"/>
    <d v="2025-01-31T00:00:00"/>
    <x v="1"/>
    <x v="2"/>
    <n v="4"/>
    <x v="0"/>
    <x v="3"/>
    <n v="2"/>
    <n v="5"/>
    <x v="1"/>
  </r>
  <r>
    <x v="665"/>
    <x v="1"/>
    <n v="36"/>
    <n v="55.2"/>
    <n v="1987.2"/>
    <d v="2025-01-29T00:00:00"/>
    <d v="2025-01-29T00:00:00"/>
    <x v="2"/>
    <x v="3"/>
    <n v="3"/>
    <x v="0"/>
    <x v="3"/>
    <n v="0"/>
    <n v="5"/>
    <x v="2"/>
  </r>
  <r>
    <x v="666"/>
    <x v="2"/>
    <n v="9"/>
    <n v="57.1"/>
    <n v="513.9"/>
    <d v="2025-01-29T00:00:00"/>
    <d v="2025-01-31T00:00:00"/>
    <x v="1"/>
    <x v="0"/>
    <n v="5"/>
    <x v="0"/>
    <x v="3"/>
    <n v="2"/>
    <n v="5"/>
    <x v="1"/>
  </r>
  <r>
    <x v="667"/>
    <x v="12"/>
    <n v="1"/>
    <n v="55.3"/>
    <n v="55.3"/>
    <d v="2025-01-29T00:00:00"/>
    <d v="2025-01-30T00:00:00"/>
    <x v="2"/>
    <x v="2"/>
    <n v="5"/>
    <x v="0"/>
    <x v="3"/>
    <n v="1"/>
    <n v="5"/>
    <x v="2"/>
  </r>
  <r>
    <x v="668"/>
    <x v="15"/>
    <n v="7"/>
    <n v="23.9"/>
    <n v="167.29999999999998"/>
    <d v="2025-01-29T00:00:00"/>
    <d v="2025-01-30T00:00:00"/>
    <x v="2"/>
    <x v="4"/>
    <n v="3"/>
    <x v="0"/>
    <x v="3"/>
    <n v="1"/>
    <n v="5"/>
    <x v="2"/>
  </r>
  <r>
    <x v="669"/>
    <x v="0"/>
    <n v="1"/>
    <n v="34.1"/>
    <n v="34.1"/>
    <d v="2025-01-29T00:00:00"/>
    <d v="2025-02-05T00:00:00"/>
    <x v="2"/>
    <x v="2"/>
    <n v="4"/>
    <x v="0"/>
    <x v="3"/>
    <n v="7"/>
    <n v="5"/>
    <x v="2"/>
  </r>
  <r>
    <x v="670"/>
    <x v="12"/>
    <n v="4"/>
    <n v="38.5"/>
    <n v="154"/>
    <d v="2025-01-29T00:00:00"/>
    <d v="2025-02-09T00:00:00"/>
    <x v="2"/>
    <x v="0"/>
    <n v="4"/>
    <x v="0"/>
    <x v="3"/>
    <n v="11"/>
    <n v="5"/>
    <x v="2"/>
  </r>
  <r>
    <x v="671"/>
    <x v="7"/>
    <n v="2"/>
    <n v="105"/>
    <n v="210"/>
    <d v="2025-01-29T00:00:00"/>
    <d v="2025-02-04T00:00:00"/>
    <x v="2"/>
    <x v="0"/>
    <n v="5"/>
    <x v="0"/>
    <x v="3"/>
    <n v="6"/>
    <n v="5"/>
    <x v="2"/>
  </r>
  <r>
    <x v="672"/>
    <x v="8"/>
    <n v="5"/>
    <n v="45.2"/>
    <n v="226"/>
    <d v="2025-01-29T00:00:00"/>
    <d v="2025-01-31T00:00:00"/>
    <x v="2"/>
    <x v="0"/>
    <n v="5"/>
    <x v="0"/>
    <x v="3"/>
    <n v="2"/>
    <n v="5"/>
    <x v="2"/>
  </r>
  <r>
    <x v="673"/>
    <x v="17"/>
    <n v="3"/>
    <n v="24.8"/>
    <n v="74.400000000000006"/>
    <d v="2025-01-29T00:00:00"/>
    <d v="2025-01-29T00:00:00"/>
    <x v="0"/>
    <x v="0"/>
    <n v="3"/>
    <x v="0"/>
    <x v="3"/>
    <n v="0"/>
    <n v="5"/>
    <x v="0"/>
  </r>
  <r>
    <x v="674"/>
    <x v="11"/>
    <n v="4"/>
    <n v="43.8"/>
    <n v="175.2"/>
    <d v="2025-01-29T00:00:00"/>
    <d v="2025-02-05T00:00:00"/>
    <x v="2"/>
    <x v="1"/>
    <n v="5"/>
    <x v="0"/>
    <x v="6"/>
    <n v="7"/>
    <n v="5"/>
    <x v="2"/>
  </r>
  <r>
    <x v="675"/>
    <x v="1"/>
    <n v="1"/>
    <n v="75"/>
    <n v="75"/>
    <d v="2025-01-29T00:00:00"/>
    <d v="2025-01-31T00:00:00"/>
    <x v="2"/>
    <x v="4"/>
    <n v="3"/>
    <x v="0"/>
    <x v="6"/>
    <n v="2"/>
    <n v="5"/>
    <x v="2"/>
  </r>
  <r>
    <x v="676"/>
    <x v="2"/>
    <n v="1"/>
    <n v="169.9"/>
    <n v="169.9"/>
    <d v="2025-01-29T00:00:00"/>
    <d v="2025-01-30T00:00:00"/>
    <x v="1"/>
    <x v="2"/>
    <n v="4"/>
    <x v="0"/>
    <x v="6"/>
    <n v="1"/>
    <n v="5"/>
    <x v="1"/>
  </r>
  <r>
    <x v="677"/>
    <x v="9"/>
    <n v="2"/>
    <n v="72.2"/>
    <n v="144.4"/>
    <d v="2025-01-29T00:00:00"/>
    <d v="2025-01-31T00:00:00"/>
    <x v="2"/>
    <x v="4"/>
    <n v="3"/>
    <x v="0"/>
    <x v="6"/>
    <n v="2"/>
    <n v="5"/>
    <x v="2"/>
  </r>
  <r>
    <x v="678"/>
    <x v="0"/>
    <n v="1"/>
    <n v="20"/>
    <n v="20"/>
    <d v="2025-01-30T00:00:00"/>
    <d v="2025-02-02T00:00:00"/>
    <x v="2"/>
    <x v="2"/>
    <n v="3"/>
    <x v="0"/>
    <x v="7"/>
    <n v="3"/>
    <n v="5"/>
    <x v="2"/>
  </r>
  <r>
    <x v="679"/>
    <x v="9"/>
    <n v="2"/>
    <n v="40.799999999999997"/>
    <n v="81.599999999999994"/>
    <d v="2025-01-30T00:00:00"/>
    <d v="2025-02-01T00:00:00"/>
    <x v="2"/>
    <x v="3"/>
    <n v="5"/>
    <x v="0"/>
    <x v="8"/>
    <n v="2"/>
    <n v="5"/>
    <x v="2"/>
  </r>
  <r>
    <x v="680"/>
    <x v="10"/>
    <n v="4"/>
    <n v="58"/>
    <n v="232"/>
    <d v="2025-01-30T00:00:00"/>
    <d v="2025-02-03T00:00:00"/>
    <x v="2"/>
    <x v="0"/>
    <n v="4"/>
    <x v="0"/>
    <x v="8"/>
    <n v="4"/>
    <n v="5"/>
    <x v="2"/>
  </r>
  <r>
    <x v="681"/>
    <x v="12"/>
    <n v="2"/>
    <n v="43.1"/>
    <n v="86.2"/>
    <d v="2025-01-30T00:00:00"/>
    <d v="2025-01-31T00:00:00"/>
    <x v="2"/>
    <x v="1"/>
    <n v="5"/>
    <x v="0"/>
    <x v="8"/>
    <n v="1"/>
    <n v="5"/>
    <x v="2"/>
  </r>
  <r>
    <x v="682"/>
    <x v="6"/>
    <n v="9"/>
    <n v="74.7"/>
    <n v="672.30000000000007"/>
    <d v="2025-01-30T00:00:00"/>
    <d v="2025-02-01T00:00:00"/>
    <x v="1"/>
    <x v="0"/>
    <n v="5"/>
    <x v="0"/>
    <x v="8"/>
    <n v="2"/>
    <n v="5"/>
    <x v="1"/>
  </r>
  <r>
    <x v="683"/>
    <x v="6"/>
    <n v="1"/>
    <n v="128.19999999999999"/>
    <n v="128.19999999999999"/>
    <d v="2025-01-30T00:00:00"/>
    <d v="2025-01-30T00:00:00"/>
    <x v="1"/>
    <x v="1"/>
    <n v="4"/>
    <x v="0"/>
    <x v="8"/>
    <n v="0"/>
    <n v="5"/>
    <x v="1"/>
  </r>
  <r>
    <x v="684"/>
    <x v="14"/>
    <n v="4"/>
    <n v="26.7"/>
    <n v="106.8"/>
    <d v="2025-01-30T00:00:00"/>
    <d v="2025-01-31T00:00:00"/>
    <x v="1"/>
    <x v="1"/>
    <n v="4"/>
    <x v="0"/>
    <x v="8"/>
    <n v="1"/>
    <n v="5"/>
    <x v="1"/>
  </r>
  <r>
    <x v="685"/>
    <x v="17"/>
    <n v="6"/>
    <n v="31.5"/>
    <n v="189"/>
    <d v="2025-01-30T00:00:00"/>
    <d v="2025-01-31T00:00:00"/>
    <x v="2"/>
    <x v="2"/>
    <n v="4"/>
    <x v="0"/>
    <x v="17"/>
    <n v="1"/>
    <n v="5"/>
    <x v="2"/>
  </r>
  <r>
    <x v="686"/>
    <x v="3"/>
    <n v="7"/>
    <n v="64.7"/>
    <n v="452.90000000000003"/>
    <d v="2025-01-30T00:00:00"/>
    <d v="2025-01-31T00:00:00"/>
    <x v="2"/>
    <x v="0"/>
    <n v="5"/>
    <x v="0"/>
    <x v="9"/>
    <n v="1"/>
    <n v="5"/>
    <x v="2"/>
  </r>
  <r>
    <x v="687"/>
    <x v="5"/>
    <n v="2"/>
    <n v="55.6"/>
    <n v="111.2"/>
    <d v="2025-01-30T00:00:00"/>
    <d v="2025-02-02T00:00:00"/>
    <x v="2"/>
    <x v="3"/>
    <n v="4"/>
    <x v="0"/>
    <x v="11"/>
    <n v="3"/>
    <n v="5"/>
    <x v="2"/>
  </r>
  <r>
    <x v="688"/>
    <x v="3"/>
    <n v="2"/>
    <n v="36.200000000000003"/>
    <n v="72.400000000000006"/>
    <d v="2025-01-30T00:00:00"/>
    <d v="2025-01-31T00:00:00"/>
    <x v="2"/>
    <x v="3"/>
    <n v="4"/>
    <x v="0"/>
    <x v="11"/>
    <n v="1"/>
    <n v="5"/>
    <x v="2"/>
  </r>
  <r>
    <x v="689"/>
    <x v="0"/>
    <n v="1"/>
    <n v="26.6"/>
    <n v="26.6"/>
    <d v="2025-01-30T00:00:00"/>
    <d v="2025-01-31T00:00:00"/>
    <x v="0"/>
    <x v="1"/>
    <n v="3"/>
    <x v="0"/>
    <x v="19"/>
    <n v="1"/>
    <n v="5"/>
    <x v="0"/>
  </r>
  <r>
    <x v="690"/>
    <x v="10"/>
    <n v="4"/>
    <n v="31.5"/>
    <n v="126"/>
    <d v="2025-01-30T00:00:00"/>
    <d v="2025-02-01T00:00:00"/>
    <x v="1"/>
    <x v="0"/>
    <n v="4"/>
    <x v="0"/>
    <x v="31"/>
    <n v="2"/>
    <n v="5"/>
    <x v="1"/>
  </r>
  <r>
    <x v="691"/>
    <x v="10"/>
    <n v="1"/>
    <n v="27"/>
    <n v="27"/>
    <d v="2025-01-30T00:00:00"/>
    <d v="2025-02-01T00:00:00"/>
    <x v="2"/>
    <x v="1"/>
    <n v="5"/>
    <x v="0"/>
    <x v="13"/>
    <n v="2"/>
    <n v="5"/>
    <x v="2"/>
  </r>
  <r>
    <x v="692"/>
    <x v="4"/>
    <n v="1"/>
    <n v="32"/>
    <n v="32"/>
    <d v="2025-01-30T00:00:00"/>
    <d v="2025-02-02T00:00:00"/>
    <x v="1"/>
    <x v="3"/>
    <n v="4"/>
    <x v="0"/>
    <x v="21"/>
    <n v="3"/>
    <n v="5"/>
    <x v="1"/>
  </r>
  <r>
    <x v="693"/>
    <x v="1"/>
    <n v="3"/>
    <n v="48.1"/>
    <n v="144.30000000000001"/>
    <d v="2025-01-30T00:00:00"/>
    <d v="2025-02-01T00:00:00"/>
    <x v="1"/>
    <x v="2"/>
    <n v="3"/>
    <x v="0"/>
    <x v="1"/>
    <n v="2"/>
    <n v="5"/>
    <x v="1"/>
  </r>
  <r>
    <x v="694"/>
    <x v="9"/>
    <n v="2"/>
    <n v="43.4"/>
    <n v="86.8"/>
    <d v="2025-01-30T00:00:00"/>
    <d v="2025-01-31T00:00:00"/>
    <x v="1"/>
    <x v="1"/>
    <n v="3"/>
    <x v="0"/>
    <x v="22"/>
    <n v="1"/>
    <n v="5"/>
    <x v="1"/>
  </r>
  <r>
    <x v="695"/>
    <x v="6"/>
    <n v="2"/>
    <n v="42.6"/>
    <n v="85.2"/>
    <d v="2025-01-30T00:00:00"/>
    <d v="2025-02-02T00:00:00"/>
    <x v="2"/>
    <x v="3"/>
    <n v="4"/>
    <x v="0"/>
    <x v="22"/>
    <n v="3"/>
    <n v="5"/>
    <x v="2"/>
  </r>
  <r>
    <x v="696"/>
    <x v="8"/>
    <n v="2"/>
    <n v="15.9"/>
    <n v="31.8"/>
    <d v="2025-01-30T00:00:00"/>
    <d v="2025-01-31T00:00:00"/>
    <x v="2"/>
    <x v="0"/>
    <n v="4"/>
    <x v="0"/>
    <x v="34"/>
    <n v="1"/>
    <n v="5"/>
    <x v="2"/>
  </r>
  <r>
    <x v="697"/>
    <x v="9"/>
    <n v="2"/>
    <n v="63.2"/>
    <n v="126.4"/>
    <d v="2025-01-30T00:00:00"/>
    <d v="2025-01-31T00:00:00"/>
    <x v="1"/>
    <x v="1"/>
    <n v="4"/>
    <x v="0"/>
    <x v="3"/>
    <n v="1"/>
    <n v="5"/>
    <x v="1"/>
  </r>
  <r>
    <x v="698"/>
    <x v="7"/>
    <n v="4"/>
    <n v="64.8"/>
    <n v="259.2"/>
    <d v="2025-01-30T00:00:00"/>
    <d v="2025-02-01T00:00:00"/>
    <x v="0"/>
    <x v="4"/>
    <n v="3"/>
    <x v="0"/>
    <x v="3"/>
    <n v="2"/>
    <n v="5"/>
    <x v="0"/>
  </r>
  <r>
    <x v="699"/>
    <x v="7"/>
    <n v="3"/>
    <n v="79.8"/>
    <n v="239.39999999999998"/>
    <d v="2025-01-30T00:00:00"/>
    <d v="2025-01-31T00:00:00"/>
    <x v="1"/>
    <x v="0"/>
    <n v="4"/>
    <x v="0"/>
    <x v="3"/>
    <n v="1"/>
    <n v="5"/>
    <x v="1"/>
  </r>
  <r>
    <x v="700"/>
    <x v="9"/>
    <n v="1"/>
    <n v="54.4"/>
    <n v="54.4"/>
    <d v="2025-01-30T00:00:00"/>
    <d v="2025-02-01T00:00:00"/>
    <x v="2"/>
    <x v="4"/>
    <n v="5"/>
    <x v="0"/>
    <x v="3"/>
    <n v="2"/>
    <n v="5"/>
    <x v="2"/>
  </r>
  <r>
    <x v="701"/>
    <x v="6"/>
    <n v="1"/>
    <n v="87.3"/>
    <n v="87.3"/>
    <d v="2025-01-30T00:00:00"/>
    <d v="2025-01-31T00:00:00"/>
    <x v="1"/>
    <x v="1"/>
    <n v="4"/>
    <x v="0"/>
    <x v="3"/>
    <n v="1"/>
    <n v="5"/>
    <x v="1"/>
  </r>
  <r>
    <x v="702"/>
    <x v="8"/>
    <n v="4"/>
    <n v="32.4"/>
    <n v="129.6"/>
    <d v="2025-01-30T00:00:00"/>
    <d v="2025-01-30T00:00:00"/>
    <x v="1"/>
    <x v="1"/>
    <n v="4"/>
    <x v="0"/>
    <x v="3"/>
    <n v="0"/>
    <n v="5"/>
    <x v="1"/>
  </r>
  <r>
    <x v="703"/>
    <x v="2"/>
    <n v="1"/>
    <n v="177.4"/>
    <n v="177.4"/>
    <d v="2025-01-30T00:00:00"/>
    <d v="2025-02-03T00:00:00"/>
    <x v="1"/>
    <x v="0"/>
    <n v="5"/>
    <x v="0"/>
    <x v="3"/>
    <n v="4"/>
    <n v="5"/>
    <x v="1"/>
  </r>
  <r>
    <x v="704"/>
    <x v="7"/>
    <n v="2"/>
    <n v="70.099999999999994"/>
    <n v="140.19999999999999"/>
    <d v="2025-01-30T00:00:00"/>
    <d v="2025-01-31T00:00:00"/>
    <x v="1"/>
    <x v="3"/>
    <n v="3"/>
    <x v="0"/>
    <x v="3"/>
    <n v="1"/>
    <n v="5"/>
    <x v="1"/>
  </r>
  <r>
    <x v="705"/>
    <x v="9"/>
    <n v="6"/>
    <n v="51.1"/>
    <n v="306.60000000000002"/>
    <d v="2025-01-30T00:00:00"/>
    <d v="2025-01-31T00:00:00"/>
    <x v="2"/>
    <x v="0"/>
    <n v="4"/>
    <x v="0"/>
    <x v="3"/>
    <n v="1"/>
    <n v="5"/>
    <x v="2"/>
  </r>
  <r>
    <x v="706"/>
    <x v="2"/>
    <n v="5"/>
    <n v="79.900000000000006"/>
    <n v="399.5"/>
    <d v="2025-01-30T00:00:00"/>
    <d v="2025-02-01T00:00:00"/>
    <x v="1"/>
    <x v="3"/>
    <n v="5"/>
    <x v="0"/>
    <x v="24"/>
    <n v="2"/>
    <n v="5"/>
    <x v="1"/>
  </r>
  <r>
    <x v="707"/>
    <x v="6"/>
    <n v="1"/>
    <n v="57.6"/>
    <n v="57.6"/>
    <d v="2025-01-31T00:00:00"/>
    <d v="2025-02-05T00:00:00"/>
    <x v="1"/>
    <x v="0"/>
    <n v="5"/>
    <x v="0"/>
    <x v="49"/>
    <n v="5"/>
    <n v="5"/>
    <x v="1"/>
  </r>
  <r>
    <x v="708"/>
    <x v="8"/>
    <n v="10"/>
    <n v="59.7"/>
    <n v="597"/>
    <d v="2025-01-31T00:00:00"/>
    <d v="2025-02-04T00:00:00"/>
    <x v="1"/>
    <x v="2"/>
    <n v="4"/>
    <x v="0"/>
    <x v="25"/>
    <n v="4"/>
    <n v="5"/>
    <x v="1"/>
  </r>
  <r>
    <x v="709"/>
    <x v="8"/>
    <n v="5"/>
    <n v="30"/>
    <n v="150"/>
    <d v="2025-01-31T00:00:00"/>
    <d v="2025-02-02T00:00:00"/>
    <x v="1"/>
    <x v="1"/>
    <n v="4"/>
    <x v="0"/>
    <x v="6"/>
    <n v="2"/>
    <n v="5"/>
    <x v="1"/>
  </r>
  <r>
    <x v="710"/>
    <x v="10"/>
    <n v="2"/>
    <n v="69.2"/>
    <n v="138.4"/>
    <d v="2025-01-31T00:00:00"/>
    <d v="2025-02-02T00:00:00"/>
    <x v="0"/>
    <x v="2"/>
    <n v="3"/>
    <x v="0"/>
    <x v="6"/>
    <n v="2"/>
    <n v="5"/>
    <x v="0"/>
  </r>
  <r>
    <x v="711"/>
    <x v="0"/>
    <n v="8"/>
    <n v="10.9"/>
    <n v="87.2"/>
    <d v="2025-01-31T00:00:00"/>
    <d v="2025-02-01T00:00:00"/>
    <x v="2"/>
    <x v="0"/>
    <n v="5"/>
    <x v="0"/>
    <x v="6"/>
    <n v="1"/>
    <n v="5"/>
    <x v="2"/>
  </r>
  <r>
    <x v="712"/>
    <x v="16"/>
    <n v="2"/>
    <n v="48.6"/>
    <n v="97.2"/>
    <d v="2025-01-31T00:00:00"/>
    <d v="2025-02-04T00:00:00"/>
    <x v="1"/>
    <x v="1"/>
    <n v="5"/>
    <x v="0"/>
    <x v="6"/>
    <n v="4"/>
    <n v="5"/>
    <x v="1"/>
  </r>
  <r>
    <x v="713"/>
    <x v="2"/>
    <n v="2"/>
    <n v="61.1"/>
    <n v="122.2"/>
    <d v="2025-01-31T00:00:00"/>
    <d v="2025-02-03T00:00:00"/>
    <x v="2"/>
    <x v="1"/>
    <n v="5"/>
    <x v="0"/>
    <x v="7"/>
    <n v="3"/>
    <n v="5"/>
    <x v="2"/>
  </r>
  <r>
    <x v="714"/>
    <x v="8"/>
    <n v="2"/>
    <n v="23.2"/>
    <n v="46.4"/>
    <d v="2025-01-31T00:00:00"/>
    <d v="2025-02-01T00:00:00"/>
    <x v="1"/>
    <x v="3"/>
    <n v="5"/>
    <x v="0"/>
    <x v="8"/>
    <n v="1"/>
    <n v="5"/>
    <x v="1"/>
  </r>
  <r>
    <x v="715"/>
    <x v="12"/>
    <n v="4"/>
    <n v="55.8"/>
    <n v="223.2"/>
    <d v="2025-01-31T00:00:00"/>
    <d v="2025-02-01T00:00:00"/>
    <x v="1"/>
    <x v="0"/>
    <n v="4"/>
    <x v="0"/>
    <x v="8"/>
    <n v="1"/>
    <n v="5"/>
    <x v="1"/>
  </r>
  <r>
    <x v="716"/>
    <x v="9"/>
    <n v="4"/>
    <n v="24.8"/>
    <n v="99.2"/>
    <d v="2025-01-31T00:00:00"/>
    <d v="2025-02-01T00:00:00"/>
    <x v="2"/>
    <x v="0"/>
    <n v="5"/>
    <x v="0"/>
    <x v="8"/>
    <n v="1"/>
    <n v="5"/>
    <x v="2"/>
  </r>
  <r>
    <x v="717"/>
    <x v="10"/>
    <n v="2"/>
    <n v="27.9"/>
    <n v="55.8"/>
    <d v="2025-01-31T00:00:00"/>
    <d v="2025-01-31T00:00:00"/>
    <x v="1"/>
    <x v="2"/>
    <n v="5"/>
    <x v="0"/>
    <x v="8"/>
    <n v="0"/>
    <n v="5"/>
    <x v="1"/>
  </r>
  <r>
    <x v="718"/>
    <x v="10"/>
    <n v="6"/>
    <n v="51.1"/>
    <n v="306.60000000000002"/>
    <d v="2025-01-31T00:00:00"/>
    <d v="2025-01-31T00:00:00"/>
    <x v="2"/>
    <x v="3"/>
    <n v="4"/>
    <x v="0"/>
    <x v="8"/>
    <n v="0"/>
    <n v="5"/>
    <x v="2"/>
  </r>
  <r>
    <x v="719"/>
    <x v="17"/>
    <n v="11"/>
    <n v="32.700000000000003"/>
    <n v="359.70000000000005"/>
    <d v="2025-01-31T00:00:00"/>
    <d v="2025-02-01T00:00:00"/>
    <x v="1"/>
    <x v="4"/>
    <n v="5"/>
    <x v="0"/>
    <x v="17"/>
    <n v="1"/>
    <n v="5"/>
    <x v="1"/>
  </r>
  <r>
    <x v="720"/>
    <x v="8"/>
    <n v="4"/>
    <n v="22.5"/>
    <n v="90"/>
    <d v="2025-01-31T00:00:00"/>
    <d v="2025-01-31T00:00:00"/>
    <x v="1"/>
    <x v="0"/>
    <n v="5"/>
    <x v="0"/>
    <x v="26"/>
    <n v="0"/>
    <n v="5"/>
    <x v="1"/>
  </r>
  <r>
    <x v="721"/>
    <x v="0"/>
    <n v="7"/>
    <n v="14.6"/>
    <n v="102.2"/>
    <d v="2025-01-31T00:00:00"/>
    <d v="2025-02-01T00:00:00"/>
    <x v="2"/>
    <x v="2"/>
    <n v="4"/>
    <x v="0"/>
    <x v="41"/>
    <n v="1"/>
    <n v="5"/>
    <x v="2"/>
  </r>
  <r>
    <x v="722"/>
    <x v="5"/>
    <n v="3"/>
    <n v="32.5"/>
    <n v="97.5"/>
    <d v="2025-01-31T00:00:00"/>
    <d v="2025-02-03T00:00:00"/>
    <x v="1"/>
    <x v="0"/>
    <n v="4"/>
    <x v="0"/>
    <x v="10"/>
    <n v="3"/>
    <n v="5"/>
    <x v="1"/>
  </r>
  <r>
    <x v="723"/>
    <x v="18"/>
    <n v="1"/>
    <n v="78.099999999999994"/>
    <n v="78.099999999999994"/>
    <d v="2025-01-31T00:00:00"/>
    <d v="2025-02-03T00:00:00"/>
    <x v="1"/>
    <x v="0"/>
    <n v="5"/>
    <x v="0"/>
    <x v="11"/>
    <n v="3"/>
    <n v="5"/>
    <x v="1"/>
  </r>
  <r>
    <x v="724"/>
    <x v="12"/>
    <n v="6"/>
    <n v="110.2"/>
    <n v="661.2"/>
    <d v="2025-01-31T00:00:00"/>
    <d v="2025-01-31T00:00:00"/>
    <x v="1"/>
    <x v="1"/>
    <n v="2"/>
    <x v="0"/>
    <x v="13"/>
    <n v="0"/>
    <n v="5"/>
    <x v="1"/>
  </r>
  <r>
    <x v="725"/>
    <x v="6"/>
    <n v="3"/>
    <n v="86.3"/>
    <n v="258.89999999999998"/>
    <d v="2025-01-31T00:00:00"/>
    <d v="2025-02-02T00:00:00"/>
    <x v="2"/>
    <x v="3"/>
    <n v="4"/>
    <x v="0"/>
    <x v="21"/>
    <n v="2"/>
    <n v="5"/>
    <x v="2"/>
  </r>
  <r>
    <x v="726"/>
    <x v="1"/>
    <n v="6"/>
    <n v="73.599999999999994"/>
    <n v="441.59999999999997"/>
    <d v="2025-01-31T00:00:00"/>
    <d v="2025-02-02T00:00:00"/>
    <x v="3"/>
    <x v="3"/>
    <n v="2"/>
    <x v="0"/>
    <x v="44"/>
    <n v="2"/>
    <n v="5"/>
    <x v="3"/>
  </r>
  <r>
    <x v="727"/>
    <x v="6"/>
    <n v="13"/>
    <n v="67.7"/>
    <n v="880.1"/>
    <d v="2025-01-31T00:00:00"/>
    <d v="2025-02-02T00:00:00"/>
    <x v="2"/>
    <x v="0"/>
    <n v="5"/>
    <x v="0"/>
    <x v="3"/>
    <n v="2"/>
    <n v="5"/>
    <x v="2"/>
  </r>
  <r>
    <x v="728"/>
    <x v="7"/>
    <n v="6"/>
    <n v="142.19999999999999"/>
    <n v="853.19999999999993"/>
    <d v="2025-01-31T00:00:00"/>
    <d v="2025-02-01T00:00:00"/>
    <x v="2"/>
    <x v="2"/>
    <n v="2"/>
    <x v="0"/>
    <x v="3"/>
    <n v="1"/>
    <n v="5"/>
    <x v="2"/>
  </r>
  <r>
    <x v="729"/>
    <x v="1"/>
    <n v="9"/>
    <n v="45.8"/>
    <n v="412.2"/>
    <d v="2025-01-31T00:00:00"/>
    <d v="2025-02-02T00:00:00"/>
    <x v="2"/>
    <x v="1"/>
    <n v="5"/>
    <x v="0"/>
    <x v="3"/>
    <n v="2"/>
    <n v="5"/>
    <x v="2"/>
  </r>
  <r>
    <x v="730"/>
    <x v="10"/>
    <n v="2"/>
    <n v="24.2"/>
    <n v="48.4"/>
    <d v="2025-02-01T00:00:00"/>
    <d v="2025-02-04T00:00:00"/>
    <x v="2"/>
    <x v="3"/>
    <n v="5"/>
    <x v="0"/>
    <x v="3"/>
    <n v="3"/>
    <n v="5"/>
    <x v="2"/>
  </r>
  <r>
    <x v="731"/>
    <x v="2"/>
    <n v="3"/>
    <n v="144.9"/>
    <n v="434.70000000000005"/>
    <d v="2025-02-01T00:00:00"/>
    <d v="2025-02-02T00:00:00"/>
    <x v="3"/>
    <x v="2"/>
    <n v="5"/>
    <x v="0"/>
    <x v="3"/>
    <n v="1"/>
    <n v="5"/>
    <x v="3"/>
  </r>
  <r>
    <x v="732"/>
    <x v="11"/>
    <n v="5"/>
    <n v="32.799999999999997"/>
    <n v="164"/>
    <d v="2025-02-01T00:00:00"/>
    <d v="2025-02-04T00:00:00"/>
    <x v="2"/>
    <x v="2"/>
    <n v="4"/>
    <x v="0"/>
    <x v="23"/>
    <n v="3"/>
    <n v="5"/>
    <x v="2"/>
  </r>
  <r>
    <x v="733"/>
    <x v="7"/>
    <n v="10"/>
    <n v="35.700000000000003"/>
    <n v="357"/>
    <d v="2025-02-01T00:00:00"/>
    <d v="2025-02-01T00:00:00"/>
    <x v="2"/>
    <x v="0"/>
    <n v="3"/>
    <x v="0"/>
    <x v="6"/>
    <n v="0"/>
    <n v="5"/>
    <x v="2"/>
  </r>
  <r>
    <x v="734"/>
    <x v="9"/>
    <n v="2"/>
    <n v="54.6"/>
    <n v="109.2"/>
    <d v="2025-02-01T00:00:00"/>
    <d v="2025-02-02T00:00:00"/>
    <x v="2"/>
    <x v="2"/>
    <n v="4"/>
    <x v="0"/>
    <x v="6"/>
    <n v="1"/>
    <n v="5"/>
    <x v="2"/>
  </r>
  <r>
    <x v="735"/>
    <x v="8"/>
    <n v="2"/>
    <n v="35.700000000000003"/>
    <n v="71.400000000000006"/>
    <d v="2025-02-01T00:00:00"/>
    <d v="2025-02-04T00:00:00"/>
    <x v="0"/>
    <x v="0"/>
    <n v="3"/>
    <x v="0"/>
    <x v="6"/>
    <n v="3"/>
    <n v="5"/>
    <x v="0"/>
  </r>
  <r>
    <x v="736"/>
    <x v="10"/>
    <n v="2"/>
    <n v="52.4"/>
    <n v="104.8"/>
    <d v="2025-02-01T00:00:00"/>
    <d v="2025-02-01T00:00:00"/>
    <x v="2"/>
    <x v="0"/>
    <n v="1"/>
    <x v="0"/>
    <x v="6"/>
    <n v="0"/>
    <n v="5"/>
    <x v="2"/>
  </r>
  <r>
    <x v="737"/>
    <x v="8"/>
    <n v="14"/>
    <n v="16.2"/>
    <n v="226.79999999999998"/>
    <d v="2025-02-01T00:00:00"/>
    <d v="2025-02-02T00:00:00"/>
    <x v="0"/>
    <x v="0"/>
    <n v="3"/>
    <x v="0"/>
    <x v="8"/>
    <n v="1"/>
    <n v="5"/>
    <x v="0"/>
  </r>
  <r>
    <x v="738"/>
    <x v="6"/>
    <n v="47"/>
    <n v="42.8"/>
    <n v="2011.6"/>
    <d v="2025-02-01T00:00:00"/>
    <d v="2025-02-02T00:00:00"/>
    <x v="2"/>
    <x v="0"/>
    <n v="4"/>
    <x v="0"/>
    <x v="8"/>
    <n v="1"/>
    <n v="5"/>
    <x v="2"/>
  </r>
  <r>
    <x v="739"/>
    <x v="6"/>
    <n v="9"/>
    <n v="144.4"/>
    <n v="1299.6000000000001"/>
    <d v="2025-02-01T00:00:00"/>
    <d v="2025-02-04T00:00:00"/>
    <x v="2"/>
    <x v="4"/>
    <n v="4"/>
    <x v="0"/>
    <x v="8"/>
    <n v="3"/>
    <n v="5"/>
    <x v="2"/>
  </r>
  <r>
    <x v="740"/>
    <x v="3"/>
    <n v="36"/>
    <n v="30.6"/>
    <n v="1101.6000000000001"/>
    <d v="2025-02-01T00:00:00"/>
    <d v="2025-02-05T00:00:00"/>
    <x v="2"/>
    <x v="2"/>
    <n v="5"/>
    <x v="0"/>
    <x v="11"/>
    <n v="4"/>
    <n v="5"/>
    <x v="2"/>
  </r>
  <r>
    <x v="741"/>
    <x v="2"/>
    <n v="2"/>
    <n v="117.5"/>
    <n v="235"/>
    <d v="2025-02-01T00:00:00"/>
    <d v="2025-02-02T00:00:00"/>
    <x v="1"/>
    <x v="0"/>
    <n v="4"/>
    <x v="0"/>
    <x v="19"/>
    <n v="1"/>
    <n v="5"/>
    <x v="1"/>
  </r>
  <r>
    <x v="742"/>
    <x v="6"/>
    <n v="2"/>
    <n v="105.7"/>
    <n v="211.4"/>
    <d v="2025-02-01T00:00:00"/>
    <d v="2025-02-02T00:00:00"/>
    <x v="2"/>
    <x v="2"/>
    <n v="5"/>
    <x v="0"/>
    <x v="21"/>
    <n v="1"/>
    <n v="5"/>
    <x v="2"/>
  </r>
  <r>
    <x v="743"/>
    <x v="3"/>
    <n v="3"/>
    <n v="133.69999999999999"/>
    <n v="401.09999999999997"/>
    <d v="2025-02-01T00:00:00"/>
    <d v="2025-02-02T00:00:00"/>
    <x v="0"/>
    <x v="4"/>
    <n v="5"/>
    <x v="0"/>
    <x v="21"/>
    <n v="1"/>
    <n v="5"/>
    <x v="0"/>
  </r>
  <r>
    <x v="744"/>
    <x v="4"/>
    <n v="5"/>
    <n v="46.8"/>
    <n v="234"/>
    <d v="2025-02-02T00:00:00"/>
    <d v="2025-02-10T00:00:00"/>
    <x v="2"/>
    <x v="0"/>
    <n v="3"/>
    <x v="0"/>
    <x v="21"/>
    <n v="8"/>
    <n v="6"/>
    <x v="2"/>
  </r>
  <r>
    <x v="745"/>
    <x v="10"/>
    <n v="3"/>
    <n v="58.4"/>
    <n v="175.2"/>
    <d v="2025-02-02T00:00:00"/>
    <d v="2025-02-04T00:00:00"/>
    <x v="2"/>
    <x v="0"/>
    <n v="4"/>
    <x v="0"/>
    <x v="1"/>
    <n v="2"/>
    <n v="6"/>
    <x v="2"/>
  </r>
  <r>
    <x v="746"/>
    <x v="6"/>
    <n v="9"/>
    <n v="65.099999999999994"/>
    <n v="585.9"/>
    <d v="2025-02-02T00:00:00"/>
    <d v="2025-02-06T00:00:00"/>
    <x v="1"/>
    <x v="1"/>
    <n v="5"/>
    <x v="0"/>
    <x v="22"/>
    <n v="4"/>
    <n v="6"/>
    <x v="1"/>
  </r>
  <r>
    <x v="747"/>
    <x v="8"/>
    <n v="1"/>
    <n v="18.600000000000001"/>
    <n v="18.600000000000001"/>
    <d v="2025-02-02T00:00:00"/>
    <d v="2025-02-05T00:00:00"/>
    <x v="2"/>
    <x v="0"/>
    <n v="2"/>
    <x v="0"/>
    <x v="22"/>
    <n v="3"/>
    <n v="6"/>
    <x v="2"/>
  </r>
  <r>
    <x v="748"/>
    <x v="1"/>
    <n v="11"/>
    <n v="92.3"/>
    <n v="1015.3"/>
    <d v="2025-02-02T00:00:00"/>
    <d v="2025-02-04T00:00:00"/>
    <x v="1"/>
    <x v="1"/>
    <n v="4"/>
    <x v="0"/>
    <x v="3"/>
    <n v="2"/>
    <n v="6"/>
    <x v="1"/>
  </r>
  <r>
    <x v="749"/>
    <x v="6"/>
    <n v="3"/>
    <n v="81.7"/>
    <n v="245.10000000000002"/>
    <d v="2025-02-02T00:00:00"/>
    <d v="2025-02-03T00:00:00"/>
    <x v="0"/>
    <x v="4"/>
    <n v="2"/>
    <x v="0"/>
    <x v="3"/>
    <n v="1"/>
    <n v="6"/>
    <x v="0"/>
  </r>
  <r>
    <x v="750"/>
    <x v="8"/>
    <n v="2"/>
    <n v="40.9"/>
    <n v="81.8"/>
    <d v="2025-02-02T00:00:00"/>
    <d v="2025-02-04T00:00:00"/>
    <x v="1"/>
    <x v="0"/>
    <n v="3"/>
    <x v="0"/>
    <x v="3"/>
    <n v="2"/>
    <n v="6"/>
    <x v="1"/>
  </r>
  <r>
    <x v="751"/>
    <x v="6"/>
    <n v="4"/>
    <n v="43.2"/>
    <n v="172.8"/>
    <d v="2025-02-02T00:00:00"/>
    <d v="2025-02-08T00:00:00"/>
    <x v="2"/>
    <x v="0"/>
    <n v="3"/>
    <x v="0"/>
    <x v="3"/>
    <n v="6"/>
    <n v="6"/>
    <x v="2"/>
  </r>
  <r>
    <x v="752"/>
    <x v="8"/>
    <n v="11"/>
    <n v="25.8"/>
    <n v="283.8"/>
    <d v="2025-02-02T00:00:00"/>
    <d v="2025-02-05T00:00:00"/>
    <x v="1"/>
    <x v="2"/>
    <n v="3"/>
    <x v="0"/>
    <x v="3"/>
    <n v="3"/>
    <n v="6"/>
    <x v="1"/>
  </r>
  <r>
    <x v="753"/>
    <x v="15"/>
    <n v="4"/>
    <n v="36.4"/>
    <n v="145.6"/>
    <d v="2025-02-02T00:00:00"/>
    <d v="2025-02-03T00:00:00"/>
    <x v="1"/>
    <x v="0"/>
    <n v="4"/>
    <x v="0"/>
    <x v="3"/>
    <n v="1"/>
    <n v="6"/>
    <x v="1"/>
  </r>
  <r>
    <x v="754"/>
    <x v="10"/>
    <n v="1"/>
    <n v="59.1"/>
    <n v="59.1"/>
    <d v="2025-02-02T00:00:00"/>
    <d v="2025-02-03T00:00:00"/>
    <x v="2"/>
    <x v="2"/>
    <n v="4"/>
    <x v="0"/>
    <x v="7"/>
    <n v="1"/>
    <n v="6"/>
    <x v="2"/>
  </r>
  <r>
    <x v="755"/>
    <x v="2"/>
    <n v="17"/>
    <n v="74.5"/>
    <n v="1266.5"/>
    <d v="2025-02-02T00:00:00"/>
    <d v="2025-02-04T00:00:00"/>
    <x v="1"/>
    <x v="4"/>
    <n v="4"/>
    <x v="0"/>
    <x v="18"/>
    <n v="2"/>
    <n v="6"/>
    <x v="1"/>
  </r>
  <r>
    <x v="756"/>
    <x v="5"/>
    <n v="1"/>
    <n v="72.8"/>
    <n v="72.8"/>
    <d v="2025-02-02T00:00:00"/>
    <d v="2025-02-03T00:00:00"/>
    <x v="2"/>
    <x v="0"/>
    <n v="3"/>
    <x v="0"/>
    <x v="19"/>
    <n v="1"/>
    <n v="6"/>
    <x v="2"/>
  </r>
  <r>
    <x v="757"/>
    <x v="6"/>
    <n v="4"/>
    <n v="137.30000000000001"/>
    <n v="549.20000000000005"/>
    <d v="2025-02-02T00:00:00"/>
    <d v="2025-02-05T00:00:00"/>
    <x v="2"/>
    <x v="0"/>
    <n v="4"/>
    <x v="0"/>
    <x v="13"/>
    <n v="3"/>
    <n v="6"/>
    <x v="2"/>
  </r>
  <r>
    <x v="758"/>
    <x v="1"/>
    <n v="3"/>
    <n v="48.7"/>
    <n v="146.10000000000002"/>
    <d v="2025-02-02T00:00:00"/>
    <d v="2025-02-07T00:00:00"/>
    <x v="2"/>
    <x v="0"/>
    <n v="3"/>
    <x v="0"/>
    <x v="21"/>
    <n v="5"/>
    <n v="6"/>
    <x v="2"/>
  </r>
  <r>
    <x v="759"/>
    <x v="6"/>
    <n v="4"/>
    <n v="53.7"/>
    <n v="214.8"/>
    <d v="2025-02-02T00:00:00"/>
    <d v="2025-02-06T00:00:00"/>
    <x v="1"/>
    <x v="1"/>
    <n v="2"/>
    <x v="0"/>
    <x v="2"/>
    <n v="4"/>
    <n v="6"/>
    <x v="1"/>
  </r>
  <r>
    <x v="760"/>
    <x v="2"/>
    <n v="7"/>
    <n v="100.9"/>
    <n v="706.30000000000007"/>
    <d v="2025-02-02T00:00:00"/>
    <d v="2025-02-04T00:00:00"/>
    <x v="2"/>
    <x v="0"/>
    <n v="3"/>
    <x v="0"/>
    <x v="2"/>
    <n v="2"/>
    <n v="6"/>
    <x v="2"/>
  </r>
  <r>
    <x v="761"/>
    <x v="10"/>
    <n v="2"/>
    <n v="41.8"/>
    <n v="83.6"/>
    <d v="2025-02-02T00:00:00"/>
    <d v="2025-02-06T00:00:00"/>
    <x v="1"/>
    <x v="3"/>
    <n v="5"/>
    <x v="0"/>
    <x v="22"/>
    <n v="4"/>
    <n v="6"/>
    <x v="1"/>
  </r>
  <r>
    <x v="762"/>
    <x v="4"/>
    <n v="8"/>
    <n v="28.5"/>
    <n v="228"/>
    <d v="2025-02-02T00:00:00"/>
    <d v="2025-02-04T00:00:00"/>
    <x v="1"/>
    <x v="2"/>
    <n v="3"/>
    <x v="0"/>
    <x v="3"/>
    <n v="2"/>
    <n v="6"/>
    <x v="1"/>
  </r>
  <r>
    <x v="763"/>
    <x v="7"/>
    <n v="4"/>
    <n v="88.9"/>
    <n v="355.6"/>
    <d v="2025-02-02T00:00:00"/>
    <d v="2025-02-05T00:00:00"/>
    <x v="2"/>
    <x v="0"/>
    <n v="5"/>
    <x v="0"/>
    <x v="3"/>
    <n v="3"/>
    <n v="6"/>
    <x v="2"/>
  </r>
  <r>
    <x v="764"/>
    <x v="6"/>
    <n v="1"/>
    <n v="62.5"/>
    <n v="62.5"/>
    <d v="2025-02-02T00:00:00"/>
    <d v="2025-02-11T00:00:00"/>
    <x v="2"/>
    <x v="0"/>
    <n v="5"/>
    <x v="0"/>
    <x v="3"/>
    <n v="9"/>
    <n v="6"/>
    <x v="2"/>
  </r>
  <r>
    <x v="765"/>
    <x v="1"/>
    <n v="3"/>
    <n v="46.9"/>
    <n v="140.69999999999999"/>
    <d v="2025-02-02T00:00:00"/>
    <d v="2025-02-03T00:00:00"/>
    <x v="1"/>
    <x v="0"/>
    <n v="5"/>
    <x v="0"/>
    <x v="3"/>
    <n v="1"/>
    <n v="6"/>
    <x v="1"/>
  </r>
  <r>
    <x v="766"/>
    <x v="8"/>
    <n v="3"/>
    <n v="45"/>
    <n v="135"/>
    <d v="2025-02-02T00:00:00"/>
    <d v="2025-02-16T00:00:00"/>
    <x v="1"/>
    <x v="1"/>
    <n v="4"/>
    <x v="0"/>
    <x v="3"/>
    <n v="14"/>
    <n v="6"/>
    <x v="1"/>
  </r>
  <r>
    <x v="767"/>
    <x v="6"/>
    <n v="3"/>
    <n v="45.2"/>
    <n v="135.60000000000002"/>
    <d v="2025-02-02T00:00:00"/>
    <d v="2025-02-04T00:00:00"/>
    <x v="1"/>
    <x v="4"/>
    <n v="5"/>
    <x v="0"/>
    <x v="3"/>
    <n v="2"/>
    <n v="6"/>
    <x v="1"/>
  </r>
  <r>
    <x v="768"/>
    <x v="4"/>
    <n v="2"/>
    <n v="60.1"/>
    <n v="120.2"/>
    <d v="2025-02-02T00:00:00"/>
    <d v="2025-02-03T00:00:00"/>
    <x v="2"/>
    <x v="0"/>
    <n v="5"/>
    <x v="0"/>
    <x v="3"/>
    <n v="1"/>
    <n v="6"/>
    <x v="2"/>
  </r>
  <r>
    <x v="769"/>
    <x v="12"/>
    <n v="4"/>
    <n v="118.7"/>
    <n v="474.8"/>
    <d v="2025-02-02T00:00:00"/>
    <d v="2025-02-04T00:00:00"/>
    <x v="2"/>
    <x v="0"/>
    <n v="4"/>
    <x v="0"/>
    <x v="3"/>
    <n v="2"/>
    <n v="6"/>
    <x v="2"/>
  </r>
  <r>
    <x v="770"/>
    <x v="9"/>
    <n v="1"/>
    <n v="57.8"/>
    <n v="57.8"/>
    <d v="2025-02-02T00:00:00"/>
    <d v="2025-02-11T00:00:00"/>
    <x v="2"/>
    <x v="1"/>
    <n v="4"/>
    <x v="0"/>
    <x v="3"/>
    <n v="9"/>
    <n v="6"/>
    <x v="2"/>
  </r>
  <r>
    <x v="771"/>
    <x v="4"/>
    <n v="1"/>
    <n v="19.5"/>
    <n v="19.5"/>
    <d v="2025-02-02T00:00:00"/>
    <d v="2025-02-03T00:00:00"/>
    <x v="1"/>
    <x v="1"/>
    <n v="3"/>
    <x v="0"/>
    <x v="3"/>
    <n v="1"/>
    <n v="6"/>
    <x v="1"/>
  </r>
  <r>
    <x v="772"/>
    <x v="12"/>
    <n v="1"/>
    <n v="42.6"/>
    <n v="42.6"/>
    <d v="2025-02-02T00:00:00"/>
    <d v="2025-02-03T00:00:00"/>
    <x v="1"/>
    <x v="0"/>
    <n v="3"/>
    <x v="0"/>
    <x v="3"/>
    <n v="1"/>
    <n v="6"/>
    <x v="1"/>
  </r>
  <r>
    <x v="773"/>
    <x v="6"/>
    <n v="2"/>
    <n v="74.8"/>
    <n v="149.6"/>
    <d v="2025-02-02T00:00:00"/>
    <d v="2025-02-03T00:00:00"/>
    <x v="2"/>
    <x v="3"/>
    <n v="5"/>
    <x v="0"/>
    <x v="37"/>
    <n v="1"/>
    <n v="6"/>
    <x v="2"/>
  </r>
  <r>
    <x v="774"/>
    <x v="8"/>
    <n v="3"/>
    <n v="32.5"/>
    <n v="97.5"/>
    <d v="2025-02-02T00:00:00"/>
    <d v="2025-02-03T00:00:00"/>
    <x v="1"/>
    <x v="2"/>
    <n v="2"/>
    <x v="0"/>
    <x v="16"/>
    <n v="1"/>
    <n v="6"/>
    <x v="1"/>
  </r>
  <r>
    <x v="775"/>
    <x v="2"/>
    <n v="3"/>
    <n v="60.5"/>
    <n v="181.5"/>
    <d v="2025-02-02T00:00:00"/>
    <d v="2025-02-02T00:00:00"/>
    <x v="2"/>
    <x v="1"/>
    <n v="5"/>
    <x v="0"/>
    <x v="25"/>
    <n v="0"/>
    <n v="6"/>
    <x v="2"/>
  </r>
  <r>
    <x v="776"/>
    <x v="1"/>
    <n v="7"/>
    <n v="57.2"/>
    <n v="400.40000000000003"/>
    <d v="2025-02-02T00:00:00"/>
    <d v="2025-02-04T00:00:00"/>
    <x v="0"/>
    <x v="2"/>
    <n v="4"/>
    <x v="0"/>
    <x v="25"/>
    <n v="2"/>
    <n v="6"/>
    <x v="0"/>
  </r>
  <r>
    <x v="777"/>
    <x v="16"/>
    <n v="2"/>
    <n v="112"/>
    <n v="224"/>
    <d v="2025-02-02T00:00:00"/>
    <d v="2025-02-03T00:00:00"/>
    <x v="2"/>
    <x v="1"/>
    <n v="3"/>
    <x v="0"/>
    <x v="5"/>
    <n v="1"/>
    <n v="6"/>
    <x v="2"/>
  </r>
  <r>
    <x v="778"/>
    <x v="7"/>
    <n v="10"/>
    <n v="49"/>
    <n v="490"/>
    <d v="2025-02-02T00:00:00"/>
    <d v="2025-02-03T00:00:00"/>
    <x v="3"/>
    <x v="2"/>
    <n v="3"/>
    <x v="0"/>
    <x v="6"/>
    <n v="1"/>
    <n v="6"/>
    <x v="3"/>
  </r>
  <r>
    <x v="779"/>
    <x v="0"/>
    <n v="2"/>
    <n v="33.700000000000003"/>
    <n v="67.400000000000006"/>
    <d v="2025-02-02T00:00:00"/>
    <d v="2025-02-06T00:00:00"/>
    <x v="2"/>
    <x v="3"/>
    <n v="4"/>
    <x v="0"/>
    <x v="6"/>
    <n v="4"/>
    <n v="6"/>
    <x v="2"/>
  </r>
  <r>
    <x v="780"/>
    <x v="4"/>
    <n v="3"/>
    <n v="35.6"/>
    <n v="106.80000000000001"/>
    <d v="2025-02-02T00:00:00"/>
    <d v="2025-02-05T00:00:00"/>
    <x v="2"/>
    <x v="0"/>
    <n v="5"/>
    <x v="0"/>
    <x v="6"/>
    <n v="3"/>
    <n v="6"/>
    <x v="2"/>
  </r>
  <r>
    <x v="781"/>
    <x v="4"/>
    <n v="35"/>
    <n v="30.4"/>
    <n v="1064"/>
    <d v="2025-02-03T00:00:00"/>
    <d v="2025-02-03T00:00:00"/>
    <x v="2"/>
    <x v="0"/>
    <n v="3"/>
    <x v="0"/>
    <x v="7"/>
    <n v="0"/>
    <n v="6"/>
    <x v="2"/>
  </r>
  <r>
    <x v="782"/>
    <x v="10"/>
    <n v="12"/>
    <n v="50.2"/>
    <n v="602.40000000000009"/>
    <d v="2025-02-03T00:00:00"/>
    <d v="2025-02-04T00:00:00"/>
    <x v="1"/>
    <x v="4"/>
    <n v="4"/>
    <x v="0"/>
    <x v="8"/>
    <n v="1"/>
    <n v="6"/>
    <x v="1"/>
  </r>
  <r>
    <x v="783"/>
    <x v="1"/>
    <n v="2"/>
    <n v="43.7"/>
    <n v="87.4"/>
    <d v="2025-02-03T00:00:00"/>
    <d v="2025-02-05T00:00:00"/>
    <x v="2"/>
    <x v="0"/>
    <n v="4"/>
    <x v="0"/>
    <x v="8"/>
    <n v="2"/>
    <n v="6"/>
    <x v="2"/>
  </r>
  <r>
    <x v="784"/>
    <x v="10"/>
    <n v="1"/>
    <n v="33.299999999999997"/>
    <n v="33.299999999999997"/>
    <d v="2025-02-03T00:00:00"/>
    <d v="2025-02-04T00:00:00"/>
    <x v="2"/>
    <x v="2"/>
    <n v="3"/>
    <x v="0"/>
    <x v="8"/>
    <n v="1"/>
    <n v="6"/>
    <x v="2"/>
  </r>
  <r>
    <x v="785"/>
    <x v="8"/>
    <n v="4"/>
    <n v="15.1"/>
    <n v="60.4"/>
    <d v="2025-02-03T00:00:00"/>
    <d v="2025-02-05T00:00:00"/>
    <x v="2"/>
    <x v="4"/>
    <n v="5"/>
    <x v="0"/>
    <x v="8"/>
    <n v="2"/>
    <n v="6"/>
    <x v="2"/>
  </r>
  <r>
    <x v="786"/>
    <x v="6"/>
    <n v="5"/>
    <n v="118.2"/>
    <n v="591"/>
    <d v="2025-02-03T00:00:00"/>
    <d v="2025-02-04T00:00:00"/>
    <x v="2"/>
    <x v="3"/>
    <n v="2"/>
    <x v="0"/>
    <x v="8"/>
    <n v="1"/>
    <n v="6"/>
    <x v="2"/>
  </r>
  <r>
    <x v="787"/>
    <x v="10"/>
    <n v="3"/>
    <n v="28.9"/>
    <n v="86.699999999999989"/>
    <d v="2025-02-03T00:00:00"/>
    <d v="2025-02-05T00:00:00"/>
    <x v="2"/>
    <x v="2"/>
    <n v="3"/>
    <x v="0"/>
    <x v="8"/>
    <n v="2"/>
    <n v="6"/>
    <x v="2"/>
  </r>
  <r>
    <x v="788"/>
    <x v="4"/>
    <n v="3"/>
    <n v="55.6"/>
    <n v="166.8"/>
    <d v="2025-02-03T00:00:00"/>
    <d v="2025-02-04T00:00:00"/>
    <x v="1"/>
    <x v="0"/>
    <n v="3"/>
    <x v="0"/>
    <x v="8"/>
    <n v="1"/>
    <n v="6"/>
    <x v="1"/>
  </r>
  <r>
    <x v="789"/>
    <x v="9"/>
    <n v="4"/>
    <n v="25.6"/>
    <n v="102.4"/>
    <d v="2025-02-03T00:00:00"/>
    <d v="2025-02-05T00:00:00"/>
    <x v="2"/>
    <x v="0"/>
    <n v="3"/>
    <x v="0"/>
    <x v="8"/>
    <n v="2"/>
    <n v="6"/>
    <x v="2"/>
  </r>
  <r>
    <x v="790"/>
    <x v="7"/>
    <n v="3"/>
    <n v="31.3"/>
    <n v="93.9"/>
    <d v="2025-02-03T00:00:00"/>
    <d v="2025-02-04T00:00:00"/>
    <x v="1"/>
    <x v="0"/>
    <n v="4"/>
    <x v="0"/>
    <x v="17"/>
    <n v="1"/>
    <n v="6"/>
    <x v="1"/>
  </r>
  <r>
    <x v="791"/>
    <x v="0"/>
    <n v="3"/>
    <n v="22.1"/>
    <n v="66.300000000000011"/>
    <d v="2025-02-03T00:00:00"/>
    <d v="2025-02-07T00:00:00"/>
    <x v="1"/>
    <x v="0"/>
    <n v="4"/>
    <x v="0"/>
    <x v="17"/>
    <n v="4"/>
    <n v="6"/>
    <x v="1"/>
  </r>
  <r>
    <x v="792"/>
    <x v="2"/>
    <n v="14"/>
    <n v="99.4"/>
    <n v="1391.6000000000001"/>
    <d v="2025-02-03T00:00:00"/>
    <d v="2025-02-04T00:00:00"/>
    <x v="1"/>
    <x v="1"/>
    <n v="4"/>
    <x v="0"/>
    <x v="11"/>
    <n v="1"/>
    <n v="6"/>
    <x v="1"/>
  </r>
  <r>
    <x v="793"/>
    <x v="7"/>
    <n v="6"/>
    <n v="66.599999999999994"/>
    <n v="399.59999999999997"/>
    <d v="2025-02-03T00:00:00"/>
    <d v="2025-02-04T00:00:00"/>
    <x v="2"/>
    <x v="0"/>
    <n v="4"/>
    <x v="0"/>
    <x v="11"/>
    <n v="1"/>
    <n v="6"/>
    <x v="2"/>
  </r>
  <r>
    <x v="794"/>
    <x v="8"/>
    <n v="2"/>
    <n v="22.6"/>
    <n v="45.2"/>
    <d v="2025-02-03T00:00:00"/>
    <d v="2025-02-06T00:00:00"/>
    <x v="1"/>
    <x v="0"/>
    <n v="4"/>
    <x v="0"/>
    <x v="11"/>
    <n v="3"/>
    <n v="6"/>
    <x v="1"/>
  </r>
  <r>
    <x v="795"/>
    <x v="2"/>
    <n v="18"/>
    <n v="66.8"/>
    <n v="1202.3999999999999"/>
    <d v="2025-02-03T00:00:00"/>
    <d v="2025-02-04T00:00:00"/>
    <x v="2"/>
    <x v="0"/>
    <n v="2"/>
    <x v="0"/>
    <x v="13"/>
    <n v="1"/>
    <n v="6"/>
    <x v="2"/>
  </r>
  <r>
    <x v="796"/>
    <x v="0"/>
    <n v="4"/>
    <n v="20.8"/>
    <n v="83.2"/>
    <d v="2025-02-03T00:00:00"/>
    <d v="2025-02-10T00:00:00"/>
    <x v="1"/>
    <x v="1"/>
    <n v="2"/>
    <x v="0"/>
    <x v="1"/>
    <n v="7"/>
    <n v="6"/>
    <x v="1"/>
  </r>
  <r>
    <x v="797"/>
    <x v="2"/>
    <n v="7"/>
    <n v="102.5"/>
    <n v="717.5"/>
    <d v="2025-02-03T00:00:00"/>
    <d v="2025-02-04T00:00:00"/>
    <x v="2"/>
    <x v="4"/>
    <n v="5"/>
    <x v="0"/>
    <x v="3"/>
    <n v="1"/>
    <n v="6"/>
    <x v="2"/>
  </r>
  <r>
    <x v="798"/>
    <x v="0"/>
    <n v="18"/>
    <n v="24.8"/>
    <n v="446.40000000000003"/>
    <d v="2025-02-03T00:00:00"/>
    <d v="2025-02-07T00:00:00"/>
    <x v="2"/>
    <x v="0"/>
    <n v="4"/>
    <x v="0"/>
    <x v="3"/>
    <n v="4"/>
    <n v="6"/>
    <x v="2"/>
  </r>
  <r>
    <x v="799"/>
    <x v="4"/>
    <n v="31"/>
    <n v="31.4"/>
    <n v="973.4"/>
    <d v="2025-02-03T00:00:00"/>
    <d v="2025-02-04T00:00:00"/>
    <x v="2"/>
    <x v="3"/>
    <n v="4"/>
    <x v="0"/>
    <x v="3"/>
    <n v="1"/>
    <n v="6"/>
    <x v="2"/>
  </r>
  <r>
    <x v="800"/>
    <x v="9"/>
    <n v="5"/>
    <n v="59.3"/>
    <n v="296.5"/>
    <d v="2025-02-03T00:00:00"/>
    <d v="2025-02-06T00:00:00"/>
    <x v="1"/>
    <x v="1"/>
    <n v="5"/>
    <x v="0"/>
    <x v="43"/>
    <n v="3"/>
    <n v="6"/>
    <x v="1"/>
  </r>
  <r>
    <x v="801"/>
    <x v="11"/>
    <n v="6"/>
    <n v="39"/>
    <n v="234"/>
    <d v="2025-02-03T00:00:00"/>
    <d v="2025-02-06T00:00:00"/>
    <x v="1"/>
    <x v="1"/>
    <n v="4"/>
    <x v="0"/>
    <x v="6"/>
    <n v="3"/>
    <n v="6"/>
    <x v="1"/>
  </r>
  <r>
    <x v="802"/>
    <x v="5"/>
    <n v="6"/>
    <n v="98.6"/>
    <n v="591.59999999999991"/>
    <d v="2025-02-03T00:00:00"/>
    <d v="2025-02-05T00:00:00"/>
    <x v="2"/>
    <x v="1"/>
    <n v="4"/>
    <x v="0"/>
    <x v="6"/>
    <n v="2"/>
    <n v="6"/>
    <x v="2"/>
  </r>
  <r>
    <x v="803"/>
    <x v="8"/>
    <n v="1"/>
    <n v="20"/>
    <n v="20"/>
    <d v="2025-02-04T00:00:00"/>
    <d v="2025-02-05T00:00:00"/>
    <x v="1"/>
    <x v="3"/>
    <n v="5"/>
    <x v="0"/>
    <x v="8"/>
    <n v="1"/>
    <n v="6"/>
    <x v="1"/>
  </r>
  <r>
    <x v="804"/>
    <x v="1"/>
    <n v="2"/>
    <n v="42.9"/>
    <n v="85.8"/>
    <d v="2025-02-04T00:00:00"/>
    <d v="2025-02-06T00:00:00"/>
    <x v="2"/>
    <x v="0"/>
    <n v="5"/>
    <x v="0"/>
    <x v="8"/>
    <n v="2"/>
    <n v="6"/>
    <x v="2"/>
  </r>
  <r>
    <x v="805"/>
    <x v="7"/>
    <n v="7"/>
    <n v="55.6"/>
    <n v="389.2"/>
    <d v="2025-02-04T00:00:00"/>
    <d v="2025-02-06T00:00:00"/>
    <x v="2"/>
    <x v="2"/>
    <n v="3"/>
    <x v="0"/>
    <x v="8"/>
    <n v="2"/>
    <n v="6"/>
    <x v="2"/>
  </r>
  <r>
    <x v="806"/>
    <x v="8"/>
    <n v="4"/>
    <n v="19.2"/>
    <n v="76.8"/>
    <d v="2025-02-04T00:00:00"/>
    <d v="2025-02-09T00:00:00"/>
    <x v="2"/>
    <x v="0"/>
    <n v="4"/>
    <x v="0"/>
    <x v="41"/>
    <n v="5"/>
    <n v="6"/>
    <x v="2"/>
  </r>
  <r>
    <x v="807"/>
    <x v="5"/>
    <n v="2"/>
    <n v="28.8"/>
    <n v="57.6"/>
    <d v="2025-02-04T00:00:00"/>
    <d v="2025-02-06T00:00:00"/>
    <x v="1"/>
    <x v="1"/>
    <n v="4"/>
    <x v="0"/>
    <x v="18"/>
    <n v="2"/>
    <n v="6"/>
    <x v="1"/>
  </r>
  <r>
    <x v="808"/>
    <x v="4"/>
    <n v="1"/>
    <n v="29.7"/>
    <n v="29.7"/>
    <d v="2025-02-04T00:00:00"/>
    <d v="2025-02-06T00:00:00"/>
    <x v="2"/>
    <x v="2"/>
    <n v="2"/>
    <x v="0"/>
    <x v="20"/>
    <n v="2"/>
    <n v="6"/>
    <x v="2"/>
  </r>
  <r>
    <x v="809"/>
    <x v="6"/>
    <n v="6"/>
    <n v="63.3"/>
    <n v="379.79999999999995"/>
    <d v="2025-02-04T00:00:00"/>
    <d v="2025-02-05T00:00:00"/>
    <x v="0"/>
    <x v="0"/>
    <n v="5"/>
    <x v="0"/>
    <x v="21"/>
    <n v="1"/>
    <n v="6"/>
    <x v="0"/>
  </r>
  <r>
    <x v="810"/>
    <x v="4"/>
    <n v="1"/>
    <n v="46"/>
    <n v="46"/>
    <d v="2025-02-04T00:00:00"/>
    <d v="2025-02-05T00:00:00"/>
    <x v="2"/>
    <x v="0"/>
    <n v="5"/>
    <x v="0"/>
    <x v="21"/>
    <n v="1"/>
    <n v="6"/>
    <x v="2"/>
  </r>
  <r>
    <x v="811"/>
    <x v="11"/>
    <n v="3"/>
    <n v="38"/>
    <n v="114"/>
    <d v="2025-02-04T00:00:00"/>
    <d v="2025-02-06T00:00:00"/>
    <x v="2"/>
    <x v="1"/>
    <n v="5"/>
    <x v="0"/>
    <x v="21"/>
    <n v="2"/>
    <n v="6"/>
    <x v="2"/>
  </r>
  <r>
    <x v="812"/>
    <x v="10"/>
    <n v="13"/>
    <n v="34.6"/>
    <n v="449.8"/>
    <d v="2025-02-04T00:00:00"/>
    <d v="2025-02-06T00:00:00"/>
    <x v="2"/>
    <x v="0"/>
    <n v="3"/>
    <x v="0"/>
    <x v="21"/>
    <n v="2"/>
    <n v="6"/>
    <x v="2"/>
  </r>
  <r>
    <x v="813"/>
    <x v="3"/>
    <n v="10"/>
    <n v="79.7"/>
    <n v="797"/>
    <d v="2025-02-04T00:00:00"/>
    <d v="2025-02-05T00:00:00"/>
    <x v="2"/>
    <x v="4"/>
    <n v="3"/>
    <x v="0"/>
    <x v="21"/>
    <n v="1"/>
    <n v="6"/>
    <x v="2"/>
  </r>
  <r>
    <x v="814"/>
    <x v="8"/>
    <n v="8"/>
    <n v="30.5"/>
    <n v="244"/>
    <d v="2025-02-04T00:00:00"/>
    <d v="2025-02-08T00:00:00"/>
    <x v="1"/>
    <x v="3"/>
    <n v="4"/>
    <x v="0"/>
    <x v="1"/>
    <n v="4"/>
    <n v="6"/>
    <x v="1"/>
  </r>
  <r>
    <x v="815"/>
    <x v="0"/>
    <n v="2"/>
    <n v="20.8"/>
    <n v="41.6"/>
    <d v="2025-02-04T00:00:00"/>
    <d v="2025-02-05T00:00:00"/>
    <x v="2"/>
    <x v="0"/>
    <n v="4"/>
    <x v="0"/>
    <x v="2"/>
    <n v="1"/>
    <n v="6"/>
    <x v="2"/>
  </r>
  <r>
    <x v="816"/>
    <x v="11"/>
    <n v="7"/>
    <n v="48.5"/>
    <n v="339.5"/>
    <d v="2025-02-04T00:00:00"/>
    <d v="2025-02-08T00:00:00"/>
    <x v="2"/>
    <x v="2"/>
    <n v="5"/>
    <x v="0"/>
    <x v="2"/>
    <n v="4"/>
    <n v="6"/>
    <x v="2"/>
  </r>
  <r>
    <x v="817"/>
    <x v="2"/>
    <n v="4"/>
    <n v="61.8"/>
    <n v="247.2"/>
    <d v="2025-02-04T00:00:00"/>
    <d v="2025-02-08T00:00:00"/>
    <x v="2"/>
    <x v="4"/>
    <n v="4"/>
    <x v="0"/>
    <x v="22"/>
    <n v="4"/>
    <n v="6"/>
    <x v="2"/>
  </r>
  <r>
    <x v="818"/>
    <x v="10"/>
    <n v="1"/>
    <n v="46.1"/>
    <n v="46.1"/>
    <d v="2025-02-04T00:00:00"/>
    <d v="2025-02-05T00:00:00"/>
    <x v="3"/>
    <x v="2"/>
    <n v="4"/>
    <x v="0"/>
    <x v="3"/>
    <n v="1"/>
    <n v="6"/>
    <x v="3"/>
  </r>
  <r>
    <x v="819"/>
    <x v="4"/>
    <n v="6"/>
    <n v="44"/>
    <n v="264"/>
    <d v="2025-02-04T00:00:00"/>
    <d v="2025-02-05T00:00:00"/>
    <x v="2"/>
    <x v="0"/>
    <n v="4"/>
    <x v="0"/>
    <x v="3"/>
    <n v="1"/>
    <n v="6"/>
    <x v="2"/>
  </r>
  <r>
    <x v="820"/>
    <x v="18"/>
    <n v="2"/>
    <n v="95.7"/>
    <n v="191.4"/>
    <d v="2025-02-04T00:00:00"/>
    <d v="2025-02-10T00:00:00"/>
    <x v="2"/>
    <x v="3"/>
    <n v="5"/>
    <x v="0"/>
    <x v="3"/>
    <n v="6"/>
    <n v="6"/>
    <x v="2"/>
  </r>
  <r>
    <x v="821"/>
    <x v="7"/>
    <n v="5"/>
    <n v="46.4"/>
    <n v="232"/>
    <d v="2025-02-04T00:00:00"/>
    <d v="2025-02-07T00:00:00"/>
    <x v="2"/>
    <x v="0"/>
    <n v="4"/>
    <x v="0"/>
    <x v="3"/>
    <n v="3"/>
    <n v="6"/>
    <x v="2"/>
  </r>
  <r>
    <x v="822"/>
    <x v="6"/>
    <n v="2"/>
    <n v="47.2"/>
    <n v="94.4"/>
    <d v="2025-02-04T00:00:00"/>
    <d v="2025-02-06T00:00:00"/>
    <x v="2"/>
    <x v="0"/>
    <n v="5"/>
    <x v="0"/>
    <x v="3"/>
    <n v="2"/>
    <n v="6"/>
    <x v="2"/>
  </r>
  <r>
    <x v="823"/>
    <x v="7"/>
    <n v="2"/>
    <n v="58.6"/>
    <n v="117.2"/>
    <d v="2025-02-04T00:00:00"/>
    <d v="2025-02-05T00:00:00"/>
    <x v="2"/>
    <x v="2"/>
    <n v="3"/>
    <x v="0"/>
    <x v="3"/>
    <n v="1"/>
    <n v="6"/>
    <x v="2"/>
  </r>
  <r>
    <x v="824"/>
    <x v="4"/>
    <n v="3"/>
    <n v="57"/>
    <n v="171"/>
    <d v="2025-02-04T00:00:00"/>
    <d v="2025-02-05T00:00:00"/>
    <x v="1"/>
    <x v="0"/>
    <n v="5"/>
    <x v="0"/>
    <x v="3"/>
    <n v="1"/>
    <n v="6"/>
    <x v="1"/>
  </r>
  <r>
    <x v="825"/>
    <x v="8"/>
    <n v="4"/>
    <n v="28.9"/>
    <n v="115.6"/>
    <d v="2025-02-04T00:00:00"/>
    <d v="2025-02-08T00:00:00"/>
    <x v="1"/>
    <x v="2"/>
    <n v="4"/>
    <x v="0"/>
    <x v="3"/>
    <n v="4"/>
    <n v="6"/>
    <x v="1"/>
  </r>
  <r>
    <x v="826"/>
    <x v="12"/>
    <n v="5"/>
    <n v="60.7"/>
    <n v="303.5"/>
    <d v="2025-02-04T00:00:00"/>
    <d v="2025-02-08T00:00:00"/>
    <x v="0"/>
    <x v="1"/>
    <n v="3"/>
    <x v="0"/>
    <x v="3"/>
    <n v="4"/>
    <n v="6"/>
    <x v="0"/>
  </r>
  <r>
    <x v="827"/>
    <x v="6"/>
    <n v="5"/>
    <n v="60.8"/>
    <n v="304"/>
    <d v="2025-02-04T00:00:00"/>
    <d v="2025-02-08T00:00:00"/>
    <x v="1"/>
    <x v="0"/>
    <n v="3"/>
    <x v="0"/>
    <x v="3"/>
    <n v="4"/>
    <n v="6"/>
    <x v="1"/>
  </r>
  <r>
    <x v="828"/>
    <x v="6"/>
    <n v="5"/>
    <n v="64.599999999999994"/>
    <n v="323"/>
    <d v="2025-02-04T00:00:00"/>
    <d v="2025-02-05T00:00:00"/>
    <x v="2"/>
    <x v="3"/>
    <n v="4"/>
    <x v="0"/>
    <x v="3"/>
    <n v="1"/>
    <n v="6"/>
    <x v="2"/>
  </r>
  <r>
    <x v="829"/>
    <x v="8"/>
    <n v="1"/>
    <n v="21.9"/>
    <n v="21.9"/>
    <d v="2025-02-04T00:00:00"/>
    <d v="2025-02-07T00:00:00"/>
    <x v="1"/>
    <x v="1"/>
    <n v="5"/>
    <x v="0"/>
    <x v="4"/>
    <n v="3"/>
    <n v="6"/>
    <x v="1"/>
  </r>
  <r>
    <x v="830"/>
    <x v="4"/>
    <n v="12"/>
    <n v="33.4"/>
    <n v="400.79999999999995"/>
    <d v="2025-02-04T00:00:00"/>
    <d v="2025-02-06T00:00:00"/>
    <x v="2"/>
    <x v="0"/>
    <n v="4"/>
    <x v="0"/>
    <x v="23"/>
    <n v="2"/>
    <n v="6"/>
    <x v="2"/>
  </r>
  <r>
    <x v="831"/>
    <x v="2"/>
    <n v="1"/>
    <n v="51.7"/>
    <n v="51.7"/>
    <d v="2025-02-04T00:00:00"/>
    <d v="2025-02-05T00:00:00"/>
    <x v="0"/>
    <x v="0"/>
    <n v="4"/>
    <x v="0"/>
    <x v="6"/>
    <n v="1"/>
    <n v="6"/>
    <x v="0"/>
  </r>
  <r>
    <x v="832"/>
    <x v="1"/>
    <n v="4"/>
    <n v="84.9"/>
    <n v="339.6"/>
    <d v="2025-02-04T00:00:00"/>
    <d v="2025-02-05T00:00:00"/>
    <x v="2"/>
    <x v="1"/>
    <n v="3"/>
    <x v="0"/>
    <x v="6"/>
    <n v="1"/>
    <n v="6"/>
    <x v="2"/>
  </r>
  <r>
    <x v="833"/>
    <x v="1"/>
    <n v="11"/>
    <n v="62.3"/>
    <n v="685.3"/>
    <d v="2025-02-04T00:00:00"/>
    <d v="2025-02-05T00:00:00"/>
    <x v="2"/>
    <x v="2"/>
    <n v="5"/>
    <x v="0"/>
    <x v="7"/>
    <n v="1"/>
    <n v="6"/>
    <x v="2"/>
  </r>
  <r>
    <x v="834"/>
    <x v="4"/>
    <n v="1"/>
    <n v="50.7"/>
    <n v="50.7"/>
    <d v="2025-02-04T00:00:00"/>
    <d v="2025-02-06T00:00:00"/>
    <x v="1"/>
    <x v="2"/>
    <n v="5"/>
    <x v="0"/>
    <x v="8"/>
    <n v="2"/>
    <n v="6"/>
    <x v="1"/>
  </r>
  <r>
    <x v="835"/>
    <x v="18"/>
    <n v="1"/>
    <n v="39.5"/>
    <n v="39.5"/>
    <d v="2025-02-04T00:00:00"/>
    <d v="2025-02-05T00:00:00"/>
    <x v="1"/>
    <x v="4"/>
    <n v="3"/>
    <x v="0"/>
    <x v="8"/>
    <n v="1"/>
    <n v="6"/>
    <x v="1"/>
  </r>
  <r>
    <x v="836"/>
    <x v="12"/>
    <n v="3"/>
    <n v="30.9"/>
    <n v="92.699999999999989"/>
    <d v="2025-02-04T00:00:00"/>
    <d v="2025-02-05T00:00:00"/>
    <x v="0"/>
    <x v="4"/>
    <n v="5"/>
    <x v="0"/>
    <x v="8"/>
    <n v="1"/>
    <n v="6"/>
    <x v="0"/>
  </r>
  <r>
    <x v="837"/>
    <x v="1"/>
    <n v="7"/>
    <n v="36.4"/>
    <n v="254.79999999999998"/>
    <d v="2025-02-04T00:00:00"/>
    <d v="2025-02-07T00:00:00"/>
    <x v="2"/>
    <x v="0"/>
    <n v="5"/>
    <x v="0"/>
    <x v="8"/>
    <n v="3"/>
    <n v="6"/>
    <x v="2"/>
  </r>
  <r>
    <x v="838"/>
    <x v="6"/>
    <n v="8"/>
    <n v="105.6"/>
    <n v="844.8"/>
    <d v="2025-02-04T00:00:00"/>
    <d v="2025-02-14T00:00:00"/>
    <x v="2"/>
    <x v="0"/>
    <n v="4"/>
    <x v="0"/>
    <x v="8"/>
    <n v="10"/>
    <n v="6"/>
    <x v="2"/>
  </r>
  <r>
    <x v="839"/>
    <x v="8"/>
    <n v="2"/>
    <n v="22.1"/>
    <n v="44.2"/>
    <d v="2025-02-04T00:00:00"/>
    <d v="2025-02-05T00:00:00"/>
    <x v="2"/>
    <x v="0"/>
    <n v="5"/>
    <x v="0"/>
    <x v="17"/>
    <n v="1"/>
    <n v="6"/>
    <x v="2"/>
  </r>
  <r>
    <x v="840"/>
    <x v="0"/>
    <n v="3"/>
    <n v="22.6"/>
    <n v="67.800000000000011"/>
    <d v="2025-02-04T00:00:00"/>
    <d v="2025-02-05T00:00:00"/>
    <x v="2"/>
    <x v="2"/>
    <n v="4"/>
    <x v="0"/>
    <x v="17"/>
    <n v="1"/>
    <n v="6"/>
    <x v="2"/>
  </r>
  <r>
    <x v="841"/>
    <x v="10"/>
    <n v="6"/>
    <n v="26.3"/>
    <n v="157.80000000000001"/>
    <d v="2025-02-04T00:00:00"/>
    <d v="2025-02-04T00:00:00"/>
    <x v="2"/>
    <x v="2"/>
    <n v="4"/>
    <x v="0"/>
    <x v="9"/>
    <n v="0"/>
    <n v="6"/>
    <x v="2"/>
  </r>
  <r>
    <x v="842"/>
    <x v="1"/>
    <n v="4"/>
    <n v="37.799999999999997"/>
    <n v="151.19999999999999"/>
    <d v="2025-02-04T00:00:00"/>
    <d v="2025-02-05T00:00:00"/>
    <x v="2"/>
    <x v="0"/>
    <n v="5"/>
    <x v="0"/>
    <x v="11"/>
    <n v="1"/>
    <n v="6"/>
    <x v="2"/>
  </r>
  <r>
    <x v="843"/>
    <x v="6"/>
    <n v="17"/>
    <n v="96"/>
    <n v="1632"/>
    <d v="2025-02-04T00:00:00"/>
    <d v="2025-02-07T00:00:00"/>
    <x v="2"/>
    <x v="4"/>
    <n v="3"/>
    <x v="0"/>
    <x v="18"/>
    <n v="3"/>
    <n v="6"/>
    <x v="2"/>
  </r>
  <r>
    <x v="844"/>
    <x v="1"/>
    <n v="1"/>
    <n v="83.6"/>
    <n v="83.6"/>
    <d v="2025-02-04T00:00:00"/>
    <d v="2025-02-07T00:00:00"/>
    <x v="2"/>
    <x v="2"/>
    <n v="3"/>
    <x v="0"/>
    <x v="19"/>
    <n v="3"/>
    <n v="6"/>
    <x v="2"/>
  </r>
  <r>
    <x v="845"/>
    <x v="2"/>
    <n v="6"/>
    <n v="72.599999999999994"/>
    <n v="435.59999999999997"/>
    <d v="2025-02-04T00:00:00"/>
    <d v="2025-02-05T00:00:00"/>
    <x v="2"/>
    <x v="0"/>
    <n v="4"/>
    <x v="0"/>
    <x v="21"/>
    <n v="1"/>
    <n v="6"/>
    <x v="2"/>
  </r>
  <r>
    <x v="846"/>
    <x v="5"/>
    <n v="20"/>
    <n v="69.099999999999994"/>
    <n v="1382"/>
    <d v="2025-02-05T00:00:00"/>
    <d v="2025-02-11T00:00:00"/>
    <x v="1"/>
    <x v="0"/>
    <n v="5"/>
    <x v="0"/>
    <x v="21"/>
    <n v="6"/>
    <n v="6"/>
    <x v="1"/>
  </r>
  <r>
    <x v="847"/>
    <x v="4"/>
    <n v="2"/>
    <n v="22.6"/>
    <n v="45.2"/>
    <d v="2025-02-05T00:00:00"/>
    <d v="2025-02-07T00:00:00"/>
    <x v="2"/>
    <x v="1"/>
    <n v="5"/>
    <x v="0"/>
    <x v="21"/>
    <n v="2"/>
    <n v="6"/>
    <x v="2"/>
  </r>
  <r>
    <x v="848"/>
    <x v="6"/>
    <n v="2"/>
    <n v="45.3"/>
    <n v="90.6"/>
    <d v="2025-02-05T00:00:00"/>
    <d v="2025-02-09T00:00:00"/>
    <x v="1"/>
    <x v="4"/>
    <n v="5"/>
    <x v="0"/>
    <x v="21"/>
    <n v="4"/>
    <n v="6"/>
    <x v="1"/>
  </r>
  <r>
    <x v="849"/>
    <x v="2"/>
    <n v="2"/>
    <n v="115.1"/>
    <n v="230.2"/>
    <d v="2025-02-05T00:00:00"/>
    <d v="2025-02-06T00:00:00"/>
    <x v="2"/>
    <x v="1"/>
    <n v="4"/>
    <x v="0"/>
    <x v="1"/>
    <n v="1"/>
    <n v="6"/>
    <x v="2"/>
  </r>
  <r>
    <x v="850"/>
    <x v="18"/>
    <n v="4"/>
    <n v="79"/>
    <n v="316"/>
    <d v="2025-02-05T00:00:00"/>
    <d v="2025-02-07T00:00:00"/>
    <x v="1"/>
    <x v="2"/>
    <n v="2"/>
    <x v="0"/>
    <x v="1"/>
    <n v="2"/>
    <n v="6"/>
    <x v="1"/>
  </r>
  <r>
    <x v="851"/>
    <x v="6"/>
    <n v="5"/>
    <n v="52.8"/>
    <n v="264"/>
    <d v="2025-02-05T00:00:00"/>
    <d v="2025-02-06T00:00:00"/>
    <x v="2"/>
    <x v="0"/>
    <n v="4"/>
    <x v="0"/>
    <x v="42"/>
    <n v="1"/>
    <n v="6"/>
    <x v="2"/>
  </r>
  <r>
    <x v="852"/>
    <x v="8"/>
    <n v="2"/>
    <n v="34.1"/>
    <n v="68.2"/>
    <d v="2025-02-05T00:00:00"/>
    <d v="2025-02-06T00:00:00"/>
    <x v="1"/>
    <x v="3"/>
    <n v="5"/>
    <x v="0"/>
    <x v="44"/>
    <n v="1"/>
    <n v="6"/>
    <x v="1"/>
  </r>
  <r>
    <x v="853"/>
    <x v="6"/>
    <n v="5"/>
    <n v="107.9"/>
    <n v="539.5"/>
    <d v="2025-02-05T00:00:00"/>
    <d v="2025-02-05T00:00:00"/>
    <x v="2"/>
    <x v="0"/>
    <n v="5"/>
    <x v="0"/>
    <x v="50"/>
    <n v="0"/>
    <n v="6"/>
    <x v="2"/>
  </r>
  <r>
    <x v="854"/>
    <x v="8"/>
    <n v="13"/>
    <n v="48.5"/>
    <n v="630.5"/>
    <d v="2025-02-05T00:00:00"/>
    <d v="2025-02-05T00:00:00"/>
    <x v="1"/>
    <x v="2"/>
    <n v="5"/>
    <x v="0"/>
    <x v="3"/>
    <n v="0"/>
    <n v="6"/>
    <x v="1"/>
  </r>
  <r>
    <x v="855"/>
    <x v="5"/>
    <n v="3"/>
    <n v="34.700000000000003"/>
    <n v="104.10000000000001"/>
    <d v="2025-02-05T00:00:00"/>
    <d v="2025-02-06T00:00:00"/>
    <x v="0"/>
    <x v="4"/>
    <n v="3"/>
    <x v="0"/>
    <x v="3"/>
    <n v="1"/>
    <n v="6"/>
    <x v="0"/>
  </r>
  <r>
    <x v="856"/>
    <x v="8"/>
    <n v="1"/>
    <n v="16.8"/>
    <n v="16.8"/>
    <d v="2025-02-05T00:00:00"/>
    <d v="2025-02-07T00:00:00"/>
    <x v="2"/>
    <x v="3"/>
    <n v="4"/>
    <x v="0"/>
    <x v="3"/>
    <n v="2"/>
    <n v="6"/>
    <x v="2"/>
  </r>
  <r>
    <x v="857"/>
    <x v="8"/>
    <n v="6"/>
    <n v="18.3"/>
    <n v="109.80000000000001"/>
    <d v="2025-02-05T00:00:00"/>
    <d v="2025-02-08T00:00:00"/>
    <x v="2"/>
    <x v="0"/>
    <n v="4"/>
    <x v="0"/>
    <x v="3"/>
    <n v="3"/>
    <n v="6"/>
    <x v="2"/>
  </r>
  <r>
    <x v="858"/>
    <x v="18"/>
    <n v="3"/>
    <n v="55.9"/>
    <n v="167.7"/>
    <d v="2025-02-05T00:00:00"/>
    <d v="2025-02-11T00:00:00"/>
    <x v="1"/>
    <x v="3"/>
    <n v="3"/>
    <x v="0"/>
    <x v="3"/>
    <n v="6"/>
    <n v="6"/>
    <x v="1"/>
  </r>
  <r>
    <x v="859"/>
    <x v="8"/>
    <n v="3"/>
    <n v="39.200000000000003"/>
    <n v="117.60000000000001"/>
    <d v="2025-02-05T00:00:00"/>
    <d v="2025-02-07T00:00:00"/>
    <x v="2"/>
    <x v="0"/>
    <n v="3"/>
    <x v="0"/>
    <x v="3"/>
    <n v="2"/>
    <n v="6"/>
    <x v="2"/>
  </r>
  <r>
    <x v="860"/>
    <x v="15"/>
    <n v="4"/>
    <n v="66.5"/>
    <n v="266"/>
    <d v="2025-02-05T00:00:00"/>
    <d v="2025-02-07T00:00:00"/>
    <x v="0"/>
    <x v="3"/>
    <n v="3"/>
    <x v="0"/>
    <x v="3"/>
    <n v="2"/>
    <n v="6"/>
    <x v="0"/>
  </r>
  <r>
    <x v="861"/>
    <x v="6"/>
    <n v="6"/>
    <n v="52.1"/>
    <n v="312.60000000000002"/>
    <d v="2025-02-05T00:00:00"/>
    <d v="2025-02-07T00:00:00"/>
    <x v="1"/>
    <x v="1"/>
    <n v="3"/>
    <x v="0"/>
    <x v="16"/>
    <n v="2"/>
    <n v="6"/>
    <x v="1"/>
  </r>
  <r>
    <x v="862"/>
    <x v="8"/>
    <n v="2"/>
    <n v="19"/>
    <n v="38"/>
    <d v="2025-02-05T00:00:00"/>
    <d v="2025-02-06T00:00:00"/>
    <x v="1"/>
    <x v="4"/>
    <n v="5"/>
    <x v="0"/>
    <x v="6"/>
    <n v="1"/>
    <n v="6"/>
    <x v="1"/>
  </r>
  <r>
    <x v="863"/>
    <x v="7"/>
    <n v="3"/>
    <n v="84.8"/>
    <n v="254.39999999999998"/>
    <d v="2025-02-05T00:00:00"/>
    <d v="2025-02-07T00:00:00"/>
    <x v="2"/>
    <x v="2"/>
    <n v="4"/>
    <x v="0"/>
    <x v="8"/>
    <n v="2"/>
    <n v="6"/>
    <x v="2"/>
  </r>
  <r>
    <x v="864"/>
    <x v="2"/>
    <n v="4"/>
    <n v="63.9"/>
    <n v="255.6"/>
    <d v="2025-02-05T00:00:00"/>
    <d v="2025-02-08T00:00:00"/>
    <x v="2"/>
    <x v="0"/>
    <n v="4"/>
    <x v="0"/>
    <x v="8"/>
    <n v="3"/>
    <n v="6"/>
    <x v="2"/>
  </r>
  <r>
    <x v="865"/>
    <x v="2"/>
    <n v="3"/>
    <n v="65.5"/>
    <n v="196.5"/>
    <d v="2025-02-05T00:00:00"/>
    <d v="2025-02-05T00:00:00"/>
    <x v="2"/>
    <x v="1"/>
    <n v="3"/>
    <x v="0"/>
    <x v="8"/>
    <n v="0"/>
    <n v="6"/>
    <x v="2"/>
  </r>
  <r>
    <x v="866"/>
    <x v="12"/>
    <n v="2"/>
    <n v="116.2"/>
    <n v="232.4"/>
    <d v="2025-02-05T00:00:00"/>
    <d v="2025-02-11T00:00:00"/>
    <x v="1"/>
    <x v="3"/>
    <n v="4"/>
    <x v="0"/>
    <x v="17"/>
    <n v="6"/>
    <n v="6"/>
    <x v="1"/>
  </r>
  <r>
    <x v="867"/>
    <x v="10"/>
    <n v="4"/>
    <n v="22.9"/>
    <n v="91.6"/>
    <d v="2025-02-05T00:00:00"/>
    <d v="2025-02-07T00:00:00"/>
    <x v="2"/>
    <x v="2"/>
    <n v="3"/>
    <x v="0"/>
    <x v="38"/>
    <n v="2"/>
    <n v="6"/>
    <x v="2"/>
  </r>
  <r>
    <x v="868"/>
    <x v="10"/>
    <n v="3"/>
    <n v="53.7"/>
    <n v="161.10000000000002"/>
    <d v="2025-02-05T00:00:00"/>
    <d v="2025-02-06T00:00:00"/>
    <x v="1"/>
    <x v="0"/>
    <n v="2"/>
    <x v="0"/>
    <x v="18"/>
    <n v="1"/>
    <n v="6"/>
    <x v="1"/>
  </r>
  <r>
    <x v="869"/>
    <x v="6"/>
    <n v="5"/>
    <n v="43.2"/>
    <n v="216"/>
    <d v="2025-02-05T00:00:00"/>
    <d v="2025-02-07T00:00:00"/>
    <x v="2"/>
    <x v="0"/>
    <n v="4"/>
    <x v="0"/>
    <x v="19"/>
    <n v="2"/>
    <n v="6"/>
    <x v="2"/>
  </r>
  <r>
    <x v="870"/>
    <x v="1"/>
    <n v="3"/>
    <n v="84.5"/>
    <n v="253.5"/>
    <d v="2025-02-05T00:00:00"/>
    <d v="2025-02-07T00:00:00"/>
    <x v="1"/>
    <x v="2"/>
    <n v="5"/>
    <x v="0"/>
    <x v="51"/>
    <n v="2"/>
    <n v="6"/>
    <x v="1"/>
  </r>
  <r>
    <x v="871"/>
    <x v="3"/>
    <n v="2"/>
    <n v="42.2"/>
    <n v="84.4"/>
    <d v="2025-02-05T00:00:00"/>
    <d v="2025-02-06T00:00:00"/>
    <x v="2"/>
    <x v="1"/>
    <n v="5"/>
    <x v="0"/>
    <x v="1"/>
    <n v="1"/>
    <n v="6"/>
    <x v="2"/>
  </r>
  <r>
    <x v="872"/>
    <x v="2"/>
    <n v="6"/>
    <n v="94.7"/>
    <n v="568.20000000000005"/>
    <d v="2025-02-05T00:00:00"/>
    <d v="2025-02-08T00:00:00"/>
    <x v="2"/>
    <x v="1"/>
    <n v="5"/>
    <x v="0"/>
    <x v="2"/>
    <n v="3"/>
    <n v="6"/>
    <x v="2"/>
  </r>
  <r>
    <x v="873"/>
    <x v="8"/>
    <n v="18"/>
    <n v="16.7"/>
    <n v="300.59999999999997"/>
    <d v="2025-02-05T00:00:00"/>
    <d v="2025-02-17T00:00:00"/>
    <x v="2"/>
    <x v="0"/>
    <n v="5"/>
    <x v="0"/>
    <x v="2"/>
    <n v="12"/>
    <n v="6"/>
    <x v="2"/>
  </r>
  <r>
    <x v="874"/>
    <x v="2"/>
    <n v="2"/>
    <n v="83.6"/>
    <n v="167.2"/>
    <d v="2025-02-05T00:00:00"/>
    <d v="2025-02-11T00:00:00"/>
    <x v="2"/>
    <x v="1"/>
    <n v="4"/>
    <x v="0"/>
    <x v="3"/>
    <n v="6"/>
    <n v="6"/>
    <x v="2"/>
  </r>
  <r>
    <x v="875"/>
    <x v="7"/>
    <n v="6"/>
    <n v="33.6"/>
    <n v="201.60000000000002"/>
    <d v="2025-02-06T00:00:00"/>
    <d v="2025-02-07T00:00:00"/>
    <x v="2"/>
    <x v="3"/>
    <n v="4"/>
    <x v="0"/>
    <x v="3"/>
    <n v="1"/>
    <n v="6"/>
    <x v="2"/>
  </r>
  <r>
    <x v="876"/>
    <x v="7"/>
    <n v="2"/>
    <n v="64.7"/>
    <n v="129.4"/>
    <d v="2025-02-06T00:00:00"/>
    <d v="2025-02-08T00:00:00"/>
    <x v="1"/>
    <x v="1"/>
    <n v="5"/>
    <x v="0"/>
    <x v="3"/>
    <n v="2"/>
    <n v="6"/>
    <x v="1"/>
  </r>
  <r>
    <x v="877"/>
    <x v="0"/>
    <n v="3"/>
    <n v="15.7"/>
    <n v="47.099999999999994"/>
    <d v="2025-02-06T00:00:00"/>
    <d v="2025-02-12T00:00:00"/>
    <x v="2"/>
    <x v="0"/>
    <n v="4"/>
    <x v="0"/>
    <x v="3"/>
    <n v="6"/>
    <n v="6"/>
    <x v="2"/>
  </r>
  <r>
    <x v="878"/>
    <x v="15"/>
    <n v="6"/>
    <n v="49.4"/>
    <n v="296.39999999999998"/>
    <d v="2025-02-06T00:00:00"/>
    <d v="2025-02-06T00:00:00"/>
    <x v="1"/>
    <x v="1"/>
    <n v="4"/>
    <x v="0"/>
    <x v="3"/>
    <n v="0"/>
    <n v="6"/>
    <x v="1"/>
  </r>
  <r>
    <x v="879"/>
    <x v="10"/>
    <n v="6"/>
    <n v="37"/>
    <n v="222"/>
    <d v="2025-02-06T00:00:00"/>
    <d v="2025-02-09T00:00:00"/>
    <x v="2"/>
    <x v="1"/>
    <n v="5"/>
    <x v="0"/>
    <x v="3"/>
    <n v="3"/>
    <n v="6"/>
    <x v="2"/>
  </r>
  <r>
    <x v="880"/>
    <x v="2"/>
    <n v="2"/>
    <n v="83.7"/>
    <n v="167.4"/>
    <d v="2025-02-06T00:00:00"/>
    <d v="2025-02-08T00:00:00"/>
    <x v="2"/>
    <x v="3"/>
    <n v="5"/>
    <x v="0"/>
    <x v="3"/>
    <n v="2"/>
    <n v="6"/>
    <x v="2"/>
  </r>
  <r>
    <x v="881"/>
    <x v="1"/>
    <n v="5"/>
    <n v="35.1"/>
    <n v="175.5"/>
    <d v="2025-02-06T00:00:00"/>
    <d v="2025-02-07T00:00:00"/>
    <x v="2"/>
    <x v="0"/>
    <n v="4"/>
    <x v="0"/>
    <x v="3"/>
    <n v="1"/>
    <n v="6"/>
    <x v="2"/>
  </r>
  <r>
    <x v="882"/>
    <x v="16"/>
    <n v="8"/>
    <n v="74"/>
    <n v="592"/>
    <d v="2025-02-06T00:00:00"/>
    <d v="2025-02-07T00:00:00"/>
    <x v="2"/>
    <x v="4"/>
    <n v="4"/>
    <x v="0"/>
    <x v="37"/>
    <n v="1"/>
    <n v="6"/>
    <x v="2"/>
  </r>
  <r>
    <x v="883"/>
    <x v="6"/>
    <n v="24"/>
    <n v="55.5"/>
    <n v="1332"/>
    <d v="2025-02-06T00:00:00"/>
    <d v="2025-02-09T00:00:00"/>
    <x v="1"/>
    <x v="3"/>
    <n v="4"/>
    <x v="0"/>
    <x v="49"/>
    <n v="3"/>
    <n v="6"/>
    <x v="1"/>
  </r>
  <r>
    <x v="884"/>
    <x v="11"/>
    <n v="2"/>
    <n v="38.9"/>
    <n v="77.8"/>
    <d v="2025-02-06T00:00:00"/>
    <d v="2025-02-08T00:00:00"/>
    <x v="2"/>
    <x v="1"/>
    <n v="5"/>
    <x v="0"/>
    <x v="25"/>
    <n v="2"/>
    <n v="6"/>
    <x v="2"/>
  </r>
  <r>
    <x v="885"/>
    <x v="16"/>
    <n v="2"/>
    <n v="64.599999999999994"/>
    <n v="129.19999999999999"/>
    <d v="2025-02-06T00:00:00"/>
    <d v="2025-02-13T00:00:00"/>
    <x v="1"/>
    <x v="2"/>
    <n v="3"/>
    <x v="0"/>
    <x v="25"/>
    <n v="7"/>
    <n v="6"/>
    <x v="1"/>
  </r>
  <r>
    <x v="886"/>
    <x v="2"/>
    <n v="3"/>
    <n v="95.3"/>
    <n v="285.89999999999998"/>
    <d v="2025-02-06T00:00:00"/>
    <d v="2025-02-07T00:00:00"/>
    <x v="1"/>
    <x v="0"/>
    <n v="4"/>
    <x v="0"/>
    <x v="5"/>
    <n v="1"/>
    <n v="6"/>
    <x v="1"/>
  </r>
  <r>
    <x v="887"/>
    <x v="13"/>
    <n v="3"/>
    <n v="25.8"/>
    <n v="77.400000000000006"/>
    <d v="2025-02-06T00:00:00"/>
    <d v="2025-02-07T00:00:00"/>
    <x v="2"/>
    <x v="1"/>
    <n v="3"/>
    <x v="0"/>
    <x v="6"/>
    <n v="1"/>
    <n v="6"/>
    <x v="2"/>
  </r>
  <r>
    <x v="888"/>
    <x v="0"/>
    <n v="2"/>
    <n v="11.6"/>
    <n v="23.2"/>
    <d v="2025-02-06T00:00:00"/>
    <d v="2025-02-10T00:00:00"/>
    <x v="2"/>
    <x v="1"/>
    <n v="3"/>
    <x v="0"/>
    <x v="6"/>
    <n v="4"/>
    <n v="6"/>
    <x v="2"/>
  </r>
  <r>
    <x v="889"/>
    <x v="7"/>
    <n v="1"/>
    <n v="52.3"/>
    <n v="52.3"/>
    <d v="2025-02-06T00:00:00"/>
    <d v="2025-02-07T00:00:00"/>
    <x v="2"/>
    <x v="1"/>
    <n v="4"/>
    <x v="0"/>
    <x v="8"/>
    <n v="1"/>
    <n v="6"/>
    <x v="2"/>
  </r>
  <r>
    <x v="890"/>
    <x v="2"/>
    <n v="10"/>
    <n v="112.2"/>
    <n v="1122"/>
    <d v="2025-02-06T00:00:00"/>
    <d v="2025-02-07T00:00:00"/>
    <x v="2"/>
    <x v="1"/>
    <n v="3"/>
    <x v="0"/>
    <x v="8"/>
    <n v="1"/>
    <n v="6"/>
    <x v="2"/>
  </r>
  <r>
    <x v="891"/>
    <x v="4"/>
    <n v="5"/>
    <n v="34.6"/>
    <n v="173"/>
    <d v="2025-02-06T00:00:00"/>
    <d v="2025-02-08T00:00:00"/>
    <x v="1"/>
    <x v="2"/>
    <n v="4"/>
    <x v="0"/>
    <x v="8"/>
    <n v="2"/>
    <n v="6"/>
    <x v="1"/>
  </r>
  <r>
    <x v="892"/>
    <x v="14"/>
    <n v="4"/>
    <n v="20.100000000000001"/>
    <n v="80.400000000000006"/>
    <d v="2025-02-06T00:00:00"/>
    <d v="2025-02-12T00:00:00"/>
    <x v="1"/>
    <x v="1"/>
    <n v="5"/>
    <x v="0"/>
    <x v="8"/>
    <n v="6"/>
    <n v="6"/>
    <x v="1"/>
  </r>
  <r>
    <x v="893"/>
    <x v="2"/>
    <n v="4"/>
    <n v="56.4"/>
    <n v="225.6"/>
    <d v="2025-02-06T00:00:00"/>
    <d v="2025-02-08T00:00:00"/>
    <x v="2"/>
    <x v="2"/>
    <n v="4"/>
    <x v="0"/>
    <x v="10"/>
    <n v="2"/>
    <n v="6"/>
    <x v="2"/>
  </r>
  <r>
    <x v="894"/>
    <x v="13"/>
    <n v="9"/>
    <n v="55.3"/>
    <n v="497.7"/>
    <d v="2025-02-06T00:00:00"/>
    <d v="2025-02-08T00:00:00"/>
    <x v="2"/>
    <x v="1"/>
    <n v="2"/>
    <x v="0"/>
    <x v="11"/>
    <n v="2"/>
    <n v="6"/>
    <x v="2"/>
  </r>
  <r>
    <x v="895"/>
    <x v="2"/>
    <n v="28"/>
    <n v="75.5"/>
    <n v="2114"/>
    <d v="2025-02-06T00:00:00"/>
    <d v="2025-02-07T00:00:00"/>
    <x v="2"/>
    <x v="0"/>
    <n v="4"/>
    <x v="0"/>
    <x v="11"/>
    <n v="1"/>
    <n v="6"/>
    <x v="2"/>
  </r>
  <r>
    <x v="896"/>
    <x v="8"/>
    <n v="1"/>
    <n v="23.6"/>
    <n v="23.6"/>
    <d v="2025-02-06T00:00:00"/>
    <d v="2025-02-11T00:00:00"/>
    <x v="2"/>
    <x v="0"/>
    <n v="4"/>
    <x v="0"/>
    <x v="19"/>
    <n v="5"/>
    <n v="6"/>
    <x v="2"/>
  </r>
  <r>
    <x v="897"/>
    <x v="9"/>
    <n v="2"/>
    <n v="70.7"/>
    <n v="141.4"/>
    <d v="2025-02-06T00:00:00"/>
    <d v="2025-02-08T00:00:00"/>
    <x v="2"/>
    <x v="2"/>
    <n v="4"/>
    <x v="0"/>
    <x v="19"/>
    <n v="2"/>
    <n v="6"/>
    <x v="2"/>
  </r>
  <r>
    <x v="898"/>
    <x v="12"/>
    <n v="2"/>
    <n v="43.2"/>
    <n v="86.4"/>
    <d v="2025-02-06T00:00:00"/>
    <d v="2025-02-07T00:00:00"/>
    <x v="2"/>
    <x v="2"/>
    <n v="4"/>
    <x v="0"/>
    <x v="31"/>
    <n v="1"/>
    <n v="6"/>
    <x v="2"/>
  </r>
  <r>
    <x v="899"/>
    <x v="9"/>
    <n v="9"/>
    <n v="70"/>
    <n v="630"/>
    <d v="2025-02-06T00:00:00"/>
    <d v="2025-02-07T00:00:00"/>
    <x v="0"/>
    <x v="1"/>
    <n v="4"/>
    <x v="0"/>
    <x v="52"/>
    <n v="1"/>
    <n v="6"/>
    <x v="0"/>
  </r>
  <r>
    <x v="900"/>
    <x v="0"/>
    <n v="2"/>
    <n v="20.5"/>
    <n v="41"/>
    <d v="2025-02-06T00:00:00"/>
    <d v="2025-02-08T00:00:00"/>
    <x v="2"/>
    <x v="2"/>
    <n v="2"/>
    <x v="0"/>
    <x v="13"/>
    <n v="2"/>
    <n v="6"/>
    <x v="2"/>
  </r>
  <r>
    <x v="901"/>
    <x v="0"/>
    <n v="4"/>
    <n v="29.1"/>
    <n v="116.4"/>
    <d v="2025-02-06T00:00:00"/>
    <d v="2025-02-07T00:00:00"/>
    <x v="2"/>
    <x v="3"/>
    <n v="4"/>
    <x v="0"/>
    <x v="28"/>
    <n v="1"/>
    <n v="6"/>
    <x v="2"/>
  </r>
  <r>
    <x v="902"/>
    <x v="6"/>
    <n v="9"/>
    <n v="53.6"/>
    <n v="482.40000000000003"/>
    <d v="2025-02-06T00:00:00"/>
    <d v="2025-02-07T00:00:00"/>
    <x v="1"/>
    <x v="2"/>
    <n v="3"/>
    <x v="0"/>
    <x v="3"/>
    <n v="1"/>
    <n v="6"/>
    <x v="1"/>
  </r>
  <r>
    <x v="903"/>
    <x v="6"/>
    <n v="5"/>
    <n v="72.3"/>
    <n v="361.5"/>
    <d v="2025-02-06T00:00:00"/>
    <d v="2025-02-08T00:00:00"/>
    <x v="2"/>
    <x v="1"/>
    <n v="4"/>
    <x v="0"/>
    <x v="3"/>
    <n v="2"/>
    <n v="6"/>
    <x v="2"/>
  </r>
  <r>
    <x v="904"/>
    <x v="13"/>
    <n v="4"/>
    <n v="22.6"/>
    <n v="90.4"/>
    <d v="2025-02-06T00:00:00"/>
    <d v="2025-02-09T00:00:00"/>
    <x v="3"/>
    <x v="0"/>
    <n v="3"/>
    <x v="0"/>
    <x v="3"/>
    <n v="3"/>
    <n v="6"/>
    <x v="3"/>
  </r>
  <r>
    <x v="905"/>
    <x v="9"/>
    <n v="2"/>
    <n v="44.2"/>
    <n v="88.4"/>
    <d v="2025-02-06T00:00:00"/>
    <d v="2025-02-10T00:00:00"/>
    <x v="0"/>
    <x v="2"/>
    <n v="2"/>
    <x v="0"/>
    <x v="3"/>
    <n v="4"/>
    <n v="6"/>
    <x v="0"/>
  </r>
  <r>
    <x v="906"/>
    <x v="9"/>
    <n v="3"/>
    <n v="94.1"/>
    <n v="282.29999999999995"/>
    <d v="2025-02-06T00:00:00"/>
    <d v="2025-02-19T00:00:00"/>
    <x v="2"/>
    <x v="2"/>
    <n v="5"/>
    <x v="0"/>
    <x v="3"/>
    <n v="13"/>
    <n v="6"/>
    <x v="2"/>
  </r>
  <r>
    <x v="907"/>
    <x v="8"/>
    <n v="3"/>
    <n v="17.899999999999999"/>
    <n v="53.699999999999996"/>
    <d v="2025-02-06T00:00:00"/>
    <d v="2025-02-08T00:00:00"/>
    <x v="1"/>
    <x v="1"/>
    <n v="3"/>
    <x v="0"/>
    <x v="3"/>
    <n v="2"/>
    <n v="6"/>
    <x v="1"/>
  </r>
  <r>
    <x v="908"/>
    <x v="12"/>
    <n v="7"/>
    <n v="52.7"/>
    <n v="368.90000000000003"/>
    <d v="2025-02-06T00:00:00"/>
    <d v="2025-02-07T00:00:00"/>
    <x v="1"/>
    <x v="1"/>
    <n v="3"/>
    <x v="0"/>
    <x v="3"/>
    <n v="1"/>
    <n v="6"/>
    <x v="1"/>
  </r>
  <r>
    <x v="909"/>
    <x v="8"/>
    <n v="1"/>
    <n v="36.799999999999997"/>
    <n v="36.799999999999997"/>
    <d v="2025-02-06T00:00:00"/>
    <d v="2025-02-06T00:00:00"/>
    <x v="0"/>
    <x v="0"/>
    <n v="5"/>
    <x v="0"/>
    <x v="3"/>
    <n v="0"/>
    <n v="6"/>
    <x v="0"/>
  </r>
  <r>
    <x v="910"/>
    <x v="4"/>
    <n v="1"/>
    <n v="52.5"/>
    <n v="52.5"/>
    <d v="2025-02-06T00:00:00"/>
    <d v="2025-02-07T00:00:00"/>
    <x v="1"/>
    <x v="0"/>
    <n v="3"/>
    <x v="0"/>
    <x v="6"/>
    <n v="1"/>
    <n v="6"/>
    <x v="1"/>
  </r>
  <r>
    <x v="911"/>
    <x v="2"/>
    <n v="2"/>
    <n v="133.80000000000001"/>
    <n v="267.60000000000002"/>
    <d v="2025-02-06T00:00:00"/>
    <d v="2025-02-08T00:00:00"/>
    <x v="1"/>
    <x v="0"/>
    <n v="3"/>
    <x v="0"/>
    <x v="7"/>
    <n v="2"/>
    <n v="6"/>
    <x v="1"/>
  </r>
  <r>
    <x v="912"/>
    <x v="6"/>
    <n v="2"/>
    <n v="53.2"/>
    <n v="106.4"/>
    <d v="2025-02-06T00:00:00"/>
    <d v="2025-02-08T00:00:00"/>
    <x v="1"/>
    <x v="0"/>
    <n v="4"/>
    <x v="0"/>
    <x v="17"/>
    <n v="2"/>
    <n v="6"/>
    <x v="1"/>
  </r>
  <r>
    <x v="913"/>
    <x v="14"/>
    <n v="6"/>
    <n v="18.7"/>
    <n v="112.19999999999999"/>
    <d v="2025-02-06T00:00:00"/>
    <d v="2025-02-08T00:00:00"/>
    <x v="0"/>
    <x v="0"/>
    <n v="3"/>
    <x v="0"/>
    <x v="10"/>
    <n v="2"/>
    <n v="6"/>
    <x v="0"/>
  </r>
  <r>
    <x v="914"/>
    <x v="6"/>
    <n v="4"/>
    <n v="108.8"/>
    <n v="435.2"/>
    <d v="2025-02-06T00:00:00"/>
    <d v="2025-02-07T00:00:00"/>
    <x v="2"/>
    <x v="3"/>
    <n v="5"/>
    <x v="0"/>
    <x v="11"/>
    <n v="1"/>
    <n v="6"/>
    <x v="2"/>
  </r>
  <r>
    <x v="915"/>
    <x v="15"/>
    <n v="5"/>
    <n v="38.5"/>
    <n v="192.5"/>
    <d v="2025-02-06T00:00:00"/>
    <d v="2025-02-10T00:00:00"/>
    <x v="2"/>
    <x v="0"/>
    <n v="3"/>
    <x v="0"/>
    <x v="14"/>
    <n v="4"/>
    <n v="6"/>
    <x v="2"/>
  </r>
  <r>
    <x v="916"/>
    <x v="10"/>
    <n v="10"/>
    <n v="46.5"/>
    <n v="465"/>
    <d v="2025-02-06T00:00:00"/>
    <d v="2025-02-08T00:00:00"/>
    <x v="1"/>
    <x v="2"/>
    <n v="3"/>
    <x v="0"/>
    <x v="2"/>
    <n v="2"/>
    <n v="6"/>
    <x v="1"/>
  </r>
  <r>
    <x v="917"/>
    <x v="2"/>
    <n v="3"/>
    <n v="75.8"/>
    <n v="227.39999999999998"/>
    <d v="2025-02-06T00:00:00"/>
    <d v="2025-02-10T00:00:00"/>
    <x v="2"/>
    <x v="1"/>
    <n v="2"/>
    <x v="0"/>
    <x v="44"/>
    <n v="4"/>
    <n v="6"/>
    <x v="2"/>
  </r>
  <r>
    <x v="918"/>
    <x v="8"/>
    <n v="1"/>
    <n v="20.9"/>
    <n v="20.9"/>
    <d v="2025-02-06T00:00:00"/>
    <d v="2025-02-10T00:00:00"/>
    <x v="1"/>
    <x v="0"/>
    <n v="4"/>
    <x v="0"/>
    <x v="22"/>
    <n v="4"/>
    <n v="6"/>
    <x v="1"/>
  </r>
  <r>
    <x v="919"/>
    <x v="18"/>
    <n v="3"/>
    <n v="47.4"/>
    <n v="142.19999999999999"/>
    <d v="2025-02-06T00:00:00"/>
    <d v="2025-02-09T00:00:00"/>
    <x v="2"/>
    <x v="0"/>
    <n v="4"/>
    <x v="0"/>
    <x v="3"/>
    <n v="3"/>
    <n v="6"/>
    <x v="2"/>
  </r>
  <r>
    <x v="920"/>
    <x v="9"/>
    <n v="2"/>
    <n v="53.8"/>
    <n v="107.6"/>
    <d v="2025-02-06T00:00:00"/>
    <d v="2025-02-07T00:00:00"/>
    <x v="0"/>
    <x v="0"/>
    <n v="3"/>
    <x v="0"/>
    <x v="3"/>
    <n v="1"/>
    <n v="6"/>
    <x v="0"/>
  </r>
  <r>
    <x v="921"/>
    <x v="8"/>
    <n v="3"/>
    <n v="24.6"/>
    <n v="73.800000000000011"/>
    <d v="2025-02-06T00:00:00"/>
    <d v="2025-02-08T00:00:00"/>
    <x v="3"/>
    <x v="1"/>
    <n v="5"/>
    <x v="0"/>
    <x v="3"/>
    <n v="2"/>
    <n v="6"/>
    <x v="3"/>
  </r>
  <r>
    <x v="922"/>
    <x v="9"/>
    <n v="3"/>
    <n v="70.900000000000006"/>
    <n v="212.70000000000002"/>
    <d v="2025-02-06T00:00:00"/>
    <d v="2025-02-11T00:00:00"/>
    <x v="2"/>
    <x v="2"/>
    <n v="5"/>
    <x v="0"/>
    <x v="3"/>
    <n v="5"/>
    <n v="6"/>
    <x v="2"/>
  </r>
  <r>
    <x v="923"/>
    <x v="17"/>
    <n v="3"/>
    <n v="31.9"/>
    <n v="95.699999999999989"/>
    <d v="2025-02-06T00:00:00"/>
    <d v="2025-02-08T00:00:00"/>
    <x v="2"/>
    <x v="2"/>
    <n v="5"/>
    <x v="0"/>
    <x v="3"/>
    <n v="2"/>
    <n v="6"/>
    <x v="2"/>
  </r>
  <r>
    <x v="924"/>
    <x v="0"/>
    <n v="2"/>
    <n v="20.399999999999999"/>
    <n v="40.799999999999997"/>
    <d v="2025-02-06T00:00:00"/>
    <d v="2025-02-10T00:00:00"/>
    <x v="1"/>
    <x v="3"/>
    <n v="5"/>
    <x v="0"/>
    <x v="3"/>
    <n v="4"/>
    <n v="6"/>
    <x v="1"/>
  </r>
  <r>
    <x v="925"/>
    <x v="8"/>
    <n v="2"/>
    <n v="18.600000000000001"/>
    <n v="37.200000000000003"/>
    <d v="2025-02-06T00:00:00"/>
    <d v="2025-02-08T00:00:00"/>
    <x v="0"/>
    <x v="0"/>
    <n v="3"/>
    <x v="0"/>
    <x v="3"/>
    <n v="2"/>
    <n v="6"/>
    <x v="0"/>
  </r>
  <r>
    <x v="926"/>
    <x v="4"/>
    <n v="5"/>
    <n v="48.3"/>
    <n v="241.5"/>
    <d v="2025-02-06T00:00:00"/>
    <d v="2025-02-08T00:00:00"/>
    <x v="2"/>
    <x v="1"/>
    <n v="4"/>
    <x v="0"/>
    <x v="3"/>
    <n v="2"/>
    <n v="6"/>
    <x v="2"/>
  </r>
  <r>
    <x v="927"/>
    <x v="0"/>
    <n v="4"/>
    <n v="27.7"/>
    <n v="110.8"/>
    <d v="2025-02-06T00:00:00"/>
    <d v="2025-02-08T00:00:00"/>
    <x v="2"/>
    <x v="0"/>
    <n v="4"/>
    <x v="0"/>
    <x v="3"/>
    <n v="2"/>
    <n v="6"/>
    <x v="2"/>
  </r>
  <r>
    <x v="928"/>
    <x v="4"/>
    <n v="5"/>
    <n v="22.5"/>
    <n v="112.5"/>
    <d v="2025-02-06T00:00:00"/>
    <d v="2025-02-08T00:00:00"/>
    <x v="2"/>
    <x v="4"/>
    <n v="5"/>
    <x v="0"/>
    <x v="3"/>
    <n v="2"/>
    <n v="6"/>
    <x v="2"/>
  </r>
  <r>
    <x v="929"/>
    <x v="17"/>
    <n v="5"/>
    <n v="21.6"/>
    <n v="108"/>
    <d v="2025-02-06T00:00:00"/>
    <d v="2025-02-14T00:00:00"/>
    <x v="2"/>
    <x v="0"/>
    <n v="3"/>
    <x v="0"/>
    <x v="3"/>
    <n v="8"/>
    <n v="6"/>
    <x v="2"/>
  </r>
  <r>
    <x v="930"/>
    <x v="10"/>
    <n v="7"/>
    <n v="26.3"/>
    <n v="184.1"/>
    <d v="2025-02-06T00:00:00"/>
    <d v="2025-02-06T00:00:00"/>
    <x v="2"/>
    <x v="2"/>
    <n v="3"/>
    <x v="0"/>
    <x v="3"/>
    <n v="0"/>
    <n v="6"/>
    <x v="2"/>
  </r>
  <r>
    <x v="931"/>
    <x v="6"/>
    <n v="7"/>
    <n v="103"/>
    <n v="721"/>
    <d v="2025-02-07T00:00:00"/>
    <d v="2025-02-08T00:00:00"/>
    <x v="1"/>
    <x v="0"/>
    <n v="5"/>
    <x v="0"/>
    <x v="6"/>
    <n v="1"/>
    <n v="6"/>
    <x v="1"/>
  </r>
  <r>
    <x v="932"/>
    <x v="5"/>
    <n v="15"/>
    <n v="46.6"/>
    <n v="699"/>
    <d v="2025-02-07T00:00:00"/>
    <d v="2025-02-08T00:00:00"/>
    <x v="2"/>
    <x v="0"/>
    <n v="3"/>
    <x v="0"/>
    <x v="6"/>
    <n v="1"/>
    <n v="6"/>
    <x v="2"/>
  </r>
  <r>
    <x v="933"/>
    <x v="0"/>
    <n v="5"/>
    <n v="32.200000000000003"/>
    <n v="161"/>
    <d v="2025-02-07T00:00:00"/>
    <d v="2025-02-10T00:00:00"/>
    <x v="2"/>
    <x v="0"/>
    <n v="5"/>
    <x v="0"/>
    <x v="36"/>
    <n v="3"/>
    <n v="6"/>
    <x v="2"/>
  </r>
  <r>
    <x v="934"/>
    <x v="8"/>
    <n v="3"/>
    <n v="22"/>
    <n v="66"/>
    <d v="2025-02-07T00:00:00"/>
    <d v="2025-02-14T00:00:00"/>
    <x v="1"/>
    <x v="1"/>
    <n v="4"/>
    <x v="0"/>
    <x v="7"/>
    <n v="7"/>
    <n v="6"/>
    <x v="1"/>
  </r>
  <r>
    <x v="935"/>
    <x v="0"/>
    <n v="2"/>
    <n v="25.2"/>
    <n v="50.4"/>
    <d v="2025-02-07T00:00:00"/>
    <d v="2025-02-11T00:00:00"/>
    <x v="2"/>
    <x v="0"/>
    <n v="4"/>
    <x v="0"/>
    <x v="7"/>
    <n v="4"/>
    <n v="6"/>
    <x v="2"/>
  </r>
  <r>
    <x v="936"/>
    <x v="1"/>
    <n v="6"/>
    <n v="68.7"/>
    <n v="412.20000000000005"/>
    <d v="2025-02-07T00:00:00"/>
    <d v="2025-02-09T00:00:00"/>
    <x v="1"/>
    <x v="4"/>
    <n v="4"/>
    <x v="0"/>
    <x v="8"/>
    <n v="2"/>
    <n v="6"/>
    <x v="1"/>
  </r>
  <r>
    <x v="937"/>
    <x v="0"/>
    <n v="3"/>
    <n v="22.2"/>
    <n v="66.599999999999994"/>
    <d v="2025-02-07T00:00:00"/>
    <d v="2025-02-10T00:00:00"/>
    <x v="1"/>
    <x v="2"/>
    <n v="5"/>
    <x v="0"/>
    <x v="8"/>
    <n v="3"/>
    <n v="6"/>
    <x v="1"/>
  </r>
  <r>
    <x v="938"/>
    <x v="1"/>
    <n v="7"/>
    <n v="36"/>
    <n v="252"/>
    <d v="2025-02-07T00:00:00"/>
    <d v="2025-02-08T00:00:00"/>
    <x v="2"/>
    <x v="1"/>
    <n v="4"/>
    <x v="0"/>
    <x v="8"/>
    <n v="1"/>
    <n v="6"/>
    <x v="2"/>
  </r>
  <r>
    <x v="939"/>
    <x v="18"/>
    <n v="1"/>
    <n v="50.6"/>
    <n v="50.6"/>
    <d v="2025-02-07T00:00:00"/>
    <d v="2025-02-09T00:00:00"/>
    <x v="2"/>
    <x v="0"/>
    <n v="3"/>
    <x v="0"/>
    <x v="8"/>
    <n v="2"/>
    <n v="6"/>
    <x v="2"/>
  </r>
  <r>
    <x v="940"/>
    <x v="15"/>
    <n v="2"/>
    <n v="44.9"/>
    <n v="89.8"/>
    <d v="2025-02-07T00:00:00"/>
    <d v="2025-02-09T00:00:00"/>
    <x v="1"/>
    <x v="0"/>
    <n v="3"/>
    <x v="0"/>
    <x v="8"/>
    <n v="2"/>
    <n v="6"/>
    <x v="1"/>
  </r>
  <r>
    <x v="941"/>
    <x v="6"/>
    <n v="3"/>
    <n v="71.599999999999994"/>
    <n v="214.79999999999998"/>
    <d v="2025-02-07T00:00:00"/>
    <d v="2025-02-11T00:00:00"/>
    <x v="1"/>
    <x v="1"/>
    <n v="5"/>
    <x v="0"/>
    <x v="10"/>
    <n v="4"/>
    <n v="6"/>
    <x v="1"/>
  </r>
  <r>
    <x v="942"/>
    <x v="6"/>
    <n v="6"/>
    <n v="51.5"/>
    <n v="309"/>
    <d v="2025-02-07T00:00:00"/>
    <d v="2025-02-09T00:00:00"/>
    <x v="0"/>
    <x v="4"/>
    <n v="4"/>
    <x v="0"/>
    <x v="11"/>
    <n v="2"/>
    <n v="6"/>
    <x v="0"/>
  </r>
  <r>
    <x v="943"/>
    <x v="7"/>
    <n v="5"/>
    <n v="55.5"/>
    <n v="277.5"/>
    <d v="2025-02-07T00:00:00"/>
    <d v="2025-02-08T00:00:00"/>
    <x v="1"/>
    <x v="1"/>
    <n v="3"/>
    <x v="0"/>
    <x v="11"/>
    <n v="1"/>
    <n v="6"/>
    <x v="1"/>
  </r>
  <r>
    <x v="944"/>
    <x v="6"/>
    <n v="1"/>
    <n v="51.7"/>
    <n v="51.7"/>
    <d v="2025-02-07T00:00:00"/>
    <d v="2025-02-21T00:00:00"/>
    <x v="1"/>
    <x v="2"/>
    <n v="4"/>
    <x v="0"/>
    <x v="19"/>
    <n v="14"/>
    <n v="6"/>
    <x v="1"/>
  </r>
  <r>
    <x v="945"/>
    <x v="8"/>
    <n v="21"/>
    <n v="45.5"/>
    <n v="955.5"/>
    <d v="2025-02-07T00:00:00"/>
    <d v="2025-02-08T00:00:00"/>
    <x v="2"/>
    <x v="3"/>
    <n v="5"/>
    <x v="0"/>
    <x v="19"/>
    <n v="1"/>
    <n v="6"/>
    <x v="2"/>
  </r>
  <r>
    <x v="946"/>
    <x v="8"/>
    <n v="2"/>
    <n v="33.799999999999997"/>
    <n v="67.599999999999994"/>
    <d v="2025-02-07T00:00:00"/>
    <d v="2025-02-13T00:00:00"/>
    <x v="2"/>
    <x v="3"/>
    <n v="4"/>
    <x v="0"/>
    <x v="20"/>
    <n v="6"/>
    <n v="6"/>
    <x v="2"/>
  </r>
  <r>
    <x v="947"/>
    <x v="3"/>
    <n v="3"/>
    <n v="76.5"/>
    <n v="229.5"/>
    <d v="2025-02-07T00:00:00"/>
    <d v="2025-02-08T00:00:00"/>
    <x v="2"/>
    <x v="0"/>
    <n v="3"/>
    <x v="0"/>
    <x v="21"/>
    <n v="1"/>
    <n v="6"/>
    <x v="2"/>
  </r>
  <r>
    <x v="948"/>
    <x v="9"/>
    <n v="3"/>
    <n v="42.6"/>
    <n v="127.80000000000001"/>
    <d v="2025-02-07T00:00:00"/>
    <d v="2025-02-13T00:00:00"/>
    <x v="2"/>
    <x v="2"/>
    <n v="5"/>
    <x v="0"/>
    <x v="2"/>
    <n v="6"/>
    <n v="6"/>
    <x v="2"/>
  </r>
  <r>
    <x v="949"/>
    <x v="6"/>
    <n v="3"/>
    <n v="44.1"/>
    <n v="132.30000000000001"/>
    <d v="2025-02-07T00:00:00"/>
    <d v="2025-02-09T00:00:00"/>
    <x v="2"/>
    <x v="1"/>
    <n v="3"/>
    <x v="0"/>
    <x v="22"/>
    <n v="2"/>
    <n v="6"/>
    <x v="2"/>
  </r>
  <r>
    <x v="950"/>
    <x v="8"/>
    <n v="2"/>
    <n v="40.9"/>
    <n v="81.8"/>
    <d v="2025-02-07T00:00:00"/>
    <d v="2025-02-11T00:00:00"/>
    <x v="1"/>
    <x v="0"/>
    <n v="4"/>
    <x v="0"/>
    <x v="3"/>
    <n v="4"/>
    <n v="6"/>
    <x v="1"/>
  </r>
  <r>
    <x v="951"/>
    <x v="9"/>
    <n v="3"/>
    <n v="49.1"/>
    <n v="147.30000000000001"/>
    <d v="2025-02-07T00:00:00"/>
    <d v="2025-02-11T00:00:00"/>
    <x v="2"/>
    <x v="3"/>
    <n v="3"/>
    <x v="0"/>
    <x v="3"/>
    <n v="4"/>
    <n v="6"/>
    <x v="2"/>
  </r>
  <r>
    <x v="952"/>
    <x v="18"/>
    <n v="1"/>
    <n v="85.3"/>
    <n v="85.3"/>
    <d v="2025-02-07T00:00:00"/>
    <d v="2025-02-11T00:00:00"/>
    <x v="1"/>
    <x v="1"/>
    <n v="3"/>
    <x v="0"/>
    <x v="3"/>
    <n v="4"/>
    <n v="6"/>
    <x v="1"/>
  </r>
  <r>
    <x v="953"/>
    <x v="6"/>
    <n v="4"/>
    <n v="43.1"/>
    <n v="172.4"/>
    <d v="2025-02-08T00:00:00"/>
    <d v="2025-02-11T00:00:00"/>
    <x v="1"/>
    <x v="0"/>
    <n v="4"/>
    <x v="0"/>
    <x v="3"/>
    <n v="3"/>
    <n v="6"/>
    <x v="1"/>
  </r>
  <r>
    <x v="954"/>
    <x v="4"/>
    <n v="4"/>
    <n v="46.2"/>
    <n v="184.8"/>
    <d v="2025-02-08T00:00:00"/>
    <d v="2025-02-09T00:00:00"/>
    <x v="1"/>
    <x v="2"/>
    <n v="4"/>
    <x v="0"/>
    <x v="3"/>
    <n v="1"/>
    <n v="6"/>
    <x v="1"/>
  </r>
  <r>
    <x v="955"/>
    <x v="1"/>
    <n v="1"/>
    <n v="74.400000000000006"/>
    <n v="74.400000000000006"/>
    <d v="2025-02-08T00:00:00"/>
    <d v="2025-02-10T00:00:00"/>
    <x v="1"/>
    <x v="4"/>
    <n v="5"/>
    <x v="0"/>
    <x v="3"/>
    <n v="2"/>
    <n v="6"/>
    <x v="1"/>
  </r>
  <r>
    <x v="956"/>
    <x v="17"/>
    <n v="2"/>
    <n v="51.2"/>
    <n v="102.4"/>
    <d v="2025-02-08T00:00:00"/>
    <d v="2025-02-09T00:00:00"/>
    <x v="1"/>
    <x v="1"/>
    <n v="4"/>
    <x v="0"/>
    <x v="3"/>
    <n v="1"/>
    <n v="6"/>
    <x v="1"/>
  </r>
  <r>
    <x v="957"/>
    <x v="14"/>
    <n v="4"/>
    <n v="11.8"/>
    <n v="47.2"/>
    <d v="2025-02-08T00:00:00"/>
    <d v="2025-02-08T00:00:00"/>
    <x v="1"/>
    <x v="2"/>
    <n v="4"/>
    <x v="0"/>
    <x v="3"/>
    <n v="0"/>
    <n v="6"/>
    <x v="1"/>
  </r>
  <r>
    <x v="958"/>
    <x v="10"/>
    <n v="27"/>
    <n v="40.799999999999997"/>
    <n v="1101.5999999999999"/>
    <d v="2025-02-08T00:00:00"/>
    <d v="2025-02-09T00:00:00"/>
    <x v="2"/>
    <x v="3"/>
    <n v="5"/>
    <x v="0"/>
    <x v="3"/>
    <n v="1"/>
    <n v="6"/>
    <x v="2"/>
  </r>
  <r>
    <x v="959"/>
    <x v="8"/>
    <n v="1"/>
    <n v="24.7"/>
    <n v="24.7"/>
    <d v="2025-02-08T00:00:00"/>
    <d v="2025-02-10T00:00:00"/>
    <x v="2"/>
    <x v="2"/>
    <n v="3"/>
    <x v="0"/>
    <x v="3"/>
    <n v="2"/>
    <n v="6"/>
    <x v="2"/>
  </r>
  <r>
    <x v="960"/>
    <x v="8"/>
    <n v="7"/>
    <n v="22.1"/>
    <n v="154.70000000000002"/>
    <d v="2025-02-08T00:00:00"/>
    <d v="2025-02-08T00:00:00"/>
    <x v="2"/>
    <x v="2"/>
    <n v="2"/>
    <x v="0"/>
    <x v="3"/>
    <n v="0"/>
    <n v="6"/>
    <x v="2"/>
  </r>
  <r>
    <x v="961"/>
    <x v="8"/>
    <n v="1"/>
    <n v="18.100000000000001"/>
    <n v="18.100000000000001"/>
    <d v="2025-02-08T00:00:00"/>
    <d v="2025-02-12T00:00:00"/>
    <x v="1"/>
    <x v="3"/>
    <n v="5"/>
    <x v="0"/>
    <x v="3"/>
    <n v="4"/>
    <n v="6"/>
    <x v="1"/>
  </r>
  <r>
    <x v="962"/>
    <x v="17"/>
    <n v="2"/>
    <n v="58.8"/>
    <n v="117.6"/>
    <d v="2025-02-08T00:00:00"/>
    <d v="2025-02-11T00:00:00"/>
    <x v="2"/>
    <x v="0"/>
    <n v="4"/>
    <x v="0"/>
    <x v="25"/>
    <n v="3"/>
    <n v="6"/>
    <x v="2"/>
  </r>
  <r>
    <x v="963"/>
    <x v="18"/>
    <n v="2"/>
    <n v="30.8"/>
    <n v="61.6"/>
    <d v="2025-02-08T00:00:00"/>
    <d v="2025-02-09T00:00:00"/>
    <x v="2"/>
    <x v="0"/>
    <n v="4"/>
    <x v="0"/>
    <x v="6"/>
    <n v="1"/>
    <n v="6"/>
    <x v="2"/>
  </r>
  <r>
    <x v="964"/>
    <x v="0"/>
    <n v="2"/>
    <n v="12"/>
    <n v="24"/>
    <d v="2025-02-08T00:00:00"/>
    <d v="2025-02-12T00:00:00"/>
    <x v="2"/>
    <x v="0"/>
    <n v="4"/>
    <x v="0"/>
    <x v="6"/>
    <n v="4"/>
    <n v="6"/>
    <x v="2"/>
  </r>
  <r>
    <x v="965"/>
    <x v="0"/>
    <n v="4"/>
    <n v="13.6"/>
    <n v="54.4"/>
    <d v="2025-02-08T00:00:00"/>
    <d v="2025-02-11T00:00:00"/>
    <x v="1"/>
    <x v="2"/>
    <n v="4"/>
    <x v="0"/>
    <x v="6"/>
    <n v="3"/>
    <n v="6"/>
    <x v="1"/>
  </r>
  <r>
    <x v="966"/>
    <x v="0"/>
    <n v="1"/>
    <n v="17.899999999999999"/>
    <n v="17.899999999999999"/>
    <d v="2025-02-08T00:00:00"/>
    <d v="2025-02-09T00:00:00"/>
    <x v="1"/>
    <x v="3"/>
    <n v="4"/>
    <x v="0"/>
    <x v="6"/>
    <n v="1"/>
    <n v="6"/>
    <x v="1"/>
  </r>
  <r>
    <x v="967"/>
    <x v="9"/>
    <n v="2"/>
    <n v="38.6"/>
    <n v="77.2"/>
    <d v="2025-02-08T00:00:00"/>
    <d v="2025-02-12T00:00:00"/>
    <x v="2"/>
    <x v="4"/>
    <n v="4"/>
    <x v="0"/>
    <x v="7"/>
    <n v="4"/>
    <n v="6"/>
    <x v="2"/>
  </r>
  <r>
    <x v="968"/>
    <x v="5"/>
    <n v="5"/>
    <n v="32.700000000000003"/>
    <n v="163.5"/>
    <d v="2025-02-08T00:00:00"/>
    <d v="2025-02-09T00:00:00"/>
    <x v="1"/>
    <x v="2"/>
    <n v="5"/>
    <x v="0"/>
    <x v="8"/>
    <n v="1"/>
    <n v="6"/>
    <x v="1"/>
  </r>
  <r>
    <x v="969"/>
    <x v="3"/>
    <n v="2"/>
    <n v="111.4"/>
    <n v="222.8"/>
    <d v="2025-02-08T00:00:00"/>
    <d v="2025-02-09T00:00:00"/>
    <x v="2"/>
    <x v="1"/>
    <n v="4"/>
    <x v="0"/>
    <x v="8"/>
    <n v="1"/>
    <n v="6"/>
    <x v="2"/>
  </r>
  <r>
    <x v="970"/>
    <x v="2"/>
    <n v="6"/>
    <n v="80.3"/>
    <n v="481.79999999999995"/>
    <d v="2025-02-08T00:00:00"/>
    <d v="2025-02-10T00:00:00"/>
    <x v="2"/>
    <x v="1"/>
    <n v="4"/>
    <x v="0"/>
    <x v="8"/>
    <n v="2"/>
    <n v="6"/>
    <x v="2"/>
  </r>
  <r>
    <x v="971"/>
    <x v="6"/>
    <n v="2"/>
    <n v="58.9"/>
    <n v="117.8"/>
    <d v="2025-02-08T00:00:00"/>
    <d v="2025-02-09T00:00:00"/>
    <x v="1"/>
    <x v="1"/>
    <n v="4"/>
    <x v="0"/>
    <x v="8"/>
    <n v="1"/>
    <n v="6"/>
    <x v="1"/>
  </r>
  <r>
    <x v="972"/>
    <x v="6"/>
    <n v="3"/>
    <n v="51.9"/>
    <n v="155.69999999999999"/>
    <d v="2025-02-08T00:00:00"/>
    <d v="2025-02-10T00:00:00"/>
    <x v="2"/>
    <x v="1"/>
    <n v="2"/>
    <x v="0"/>
    <x v="8"/>
    <n v="2"/>
    <n v="6"/>
    <x v="2"/>
  </r>
  <r>
    <x v="973"/>
    <x v="2"/>
    <n v="3"/>
    <n v="50.3"/>
    <n v="150.89999999999998"/>
    <d v="2025-02-08T00:00:00"/>
    <d v="2025-02-09T00:00:00"/>
    <x v="1"/>
    <x v="2"/>
    <n v="4"/>
    <x v="0"/>
    <x v="17"/>
    <n v="1"/>
    <n v="6"/>
    <x v="1"/>
  </r>
  <r>
    <x v="974"/>
    <x v="11"/>
    <n v="6"/>
    <n v="45"/>
    <n v="270"/>
    <d v="2025-02-08T00:00:00"/>
    <d v="2025-02-14T00:00:00"/>
    <x v="2"/>
    <x v="3"/>
    <n v="4"/>
    <x v="0"/>
    <x v="9"/>
    <n v="6"/>
    <n v="6"/>
    <x v="2"/>
  </r>
  <r>
    <x v="975"/>
    <x v="10"/>
    <n v="6"/>
    <n v="44.7"/>
    <n v="268.20000000000005"/>
    <d v="2025-02-08T00:00:00"/>
    <d v="2025-02-10T00:00:00"/>
    <x v="2"/>
    <x v="2"/>
    <n v="4"/>
    <x v="0"/>
    <x v="11"/>
    <n v="2"/>
    <n v="6"/>
    <x v="2"/>
  </r>
  <r>
    <x v="976"/>
    <x v="18"/>
    <n v="15"/>
    <n v="33"/>
    <n v="495"/>
    <d v="2025-02-08T00:00:00"/>
    <d v="2025-02-09T00:00:00"/>
    <x v="2"/>
    <x v="2"/>
    <n v="4"/>
    <x v="0"/>
    <x v="11"/>
    <n v="1"/>
    <n v="6"/>
    <x v="2"/>
  </r>
  <r>
    <x v="977"/>
    <x v="1"/>
    <n v="5"/>
    <n v="44.9"/>
    <n v="224.5"/>
    <d v="2025-02-08T00:00:00"/>
    <d v="2025-02-11T00:00:00"/>
    <x v="2"/>
    <x v="2"/>
    <n v="5"/>
    <x v="0"/>
    <x v="18"/>
    <n v="3"/>
    <n v="6"/>
    <x v="2"/>
  </r>
  <r>
    <x v="978"/>
    <x v="10"/>
    <n v="2"/>
    <n v="34.6"/>
    <n v="69.2"/>
    <d v="2025-02-08T00:00:00"/>
    <d v="2025-02-12T00:00:00"/>
    <x v="2"/>
    <x v="0"/>
    <n v="3"/>
    <x v="0"/>
    <x v="19"/>
    <n v="4"/>
    <n v="6"/>
    <x v="2"/>
  </r>
  <r>
    <x v="979"/>
    <x v="7"/>
    <n v="7"/>
    <n v="47.1"/>
    <n v="329.7"/>
    <d v="2025-02-08T00:00:00"/>
    <d v="2025-02-13T00:00:00"/>
    <x v="2"/>
    <x v="0"/>
    <n v="4"/>
    <x v="0"/>
    <x v="13"/>
    <n v="5"/>
    <n v="6"/>
    <x v="2"/>
  </r>
  <r>
    <x v="980"/>
    <x v="4"/>
    <n v="5"/>
    <n v="26.1"/>
    <n v="130.5"/>
    <d v="2025-02-08T00:00:00"/>
    <d v="2025-02-13T00:00:00"/>
    <x v="1"/>
    <x v="0"/>
    <n v="5"/>
    <x v="0"/>
    <x v="21"/>
    <n v="5"/>
    <n v="6"/>
    <x v="1"/>
  </r>
  <r>
    <x v="981"/>
    <x v="12"/>
    <n v="5"/>
    <n v="66.8"/>
    <n v="334"/>
    <d v="2025-02-08T00:00:00"/>
    <d v="2025-02-11T00:00:00"/>
    <x v="2"/>
    <x v="0"/>
    <n v="4"/>
    <x v="0"/>
    <x v="21"/>
    <n v="3"/>
    <n v="6"/>
    <x v="2"/>
  </r>
  <r>
    <x v="982"/>
    <x v="2"/>
    <n v="2"/>
    <n v="167.9"/>
    <n v="335.8"/>
    <d v="2025-02-08T00:00:00"/>
    <d v="2025-02-09T00:00:00"/>
    <x v="2"/>
    <x v="3"/>
    <n v="5"/>
    <x v="0"/>
    <x v="21"/>
    <n v="1"/>
    <n v="6"/>
    <x v="2"/>
  </r>
  <r>
    <x v="983"/>
    <x v="10"/>
    <n v="9"/>
    <n v="34.6"/>
    <n v="311.40000000000003"/>
    <d v="2025-02-08T00:00:00"/>
    <d v="2025-02-09T00:00:00"/>
    <x v="2"/>
    <x v="2"/>
    <n v="3"/>
    <x v="0"/>
    <x v="21"/>
    <n v="1"/>
    <n v="6"/>
    <x v="2"/>
  </r>
  <r>
    <x v="984"/>
    <x v="8"/>
    <n v="3"/>
    <n v="35.1"/>
    <n v="105.30000000000001"/>
    <d v="2025-02-09T00:00:00"/>
    <d v="2025-02-13T00:00:00"/>
    <x v="1"/>
    <x v="4"/>
    <n v="5"/>
    <x v="0"/>
    <x v="1"/>
    <n v="4"/>
    <n v="7"/>
    <x v="1"/>
  </r>
  <r>
    <x v="985"/>
    <x v="6"/>
    <n v="4"/>
    <n v="104.5"/>
    <n v="418"/>
    <d v="2025-02-09T00:00:00"/>
    <d v="2025-02-10T00:00:00"/>
    <x v="1"/>
    <x v="1"/>
    <n v="3"/>
    <x v="0"/>
    <x v="1"/>
    <n v="1"/>
    <n v="7"/>
    <x v="1"/>
  </r>
  <r>
    <x v="986"/>
    <x v="8"/>
    <n v="1"/>
    <n v="37.9"/>
    <n v="37.9"/>
    <d v="2025-02-09T00:00:00"/>
    <d v="2025-02-11T00:00:00"/>
    <x v="0"/>
    <x v="1"/>
    <n v="5"/>
    <x v="0"/>
    <x v="2"/>
    <n v="2"/>
    <n v="7"/>
    <x v="0"/>
  </r>
  <r>
    <x v="987"/>
    <x v="4"/>
    <n v="3"/>
    <n v="25.5"/>
    <n v="76.5"/>
    <d v="2025-02-09T00:00:00"/>
    <d v="2025-02-12T00:00:00"/>
    <x v="1"/>
    <x v="3"/>
    <n v="4"/>
    <x v="0"/>
    <x v="2"/>
    <n v="3"/>
    <n v="7"/>
    <x v="1"/>
  </r>
  <r>
    <x v="988"/>
    <x v="0"/>
    <n v="3"/>
    <n v="32"/>
    <n v="96"/>
    <d v="2025-02-09T00:00:00"/>
    <d v="2025-02-13T00:00:00"/>
    <x v="2"/>
    <x v="1"/>
    <n v="4"/>
    <x v="0"/>
    <x v="22"/>
    <n v="4"/>
    <n v="7"/>
    <x v="2"/>
  </r>
  <r>
    <x v="989"/>
    <x v="1"/>
    <n v="1"/>
    <n v="47.1"/>
    <n v="47.1"/>
    <d v="2025-02-09T00:00:00"/>
    <d v="2025-02-10T00:00:00"/>
    <x v="2"/>
    <x v="0"/>
    <n v="4"/>
    <x v="0"/>
    <x v="34"/>
    <n v="1"/>
    <n v="7"/>
    <x v="2"/>
  </r>
  <r>
    <x v="990"/>
    <x v="6"/>
    <n v="2"/>
    <n v="50.6"/>
    <n v="101.2"/>
    <d v="2025-02-09T00:00:00"/>
    <d v="2025-02-15T00:00:00"/>
    <x v="0"/>
    <x v="0"/>
    <n v="4"/>
    <x v="0"/>
    <x v="3"/>
    <n v="6"/>
    <n v="7"/>
    <x v="0"/>
  </r>
  <r>
    <x v="991"/>
    <x v="6"/>
    <n v="5"/>
    <n v="81.7"/>
    <n v="408.5"/>
    <d v="2025-02-09T00:00:00"/>
    <d v="2025-02-10T00:00:00"/>
    <x v="2"/>
    <x v="1"/>
    <n v="5"/>
    <x v="0"/>
    <x v="3"/>
    <n v="1"/>
    <n v="7"/>
    <x v="2"/>
  </r>
  <r>
    <x v="992"/>
    <x v="5"/>
    <n v="2"/>
    <n v="50.7"/>
    <n v="101.4"/>
    <d v="2025-02-09T00:00:00"/>
    <d v="2025-02-10T00:00:00"/>
    <x v="3"/>
    <x v="2"/>
    <n v="5"/>
    <x v="0"/>
    <x v="3"/>
    <n v="1"/>
    <n v="7"/>
    <x v="3"/>
  </r>
  <r>
    <x v="993"/>
    <x v="2"/>
    <n v="19"/>
    <n v="67.3"/>
    <n v="1278.7"/>
    <d v="2025-02-09T00:00:00"/>
    <d v="2025-02-13T00:00:00"/>
    <x v="2"/>
    <x v="2"/>
    <n v="4"/>
    <x v="0"/>
    <x v="3"/>
    <n v="4"/>
    <n v="7"/>
    <x v="2"/>
  </r>
  <r>
    <x v="994"/>
    <x v="2"/>
    <n v="4"/>
    <n v="64.8"/>
    <n v="259.2"/>
    <d v="2025-02-09T00:00:00"/>
    <d v="2025-02-12T00:00:00"/>
    <x v="2"/>
    <x v="3"/>
    <n v="4"/>
    <x v="0"/>
    <x v="3"/>
    <n v="3"/>
    <n v="7"/>
    <x v="2"/>
  </r>
  <r>
    <x v="995"/>
    <x v="5"/>
    <n v="22"/>
    <n v="61.3"/>
    <n v="1348.6"/>
    <d v="2025-02-09T00:00:00"/>
    <d v="2025-02-10T00:00:00"/>
    <x v="2"/>
    <x v="0"/>
    <n v="5"/>
    <x v="0"/>
    <x v="3"/>
    <n v="1"/>
    <n v="7"/>
    <x v="2"/>
  </r>
  <r>
    <x v="996"/>
    <x v="14"/>
    <n v="1"/>
    <n v="32.9"/>
    <n v="32.9"/>
    <d v="2025-02-09T00:00:00"/>
    <d v="2025-02-12T00:00:00"/>
    <x v="2"/>
    <x v="4"/>
    <n v="4"/>
    <x v="0"/>
    <x v="3"/>
    <n v="3"/>
    <n v="7"/>
    <x v="2"/>
  </r>
  <r>
    <x v="997"/>
    <x v="6"/>
    <n v="2"/>
    <n v="100.8"/>
    <n v="201.6"/>
    <d v="2025-02-09T00:00:00"/>
    <d v="2025-02-12T00:00:00"/>
    <x v="2"/>
    <x v="0"/>
    <n v="4"/>
    <x v="0"/>
    <x v="3"/>
    <n v="3"/>
    <n v="7"/>
    <x v="2"/>
  </r>
  <r>
    <x v="998"/>
    <x v="8"/>
    <n v="4"/>
    <n v="25.1"/>
    <n v="100.4"/>
    <d v="2025-02-09T00:00:00"/>
    <d v="2025-02-11T00:00:00"/>
    <x v="2"/>
    <x v="1"/>
    <n v="4"/>
    <x v="0"/>
    <x v="3"/>
    <n v="2"/>
    <n v="7"/>
    <x v="2"/>
  </r>
  <r>
    <x v="999"/>
    <x v="17"/>
    <n v="1"/>
    <n v="48.5"/>
    <n v="48.5"/>
    <d v="2025-02-09T00:00:00"/>
    <d v="2025-02-10T00:00:00"/>
    <x v="2"/>
    <x v="0"/>
    <n v="3"/>
    <x v="0"/>
    <x v="3"/>
    <n v="1"/>
    <n v="7"/>
    <x v="2"/>
  </r>
  <r>
    <x v="1000"/>
    <x v="7"/>
    <n v="2"/>
    <n v="33.6"/>
    <n v="67.2"/>
    <d v="2025-02-09T00:00:00"/>
    <d v="2025-02-13T00:00:00"/>
    <x v="2"/>
    <x v="2"/>
    <n v="5"/>
    <x v="0"/>
    <x v="3"/>
    <n v="4"/>
    <n v="7"/>
    <x v="2"/>
  </r>
  <r>
    <x v="1001"/>
    <x v="8"/>
    <n v="1"/>
    <n v="39.299999999999997"/>
    <n v="39.299999999999997"/>
    <d v="2025-02-09T00:00:00"/>
    <d v="2025-02-20T00:00:00"/>
    <x v="2"/>
    <x v="1"/>
    <n v="3"/>
    <x v="0"/>
    <x v="49"/>
    <n v="11"/>
    <n v="7"/>
    <x v="2"/>
  </r>
  <r>
    <x v="1002"/>
    <x v="4"/>
    <n v="10"/>
    <n v="48.8"/>
    <n v="488"/>
    <d v="2025-02-09T00:00:00"/>
    <d v="2025-02-11T00:00:00"/>
    <x v="2"/>
    <x v="3"/>
    <n v="3"/>
    <x v="0"/>
    <x v="25"/>
    <n v="2"/>
    <n v="7"/>
    <x v="2"/>
  </r>
  <r>
    <x v="1003"/>
    <x v="6"/>
    <n v="8"/>
    <n v="72.8"/>
    <n v="582.4"/>
    <d v="2025-02-09T00:00:00"/>
    <d v="2025-02-11T00:00:00"/>
    <x v="1"/>
    <x v="1"/>
    <n v="5"/>
    <x v="0"/>
    <x v="5"/>
    <n v="2"/>
    <n v="7"/>
    <x v="1"/>
  </r>
  <r>
    <x v="1004"/>
    <x v="10"/>
    <n v="8"/>
    <n v="46.2"/>
    <n v="369.6"/>
    <d v="2025-02-09T00:00:00"/>
    <d v="2025-02-10T00:00:00"/>
    <x v="1"/>
    <x v="3"/>
    <n v="2"/>
    <x v="0"/>
    <x v="5"/>
    <n v="1"/>
    <n v="7"/>
    <x v="1"/>
  </r>
  <r>
    <x v="1005"/>
    <x v="4"/>
    <n v="2"/>
    <n v="20.7"/>
    <n v="41.4"/>
    <d v="2025-02-09T00:00:00"/>
    <d v="2025-02-10T00:00:00"/>
    <x v="2"/>
    <x v="2"/>
    <n v="1"/>
    <x v="0"/>
    <x v="6"/>
    <n v="1"/>
    <n v="7"/>
    <x v="2"/>
  </r>
  <r>
    <x v="1006"/>
    <x v="0"/>
    <n v="1"/>
    <n v="35.700000000000003"/>
    <n v="35.700000000000003"/>
    <d v="2025-02-09T00:00:00"/>
    <d v="2025-02-11T00:00:00"/>
    <x v="2"/>
    <x v="3"/>
    <n v="4"/>
    <x v="0"/>
    <x v="6"/>
    <n v="2"/>
    <n v="7"/>
    <x v="2"/>
  </r>
  <r>
    <x v="1007"/>
    <x v="2"/>
    <n v="16"/>
    <n v="166.2"/>
    <n v="2659.2"/>
    <d v="2025-02-09T00:00:00"/>
    <d v="2025-02-11T00:00:00"/>
    <x v="0"/>
    <x v="2"/>
    <n v="4"/>
    <x v="0"/>
    <x v="7"/>
    <n v="2"/>
    <n v="7"/>
    <x v="0"/>
  </r>
  <r>
    <x v="1008"/>
    <x v="6"/>
    <n v="4"/>
    <n v="85.8"/>
    <n v="343.2"/>
    <d v="2025-02-09T00:00:00"/>
    <d v="2025-02-10T00:00:00"/>
    <x v="2"/>
    <x v="1"/>
    <n v="3"/>
    <x v="0"/>
    <x v="7"/>
    <n v="1"/>
    <n v="7"/>
    <x v="2"/>
  </r>
  <r>
    <x v="1009"/>
    <x v="8"/>
    <n v="3"/>
    <n v="26"/>
    <n v="78"/>
    <d v="2025-02-09T00:00:00"/>
    <d v="2025-02-11T00:00:00"/>
    <x v="3"/>
    <x v="1"/>
    <n v="4"/>
    <x v="0"/>
    <x v="7"/>
    <n v="2"/>
    <n v="7"/>
    <x v="3"/>
  </r>
  <r>
    <x v="1010"/>
    <x v="2"/>
    <n v="13"/>
    <n v="116.6"/>
    <n v="1515.8"/>
    <d v="2025-02-09T00:00:00"/>
    <d v="2025-02-12T00:00:00"/>
    <x v="2"/>
    <x v="0"/>
    <n v="4"/>
    <x v="0"/>
    <x v="8"/>
    <n v="3"/>
    <n v="7"/>
    <x v="2"/>
  </r>
  <r>
    <x v="1011"/>
    <x v="9"/>
    <n v="7"/>
    <n v="53.9"/>
    <n v="377.3"/>
    <d v="2025-02-09T00:00:00"/>
    <d v="2025-02-12T00:00:00"/>
    <x v="3"/>
    <x v="0"/>
    <n v="5"/>
    <x v="0"/>
    <x v="8"/>
    <n v="3"/>
    <n v="7"/>
    <x v="3"/>
  </r>
  <r>
    <x v="1012"/>
    <x v="12"/>
    <n v="5"/>
    <n v="72.3"/>
    <n v="361.5"/>
    <d v="2025-02-09T00:00:00"/>
    <d v="2025-02-11T00:00:00"/>
    <x v="0"/>
    <x v="2"/>
    <n v="5"/>
    <x v="0"/>
    <x v="8"/>
    <n v="2"/>
    <n v="7"/>
    <x v="0"/>
  </r>
  <r>
    <x v="1013"/>
    <x v="5"/>
    <n v="2"/>
    <n v="31.4"/>
    <n v="62.8"/>
    <d v="2025-02-09T00:00:00"/>
    <d v="2025-02-11T00:00:00"/>
    <x v="2"/>
    <x v="0"/>
    <n v="4"/>
    <x v="0"/>
    <x v="8"/>
    <n v="2"/>
    <n v="7"/>
    <x v="2"/>
  </r>
  <r>
    <x v="1014"/>
    <x v="13"/>
    <n v="2"/>
    <n v="53.1"/>
    <n v="106.2"/>
    <d v="2025-02-09T00:00:00"/>
    <d v="2025-02-12T00:00:00"/>
    <x v="1"/>
    <x v="1"/>
    <n v="4"/>
    <x v="0"/>
    <x v="8"/>
    <n v="3"/>
    <n v="7"/>
    <x v="1"/>
  </r>
  <r>
    <x v="1015"/>
    <x v="2"/>
    <n v="4"/>
    <n v="56.2"/>
    <n v="224.8"/>
    <d v="2025-02-09T00:00:00"/>
    <d v="2025-02-10T00:00:00"/>
    <x v="2"/>
    <x v="0"/>
    <n v="4"/>
    <x v="0"/>
    <x v="8"/>
    <n v="1"/>
    <n v="7"/>
    <x v="2"/>
  </r>
  <r>
    <x v="1016"/>
    <x v="1"/>
    <n v="10"/>
    <n v="77.3"/>
    <n v="773"/>
    <d v="2025-02-09T00:00:00"/>
    <d v="2025-02-10T00:00:00"/>
    <x v="2"/>
    <x v="2"/>
    <n v="4"/>
    <x v="0"/>
    <x v="11"/>
    <n v="1"/>
    <n v="7"/>
    <x v="2"/>
  </r>
  <r>
    <x v="1017"/>
    <x v="6"/>
    <n v="13"/>
    <n v="57.8"/>
    <n v="751.4"/>
    <d v="2025-02-09T00:00:00"/>
    <d v="2025-02-10T00:00:00"/>
    <x v="0"/>
    <x v="0"/>
    <n v="4"/>
    <x v="0"/>
    <x v="53"/>
    <n v="1"/>
    <n v="7"/>
    <x v="0"/>
  </r>
  <r>
    <x v="1018"/>
    <x v="12"/>
    <n v="15"/>
    <n v="42.1"/>
    <n v="631.5"/>
    <d v="2025-02-09T00:00:00"/>
    <d v="2025-02-11T00:00:00"/>
    <x v="2"/>
    <x v="1"/>
    <n v="3"/>
    <x v="0"/>
    <x v="53"/>
    <n v="2"/>
    <n v="7"/>
    <x v="2"/>
  </r>
  <r>
    <x v="1019"/>
    <x v="8"/>
    <n v="9"/>
    <n v="22.8"/>
    <n v="205.20000000000002"/>
    <d v="2025-02-09T00:00:00"/>
    <d v="2025-02-13T00:00:00"/>
    <x v="1"/>
    <x v="2"/>
    <n v="5"/>
    <x v="0"/>
    <x v="19"/>
    <n v="4"/>
    <n v="7"/>
    <x v="1"/>
  </r>
  <r>
    <x v="1020"/>
    <x v="2"/>
    <n v="3"/>
    <n v="171.1"/>
    <n v="513.29999999999995"/>
    <d v="2025-02-10T00:00:00"/>
    <d v="2025-02-17T00:00:00"/>
    <x v="2"/>
    <x v="2"/>
    <n v="3"/>
    <x v="0"/>
    <x v="19"/>
    <n v="7"/>
    <n v="7"/>
    <x v="2"/>
  </r>
  <r>
    <x v="1021"/>
    <x v="8"/>
    <n v="1"/>
    <n v="28"/>
    <n v="28"/>
    <d v="2025-02-10T00:00:00"/>
    <d v="2025-02-12T00:00:00"/>
    <x v="1"/>
    <x v="2"/>
    <n v="5"/>
    <x v="0"/>
    <x v="21"/>
    <n v="2"/>
    <n v="7"/>
    <x v="1"/>
  </r>
  <r>
    <x v="1022"/>
    <x v="6"/>
    <n v="7"/>
    <n v="50.2"/>
    <n v="351.40000000000003"/>
    <d v="2025-02-10T00:00:00"/>
    <d v="2025-02-12T00:00:00"/>
    <x v="1"/>
    <x v="2"/>
    <n v="4"/>
    <x v="0"/>
    <x v="21"/>
    <n v="2"/>
    <n v="7"/>
    <x v="1"/>
  </r>
  <r>
    <x v="1023"/>
    <x v="6"/>
    <n v="2"/>
    <n v="56"/>
    <n v="112"/>
    <d v="2025-02-10T00:00:00"/>
    <d v="2025-02-10T00:00:00"/>
    <x v="1"/>
    <x v="0"/>
    <n v="5"/>
    <x v="0"/>
    <x v="22"/>
    <n v="0"/>
    <n v="7"/>
    <x v="1"/>
  </r>
  <r>
    <x v="1024"/>
    <x v="1"/>
    <n v="2"/>
    <n v="38.299999999999997"/>
    <n v="76.599999999999994"/>
    <d v="2025-02-10T00:00:00"/>
    <d v="2025-02-11T00:00:00"/>
    <x v="2"/>
    <x v="1"/>
    <n v="4"/>
    <x v="0"/>
    <x v="3"/>
    <n v="1"/>
    <n v="7"/>
    <x v="2"/>
  </r>
  <r>
    <x v="1025"/>
    <x v="0"/>
    <n v="5"/>
    <n v="22.3"/>
    <n v="111.5"/>
    <d v="2025-02-10T00:00:00"/>
    <d v="2025-02-14T00:00:00"/>
    <x v="2"/>
    <x v="2"/>
    <n v="3"/>
    <x v="0"/>
    <x v="3"/>
    <n v="4"/>
    <n v="7"/>
    <x v="2"/>
  </r>
  <r>
    <x v="1026"/>
    <x v="0"/>
    <n v="3"/>
    <n v="22.3"/>
    <n v="66.900000000000006"/>
    <d v="2025-02-10T00:00:00"/>
    <d v="2025-02-13T00:00:00"/>
    <x v="2"/>
    <x v="2"/>
    <n v="4"/>
    <x v="0"/>
    <x v="3"/>
    <n v="3"/>
    <n v="7"/>
    <x v="2"/>
  </r>
  <r>
    <x v="1027"/>
    <x v="1"/>
    <n v="1"/>
    <n v="32.9"/>
    <n v="32.9"/>
    <d v="2025-02-10T00:00:00"/>
    <d v="2025-02-15T00:00:00"/>
    <x v="2"/>
    <x v="0"/>
    <n v="4"/>
    <x v="0"/>
    <x v="3"/>
    <n v="5"/>
    <n v="7"/>
    <x v="2"/>
  </r>
  <r>
    <x v="1028"/>
    <x v="10"/>
    <n v="3"/>
    <n v="31.9"/>
    <n v="95.699999999999989"/>
    <d v="2025-02-10T00:00:00"/>
    <d v="2025-02-15T00:00:00"/>
    <x v="2"/>
    <x v="0"/>
    <n v="4"/>
    <x v="0"/>
    <x v="3"/>
    <n v="5"/>
    <n v="7"/>
    <x v="2"/>
  </r>
  <r>
    <x v="1029"/>
    <x v="6"/>
    <n v="2"/>
    <n v="94"/>
    <n v="188"/>
    <d v="2025-02-10T00:00:00"/>
    <d v="2025-02-11T00:00:00"/>
    <x v="1"/>
    <x v="2"/>
    <n v="5"/>
    <x v="0"/>
    <x v="3"/>
    <n v="1"/>
    <n v="7"/>
    <x v="1"/>
  </r>
  <r>
    <x v="1030"/>
    <x v="10"/>
    <n v="2"/>
    <n v="30.7"/>
    <n v="61.4"/>
    <d v="2025-02-10T00:00:00"/>
    <d v="2025-02-11T00:00:00"/>
    <x v="2"/>
    <x v="0"/>
    <n v="3"/>
    <x v="0"/>
    <x v="3"/>
    <n v="1"/>
    <n v="7"/>
    <x v="2"/>
  </r>
  <r>
    <x v="1031"/>
    <x v="5"/>
    <n v="5"/>
    <n v="90.5"/>
    <n v="452.5"/>
    <d v="2025-02-10T00:00:00"/>
    <d v="2025-02-17T00:00:00"/>
    <x v="1"/>
    <x v="0"/>
    <n v="5"/>
    <x v="0"/>
    <x v="3"/>
    <n v="7"/>
    <n v="7"/>
    <x v="1"/>
  </r>
  <r>
    <x v="1032"/>
    <x v="8"/>
    <n v="5"/>
    <n v="25.3"/>
    <n v="126.5"/>
    <d v="2025-02-10T00:00:00"/>
    <d v="2025-02-14T00:00:00"/>
    <x v="2"/>
    <x v="0"/>
    <n v="5"/>
    <x v="0"/>
    <x v="3"/>
    <n v="4"/>
    <n v="7"/>
    <x v="2"/>
  </r>
  <r>
    <x v="1033"/>
    <x v="6"/>
    <n v="3"/>
    <n v="58.1"/>
    <n v="174.3"/>
    <d v="2025-02-10T00:00:00"/>
    <d v="2025-02-14T00:00:00"/>
    <x v="0"/>
    <x v="0"/>
    <n v="5"/>
    <x v="0"/>
    <x v="3"/>
    <n v="4"/>
    <n v="7"/>
    <x v="0"/>
  </r>
  <r>
    <x v="1034"/>
    <x v="2"/>
    <n v="3"/>
    <n v="74.900000000000006"/>
    <n v="224.70000000000002"/>
    <d v="2025-02-10T00:00:00"/>
    <d v="2025-02-11T00:00:00"/>
    <x v="2"/>
    <x v="4"/>
    <n v="4"/>
    <x v="0"/>
    <x v="3"/>
    <n v="1"/>
    <n v="7"/>
    <x v="2"/>
  </r>
  <r>
    <x v="1035"/>
    <x v="4"/>
    <n v="2"/>
    <n v="32.5"/>
    <n v="65"/>
    <d v="2025-02-10T00:00:00"/>
    <d v="2025-02-11T00:00:00"/>
    <x v="1"/>
    <x v="2"/>
    <n v="5"/>
    <x v="0"/>
    <x v="43"/>
    <n v="1"/>
    <n v="7"/>
    <x v="1"/>
  </r>
  <r>
    <x v="1036"/>
    <x v="4"/>
    <n v="5"/>
    <n v="62"/>
    <n v="310"/>
    <d v="2025-02-10T00:00:00"/>
    <d v="2025-02-11T00:00:00"/>
    <x v="1"/>
    <x v="4"/>
    <n v="5"/>
    <x v="0"/>
    <x v="25"/>
    <n v="1"/>
    <n v="7"/>
    <x v="1"/>
  </r>
  <r>
    <x v="1037"/>
    <x v="13"/>
    <n v="6"/>
    <n v="28.9"/>
    <n v="173.39999999999998"/>
    <d v="2025-02-10T00:00:00"/>
    <d v="2025-02-13T00:00:00"/>
    <x v="2"/>
    <x v="0"/>
    <n v="3"/>
    <x v="0"/>
    <x v="6"/>
    <n v="3"/>
    <n v="7"/>
    <x v="2"/>
  </r>
  <r>
    <x v="1038"/>
    <x v="6"/>
    <n v="8"/>
    <n v="42.8"/>
    <n v="342.4"/>
    <d v="2025-02-10T00:00:00"/>
    <d v="2025-02-12T00:00:00"/>
    <x v="2"/>
    <x v="0"/>
    <n v="5"/>
    <x v="0"/>
    <x v="6"/>
    <n v="2"/>
    <n v="7"/>
    <x v="2"/>
  </r>
  <r>
    <x v="1039"/>
    <x v="8"/>
    <n v="8"/>
    <n v="39.4"/>
    <n v="315.2"/>
    <d v="2025-02-10T00:00:00"/>
    <d v="2025-02-12T00:00:00"/>
    <x v="1"/>
    <x v="0"/>
    <n v="4"/>
    <x v="0"/>
    <x v="36"/>
    <n v="2"/>
    <n v="7"/>
    <x v="1"/>
  </r>
  <r>
    <x v="1040"/>
    <x v="18"/>
    <n v="3"/>
    <n v="66.400000000000006"/>
    <n v="199.20000000000002"/>
    <d v="2025-02-10T00:00:00"/>
    <d v="2025-02-11T00:00:00"/>
    <x v="0"/>
    <x v="2"/>
    <n v="3"/>
    <x v="0"/>
    <x v="7"/>
    <n v="1"/>
    <n v="7"/>
    <x v="0"/>
  </r>
  <r>
    <x v="1041"/>
    <x v="17"/>
    <n v="4"/>
    <n v="35.9"/>
    <n v="143.6"/>
    <d v="2025-02-10T00:00:00"/>
    <d v="2025-02-17T00:00:00"/>
    <x v="2"/>
    <x v="1"/>
    <n v="4"/>
    <x v="0"/>
    <x v="7"/>
    <n v="7"/>
    <n v="7"/>
    <x v="2"/>
  </r>
  <r>
    <x v="1042"/>
    <x v="0"/>
    <n v="4"/>
    <n v="26.9"/>
    <n v="107.6"/>
    <d v="2025-02-10T00:00:00"/>
    <d v="2025-02-11T00:00:00"/>
    <x v="1"/>
    <x v="1"/>
    <n v="4"/>
    <x v="0"/>
    <x v="7"/>
    <n v="1"/>
    <n v="7"/>
    <x v="1"/>
  </r>
  <r>
    <x v="1043"/>
    <x v="2"/>
    <n v="1"/>
    <n v="55.1"/>
    <n v="55.1"/>
    <d v="2025-02-10T00:00:00"/>
    <d v="2025-02-11T00:00:00"/>
    <x v="2"/>
    <x v="0"/>
    <n v="4"/>
    <x v="0"/>
    <x v="7"/>
    <n v="1"/>
    <n v="7"/>
    <x v="2"/>
  </r>
  <r>
    <x v="1044"/>
    <x v="4"/>
    <n v="2"/>
    <n v="23.9"/>
    <n v="47.8"/>
    <d v="2025-02-10T00:00:00"/>
    <d v="2025-02-11T00:00:00"/>
    <x v="1"/>
    <x v="0"/>
    <n v="5"/>
    <x v="0"/>
    <x v="8"/>
    <n v="1"/>
    <n v="7"/>
    <x v="1"/>
  </r>
  <r>
    <x v="1045"/>
    <x v="9"/>
    <n v="13"/>
    <n v="21.1"/>
    <n v="274.3"/>
    <d v="2025-02-10T00:00:00"/>
    <d v="2025-02-18T00:00:00"/>
    <x v="2"/>
    <x v="0"/>
    <n v="3"/>
    <x v="0"/>
    <x v="8"/>
    <n v="8"/>
    <n v="7"/>
    <x v="2"/>
  </r>
  <r>
    <x v="1046"/>
    <x v="8"/>
    <n v="5"/>
    <n v="33.799999999999997"/>
    <n v="169"/>
    <d v="2025-02-10T00:00:00"/>
    <d v="2025-02-12T00:00:00"/>
    <x v="2"/>
    <x v="0"/>
    <n v="4"/>
    <x v="0"/>
    <x v="8"/>
    <n v="2"/>
    <n v="7"/>
    <x v="2"/>
  </r>
  <r>
    <x v="1047"/>
    <x v="2"/>
    <n v="4"/>
    <n v="56.1"/>
    <n v="224.4"/>
    <d v="2025-02-10T00:00:00"/>
    <d v="2025-02-10T00:00:00"/>
    <x v="2"/>
    <x v="3"/>
    <n v="5"/>
    <x v="0"/>
    <x v="9"/>
    <n v="0"/>
    <n v="7"/>
    <x v="2"/>
  </r>
  <r>
    <x v="1048"/>
    <x v="3"/>
    <n v="1"/>
    <n v="58.5"/>
    <n v="58.5"/>
    <d v="2025-02-11T00:00:00"/>
    <d v="2025-02-15T00:00:00"/>
    <x v="2"/>
    <x v="1"/>
    <n v="5"/>
    <x v="0"/>
    <x v="9"/>
    <n v="4"/>
    <n v="7"/>
    <x v="2"/>
  </r>
  <r>
    <x v="1049"/>
    <x v="6"/>
    <n v="1"/>
    <n v="84.2"/>
    <n v="84.2"/>
    <d v="2025-02-11T00:00:00"/>
    <d v="2025-02-13T00:00:00"/>
    <x v="1"/>
    <x v="3"/>
    <n v="4"/>
    <x v="0"/>
    <x v="11"/>
    <n v="2"/>
    <n v="7"/>
    <x v="1"/>
  </r>
  <r>
    <x v="1050"/>
    <x v="11"/>
    <n v="4"/>
    <n v="52"/>
    <n v="208"/>
    <d v="2025-02-11T00:00:00"/>
    <d v="2025-02-14T00:00:00"/>
    <x v="1"/>
    <x v="0"/>
    <n v="4"/>
    <x v="0"/>
    <x v="11"/>
    <n v="3"/>
    <n v="7"/>
    <x v="1"/>
  </r>
  <r>
    <x v="1051"/>
    <x v="4"/>
    <n v="5"/>
    <n v="31.5"/>
    <n v="157.5"/>
    <d v="2025-02-11T00:00:00"/>
    <d v="2025-02-12T00:00:00"/>
    <x v="2"/>
    <x v="0"/>
    <n v="5"/>
    <x v="0"/>
    <x v="11"/>
    <n v="1"/>
    <n v="7"/>
    <x v="2"/>
  </r>
  <r>
    <x v="1052"/>
    <x v="16"/>
    <n v="3"/>
    <n v="46.2"/>
    <n v="138.60000000000002"/>
    <d v="2025-02-11T00:00:00"/>
    <d v="2025-02-12T00:00:00"/>
    <x v="1"/>
    <x v="0"/>
    <n v="4"/>
    <x v="0"/>
    <x v="53"/>
    <n v="1"/>
    <n v="7"/>
    <x v="1"/>
  </r>
  <r>
    <x v="1053"/>
    <x v="2"/>
    <n v="6"/>
    <n v="135"/>
    <n v="810"/>
    <d v="2025-02-11T00:00:00"/>
    <d v="2025-02-12T00:00:00"/>
    <x v="2"/>
    <x v="1"/>
    <n v="5"/>
    <x v="0"/>
    <x v="18"/>
    <n v="1"/>
    <n v="7"/>
    <x v="2"/>
  </r>
  <r>
    <x v="1054"/>
    <x v="12"/>
    <n v="3"/>
    <n v="92.2"/>
    <n v="276.60000000000002"/>
    <d v="2025-02-11T00:00:00"/>
    <d v="2025-02-15T00:00:00"/>
    <x v="1"/>
    <x v="0"/>
    <n v="4"/>
    <x v="0"/>
    <x v="21"/>
    <n v="4"/>
    <n v="7"/>
    <x v="1"/>
  </r>
  <r>
    <x v="1055"/>
    <x v="8"/>
    <n v="1"/>
    <n v="36.6"/>
    <n v="36.6"/>
    <d v="2025-02-11T00:00:00"/>
    <d v="2025-02-13T00:00:00"/>
    <x v="1"/>
    <x v="2"/>
    <n v="5"/>
    <x v="0"/>
    <x v="21"/>
    <n v="2"/>
    <n v="7"/>
    <x v="1"/>
  </r>
  <r>
    <x v="1056"/>
    <x v="9"/>
    <n v="2"/>
    <n v="50.6"/>
    <n v="101.2"/>
    <d v="2025-02-11T00:00:00"/>
    <d v="2025-02-14T00:00:00"/>
    <x v="2"/>
    <x v="0"/>
    <n v="4"/>
    <x v="0"/>
    <x v="2"/>
    <n v="3"/>
    <n v="7"/>
    <x v="2"/>
  </r>
  <r>
    <x v="1057"/>
    <x v="18"/>
    <n v="7"/>
    <n v="56.7"/>
    <n v="396.90000000000003"/>
    <d v="2025-02-11T00:00:00"/>
    <d v="2025-02-14T00:00:00"/>
    <x v="2"/>
    <x v="0"/>
    <n v="4"/>
    <x v="0"/>
    <x v="2"/>
    <n v="3"/>
    <n v="7"/>
    <x v="2"/>
  </r>
  <r>
    <x v="1058"/>
    <x v="9"/>
    <n v="13"/>
    <n v="22.9"/>
    <n v="297.7"/>
    <d v="2025-02-11T00:00:00"/>
    <d v="2025-02-12T00:00:00"/>
    <x v="2"/>
    <x v="0"/>
    <n v="3"/>
    <x v="0"/>
    <x v="44"/>
    <n v="1"/>
    <n v="7"/>
    <x v="2"/>
  </r>
  <r>
    <x v="1059"/>
    <x v="15"/>
    <n v="19"/>
    <n v="53.6"/>
    <n v="1018.4"/>
    <d v="2025-02-11T00:00:00"/>
    <d v="2025-02-12T00:00:00"/>
    <x v="1"/>
    <x v="0"/>
    <n v="4"/>
    <x v="0"/>
    <x v="22"/>
    <n v="1"/>
    <n v="7"/>
    <x v="1"/>
  </r>
  <r>
    <x v="1060"/>
    <x v="18"/>
    <n v="2"/>
    <n v="30.2"/>
    <n v="60.4"/>
    <d v="2025-02-11T00:00:00"/>
    <d v="2025-02-13T00:00:00"/>
    <x v="0"/>
    <x v="2"/>
    <n v="5"/>
    <x v="0"/>
    <x v="3"/>
    <n v="2"/>
    <n v="7"/>
    <x v="0"/>
  </r>
  <r>
    <x v="1061"/>
    <x v="15"/>
    <n v="6"/>
    <n v="83.4"/>
    <n v="500.40000000000003"/>
    <d v="2025-02-11T00:00:00"/>
    <d v="2025-02-12T00:00:00"/>
    <x v="1"/>
    <x v="1"/>
    <n v="5"/>
    <x v="0"/>
    <x v="3"/>
    <n v="1"/>
    <n v="7"/>
    <x v="1"/>
  </r>
  <r>
    <x v="1062"/>
    <x v="13"/>
    <n v="12"/>
    <n v="16.600000000000001"/>
    <n v="199.20000000000002"/>
    <d v="2025-02-11T00:00:00"/>
    <d v="2025-02-13T00:00:00"/>
    <x v="1"/>
    <x v="1"/>
    <n v="4"/>
    <x v="0"/>
    <x v="3"/>
    <n v="2"/>
    <n v="7"/>
    <x v="1"/>
  </r>
  <r>
    <x v="1063"/>
    <x v="8"/>
    <n v="17"/>
    <n v="21.9"/>
    <n v="372.29999999999995"/>
    <d v="2025-02-11T00:00:00"/>
    <d v="2025-02-13T00:00:00"/>
    <x v="2"/>
    <x v="4"/>
    <n v="3"/>
    <x v="0"/>
    <x v="3"/>
    <n v="2"/>
    <n v="7"/>
    <x v="2"/>
  </r>
  <r>
    <x v="1064"/>
    <x v="8"/>
    <n v="28"/>
    <n v="33.799999999999997"/>
    <n v="946.39999999999986"/>
    <d v="2025-02-11T00:00:00"/>
    <d v="2025-02-13T00:00:00"/>
    <x v="1"/>
    <x v="2"/>
    <n v="2"/>
    <x v="0"/>
    <x v="3"/>
    <n v="2"/>
    <n v="7"/>
    <x v="1"/>
  </r>
  <r>
    <x v="1065"/>
    <x v="18"/>
    <n v="2"/>
    <n v="53.2"/>
    <n v="106.4"/>
    <d v="2025-02-11T00:00:00"/>
    <d v="2025-02-11T00:00:00"/>
    <x v="1"/>
    <x v="1"/>
    <n v="4"/>
    <x v="0"/>
    <x v="3"/>
    <n v="0"/>
    <n v="7"/>
    <x v="1"/>
  </r>
  <r>
    <x v="1066"/>
    <x v="2"/>
    <n v="2"/>
    <n v="176.7"/>
    <n v="353.4"/>
    <d v="2025-02-11T00:00:00"/>
    <d v="2025-02-14T00:00:00"/>
    <x v="2"/>
    <x v="2"/>
    <n v="4"/>
    <x v="0"/>
    <x v="3"/>
    <n v="3"/>
    <n v="7"/>
    <x v="2"/>
  </r>
  <r>
    <x v="1067"/>
    <x v="12"/>
    <n v="3"/>
    <n v="54"/>
    <n v="162"/>
    <d v="2025-02-11T00:00:00"/>
    <d v="2025-02-14T00:00:00"/>
    <x v="1"/>
    <x v="0"/>
    <n v="3"/>
    <x v="0"/>
    <x v="3"/>
    <n v="3"/>
    <n v="7"/>
    <x v="1"/>
  </r>
  <r>
    <x v="1068"/>
    <x v="9"/>
    <n v="2"/>
    <n v="70.099999999999994"/>
    <n v="140.19999999999999"/>
    <d v="2025-02-11T00:00:00"/>
    <d v="2025-02-19T00:00:00"/>
    <x v="2"/>
    <x v="3"/>
    <n v="5"/>
    <x v="0"/>
    <x v="3"/>
    <n v="8"/>
    <n v="7"/>
    <x v="2"/>
  </r>
  <r>
    <x v="1069"/>
    <x v="8"/>
    <n v="1"/>
    <n v="26.5"/>
    <n v="26.5"/>
    <d v="2025-02-11T00:00:00"/>
    <d v="2025-02-13T00:00:00"/>
    <x v="2"/>
    <x v="1"/>
    <n v="4"/>
    <x v="0"/>
    <x v="3"/>
    <n v="2"/>
    <n v="7"/>
    <x v="2"/>
  </r>
  <r>
    <x v="1070"/>
    <x v="7"/>
    <n v="5"/>
    <n v="89"/>
    <n v="445"/>
    <d v="2025-02-11T00:00:00"/>
    <d v="2025-02-13T00:00:00"/>
    <x v="1"/>
    <x v="2"/>
    <n v="2"/>
    <x v="0"/>
    <x v="3"/>
    <n v="2"/>
    <n v="7"/>
    <x v="1"/>
  </r>
  <r>
    <x v="1071"/>
    <x v="1"/>
    <n v="6"/>
    <n v="47"/>
    <n v="282"/>
    <d v="2025-02-11T00:00:00"/>
    <d v="2025-02-14T00:00:00"/>
    <x v="2"/>
    <x v="3"/>
    <n v="4"/>
    <x v="0"/>
    <x v="24"/>
    <n v="3"/>
    <n v="7"/>
    <x v="2"/>
  </r>
  <r>
    <x v="1072"/>
    <x v="3"/>
    <n v="2"/>
    <n v="55.2"/>
    <n v="110.4"/>
    <d v="2025-02-11T00:00:00"/>
    <d v="2025-02-14T00:00:00"/>
    <x v="1"/>
    <x v="1"/>
    <n v="3"/>
    <x v="0"/>
    <x v="6"/>
    <n v="3"/>
    <n v="7"/>
    <x v="1"/>
  </r>
  <r>
    <x v="1073"/>
    <x v="8"/>
    <n v="42"/>
    <n v="33.299999999999997"/>
    <n v="1398.6"/>
    <d v="2025-02-11T00:00:00"/>
    <d v="2025-02-25T00:00:00"/>
    <x v="1"/>
    <x v="1"/>
    <n v="5"/>
    <x v="0"/>
    <x v="6"/>
    <n v="14"/>
    <n v="7"/>
    <x v="1"/>
  </r>
  <r>
    <x v="1074"/>
    <x v="2"/>
    <n v="4"/>
    <n v="110.9"/>
    <n v="443.6"/>
    <d v="2025-02-12T00:00:00"/>
    <d v="2025-02-12T00:00:00"/>
    <x v="1"/>
    <x v="2"/>
    <n v="2"/>
    <x v="0"/>
    <x v="6"/>
    <n v="0"/>
    <n v="7"/>
    <x v="1"/>
  </r>
  <r>
    <x v="1075"/>
    <x v="2"/>
    <n v="6"/>
    <n v="67.3"/>
    <n v="403.79999999999995"/>
    <d v="2025-02-12T00:00:00"/>
    <d v="2025-02-13T00:00:00"/>
    <x v="1"/>
    <x v="0"/>
    <n v="4"/>
    <x v="0"/>
    <x v="8"/>
    <n v="1"/>
    <n v="7"/>
    <x v="1"/>
  </r>
  <r>
    <x v="1076"/>
    <x v="6"/>
    <n v="3"/>
    <n v="69.7"/>
    <n v="209.10000000000002"/>
    <d v="2025-02-12T00:00:00"/>
    <d v="2025-02-13T00:00:00"/>
    <x v="1"/>
    <x v="2"/>
    <n v="3"/>
    <x v="0"/>
    <x v="8"/>
    <n v="1"/>
    <n v="7"/>
    <x v="1"/>
  </r>
  <r>
    <x v="1077"/>
    <x v="5"/>
    <n v="1"/>
    <n v="39.1"/>
    <n v="39.1"/>
    <d v="2025-02-12T00:00:00"/>
    <d v="2025-02-17T00:00:00"/>
    <x v="1"/>
    <x v="0"/>
    <n v="3"/>
    <x v="0"/>
    <x v="17"/>
    <n v="5"/>
    <n v="7"/>
    <x v="1"/>
  </r>
  <r>
    <x v="1078"/>
    <x v="2"/>
    <n v="3"/>
    <n v="208.6"/>
    <n v="625.79999999999995"/>
    <d v="2025-02-12T00:00:00"/>
    <d v="2025-02-12T00:00:00"/>
    <x v="1"/>
    <x v="4"/>
    <n v="5"/>
    <x v="0"/>
    <x v="17"/>
    <n v="0"/>
    <n v="7"/>
    <x v="1"/>
  </r>
  <r>
    <x v="1079"/>
    <x v="15"/>
    <n v="3"/>
    <n v="27.8"/>
    <n v="83.4"/>
    <d v="2025-02-12T00:00:00"/>
    <d v="2025-02-13T00:00:00"/>
    <x v="1"/>
    <x v="3"/>
    <n v="3"/>
    <x v="0"/>
    <x v="11"/>
    <n v="1"/>
    <n v="7"/>
    <x v="1"/>
  </r>
  <r>
    <x v="1080"/>
    <x v="10"/>
    <n v="5"/>
    <n v="29.4"/>
    <n v="147"/>
    <d v="2025-02-12T00:00:00"/>
    <d v="2025-02-14T00:00:00"/>
    <x v="2"/>
    <x v="0"/>
    <n v="4"/>
    <x v="0"/>
    <x v="11"/>
    <n v="2"/>
    <n v="7"/>
    <x v="2"/>
  </r>
  <r>
    <x v="1081"/>
    <x v="9"/>
    <n v="2"/>
    <n v="29.2"/>
    <n v="58.4"/>
    <d v="2025-02-12T00:00:00"/>
    <d v="2025-02-14T00:00:00"/>
    <x v="2"/>
    <x v="1"/>
    <n v="5"/>
    <x v="0"/>
    <x v="20"/>
    <n v="2"/>
    <n v="7"/>
    <x v="2"/>
  </r>
  <r>
    <x v="1082"/>
    <x v="10"/>
    <n v="5"/>
    <n v="26.5"/>
    <n v="132.5"/>
    <d v="2025-02-12T00:00:00"/>
    <d v="2025-02-14T00:00:00"/>
    <x v="2"/>
    <x v="0"/>
    <n v="4"/>
    <x v="0"/>
    <x v="52"/>
    <n v="2"/>
    <n v="7"/>
    <x v="2"/>
  </r>
  <r>
    <x v="1083"/>
    <x v="5"/>
    <n v="1"/>
    <n v="30.3"/>
    <n v="30.3"/>
    <d v="2025-02-12T00:00:00"/>
    <d v="2025-02-13T00:00:00"/>
    <x v="2"/>
    <x v="4"/>
    <n v="3"/>
    <x v="0"/>
    <x v="13"/>
    <n v="1"/>
    <n v="7"/>
    <x v="2"/>
  </r>
  <r>
    <x v="1084"/>
    <x v="16"/>
    <n v="12"/>
    <n v="39.700000000000003"/>
    <n v="476.40000000000003"/>
    <d v="2025-02-12T00:00:00"/>
    <d v="2025-02-13T00:00:00"/>
    <x v="2"/>
    <x v="0"/>
    <n v="4"/>
    <x v="0"/>
    <x v="21"/>
    <n v="1"/>
    <n v="7"/>
    <x v="2"/>
  </r>
  <r>
    <x v="1085"/>
    <x v="7"/>
    <n v="10"/>
    <n v="58.9"/>
    <n v="589"/>
    <d v="2025-02-12T00:00:00"/>
    <d v="2025-02-14T00:00:00"/>
    <x v="2"/>
    <x v="1"/>
    <n v="2"/>
    <x v="0"/>
    <x v="21"/>
    <n v="2"/>
    <n v="7"/>
    <x v="2"/>
  </r>
  <r>
    <x v="1086"/>
    <x v="2"/>
    <n v="2"/>
    <n v="174.1"/>
    <n v="348.2"/>
    <d v="2025-02-12T00:00:00"/>
    <d v="2025-02-14T00:00:00"/>
    <x v="2"/>
    <x v="0"/>
    <n v="3"/>
    <x v="0"/>
    <x v="46"/>
    <n v="2"/>
    <n v="7"/>
    <x v="2"/>
  </r>
  <r>
    <x v="1087"/>
    <x v="6"/>
    <n v="2"/>
    <n v="70.8"/>
    <n v="141.6"/>
    <d v="2025-02-12T00:00:00"/>
    <d v="2025-02-15T00:00:00"/>
    <x v="1"/>
    <x v="2"/>
    <n v="4"/>
    <x v="0"/>
    <x v="22"/>
    <n v="3"/>
    <n v="7"/>
    <x v="1"/>
  </r>
  <r>
    <x v="1088"/>
    <x v="7"/>
    <n v="2"/>
    <n v="57.4"/>
    <n v="114.8"/>
    <d v="2025-02-12T00:00:00"/>
    <d v="2025-02-14T00:00:00"/>
    <x v="2"/>
    <x v="1"/>
    <n v="3"/>
    <x v="0"/>
    <x v="34"/>
    <n v="2"/>
    <n v="7"/>
    <x v="2"/>
  </r>
  <r>
    <x v="1089"/>
    <x v="0"/>
    <n v="2"/>
    <n v="28.5"/>
    <n v="57"/>
    <d v="2025-02-12T00:00:00"/>
    <d v="2025-02-14T00:00:00"/>
    <x v="1"/>
    <x v="3"/>
    <n v="3"/>
    <x v="0"/>
    <x v="3"/>
    <n v="2"/>
    <n v="7"/>
    <x v="1"/>
  </r>
  <r>
    <x v="1090"/>
    <x v="2"/>
    <n v="20"/>
    <n v="106.6"/>
    <n v="2132"/>
    <d v="2025-02-12T00:00:00"/>
    <d v="2025-02-13T00:00:00"/>
    <x v="0"/>
    <x v="1"/>
    <n v="2"/>
    <x v="0"/>
    <x v="3"/>
    <n v="1"/>
    <n v="7"/>
    <x v="0"/>
  </r>
  <r>
    <x v="1091"/>
    <x v="2"/>
    <n v="3"/>
    <n v="119.7"/>
    <n v="359.1"/>
    <d v="2025-02-12T00:00:00"/>
    <d v="2025-02-13T00:00:00"/>
    <x v="2"/>
    <x v="1"/>
    <n v="2"/>
    <x v="0"/>
    <x v="3"/>
    <n v="1"/>
    <n v="7"/>
    <x v="2"/>
  </r>
  <r>
    <x v="1092"/>
    <x v="18"/>
    <n v="1"/>
    <n v="73.3"/>
    <n v="73.3"/>
    <d v="2025-02-12T00:00:00"/>
    <d v="2025-02-17T00:00:00"/>
    <x v="2"/>
    <x v="0"/>
    <n v="5"/>
    <x v="0"/>
    <x v="3"/>
    <n v="5"/>
    <n v="7"/>
    <x v="2"/>
  </r>
  <r>
    <x v="1093"/>
    <x v="0"/>
    <n v="2"/>
    <n v="25.8"/>
    <n v="51.6"/>
    <d v="2025-02-12T00:00:00"/>
    <d v="2025-02-26T00:00:00"/>
    <x v="1"/>
    <x v="2"/>
    <n v="4"/>
    <x v="0"/>
    <x v="3"/>
    <n v="14"/>
    <n v="7"/>
    <x v="1"/>
  </r>
  <r>
    <x v="1094"/>
    <x v="17"/>
    <n v="3"/>
    <n v="49.1"/>
    <n v="147.30000000000001"/>
    <d v="2025-02-12T00:00:00"/>
    <d v="2025-02-14T00:00:00"/>
    <x v="2"/>
    <x v="0"/>
    <n v="4"/>
    <x v="0"/>
    <x v="24"/>
    <n v="2"/>
    <n v="7"/>
    <x v="2"/>
  </r>
  <r>
    <x v="1095"/>
    <x v="1"/>
    <n v="1"/>
    <n v="44.9"/>
    <n v="44.9"/>
    <d v="2025-02-12T00:00:00"/>
    <d v="2025-02-15T00:00:00"/>
    <x v="2"/>
    <x v="3"/>
    <n v="5"/>
    <x v="0"/>
    <x v="6"/>
    <n v="3"/>
    <n v="7"/>
    <x v="2"/>
  </r>
  <r>
    <x v="1096"/>
    <x v="15"/>
    <n v="7"/>
    <n v="29.9"/>
    <n v="209.29999999999998"/>
    <d v="2025-02-12T00:00:00"/>
    <d v="2025-02-13T00:00:00"/>
    <x v="2"/>
    <x v="0"/>
    <n v="4"/>
    <x v="0"/>
    <x v="6"/>
    <n v="1"/>
    <n v="7"/>
    <x v="2"/>
  </r>
  <r>
    <x v="1097"/>
    <x v="7"/>
    <n v="2"/>
    <n v="54.3"/>
    <n v="108.6"/>
    <d v="2025-02-13T00:00:00"/>
    <d v="2025-02-14T00:00:00"/>
    <x v="1"/>
    <x v="3"/>
    <n v="4"/>
    <x v="0"/>
    <x v="36"/>
    <n v="1"/>
    <n v="7"/>
    <x v="1"/>
  </r>
  <r>
    <x v="1098"/>
    <x v="9"/>
    <n v="4"/>
    <n v="57"/>
    <n v="228"/>
    <d v="2025-02-13T00:00:00"/>
    <d v="2025-02-15T00:00:00"/>
    <x v="2"/>
    <x v="0"/>
    <n v="4"/>
    <x v="0"/>
    <x v="8"/>
    <n v="2"/>
    <n v="7"/>
    <x v="2"/>
  </r>
  <r>
    <x v="1099"/>
    <x v="2"/>
    <n v="1"/>
    <n v="139.19999999999999"/>
    <n v="139.19999999999999"/>
    <d v="2025-02-13T00:00:00"/>
    <d v="2025-02-14T00:00:00"/>
    <x v="2"/>
    <x v="3"/>
    <n v="5"/>
    <x v="0"/>
    <x v="8"/>
    <n v="1"/>
    <n v="7"/>
    <x v="2"/>
  </r>
  <r>
    <x v="1100"/>
    <x v="10"/>
    <n v="1"/>
    <n v="33"/>
    <n v="33"/>
    <d v="2025-02-13T00:00:00"/>
    <d v="2025-02-16T00:00:00"/>
    <x v="2"/>
    <x v="0"/>
    <n v="5"/>
    <x v="0"/>
    <x v="8"/>
    <n v="3"/>
    <n v="7"/>
    <x v="2"/>
  </r>
  <r>
    <x v="1101"/>
    <x v="11"/>
    <n v="6"/>
    <n v="80.2"/>
    <n v="481.20000000000005"/>
    <d v="2025-02-13T00:00:00"/>
    <d v="2025-02-15T00:00:00"/>
    <x v="1"/>
    <x v="1"/>
    <n v="2"/>
    <x v="0"/>
    <x v="8"/>
    <n v="2"/>
    <n v="7"/>
    <x v="1"/>
  </r>
  <r>
    <x v="1102"/>
    <x v="18"/>
    <n v="8"/>
    <n v="49"/>
    <n v="392"/>
    <d v="2025-02-13T00:00:00"/>
    <d v="2025-02-14T00:00:00"/>
    <x v="0"/>
    <x v="2"/>
    <n v="3"/>
    <x v="0"/>
    <x v="9"/>
    <n v="1"/>
    <n v="7"/>
    <x v="0"/>
  </r>
  <r>
    <x v="1103"/>
    <x v="1"/>
    <n v="4"/>
    <n v="104.4"/>
    <n v="417.6"/>
    <d v="2025-02-13T00:00:00"/>
    <d v="2025-02-13T00:00:00"/>
    <x v="2"/>
    <x v="0"/>
    <n v="4"/>
    <x v="0"/>
    <x v="9"/>
    <n v="0"/>
    <n v="7"/>
    <x v="2"/>
  </r>
  <r>
    <x v="1104"/>
    <x v="3"/>
    <n v="1"/>
    <n v="41.6"/>
    <n v="41.6"/>
    <d v="2025-02-13T00:00:00"/>
    <d v="2025-02-16T00:00:00"/>
    <x v="1"/>
    <x v="3"/>
    <n v="4"/>
    <x v="0"/>
    <x v="11"/>
    <n v="3"/>
    <n v="7"/>
    <x v="1"/>
  </r>
  <r>
    <x v="1105"/>
    <x v="19"/>
    <n v="2"/>
    <n v="16.399999999999999"/>
    <n v="32.799999999999997"/>
    <d v="2025-02-13T00:00:00"/>
    <d v="2025-02-14T00:00:00"/>
    <x v="3"/>
    <x v="0"/>
    <n v="5"/>
    <x v="0"/>
    <x v="11"/>
    <n v="1"/>
    <n v="7"/>
    <x v="3"/>
  </r>
  <r>
    <x v="1106"/>
    <x v="8"/>
    <n v="2"/>
    <n v="22"/>
    <n v="44"/>
    <d v="2025-02-13T00:00:00"/>
    <d v="2025-02-14T00:00:00"/>
    <x v="1"/>
    <x v="2"/>
    <n v="5"/>
    <x v="0"/>
    <x v="53"/>
    <n v="1"/>
    <n v="7"/>
    <x v="1"/>
  </r>
  <r>
    <x v="1107"/>
    <x v="15"/>
    <n v="2"/>
    <n v="33.6"/>
    <n v="67.2"/>
    <d v="2025-02-13T00:00:00"/>
    <d v="2025-02-18T00:00:00"/>
    <x v="2"/>
    <x v="0"/>
    <n v="4"/>
    <x v="0"/>
    <x v="21"/>
    <n v="5"/>
    <n v="7"/>
    <x v="2"/>
  </r>
  <r>
    <x v="1108"/>
    <x v="11"/>
    <n v="6"/>
    <n v="43"/>
    <n v="258"/>
    <d v="2025-02-13T00:00:00"/>
    <d v="2025-02-14T00:00:00"/>
    <x v="2"/>
    <x v="2"/>
    <n v="4"/>
    <x v="0"/>
    <x v="21"/>
    <n v="1"/>
    <n v="7"/>
    <x v="2"/>
  </r>
  <r>
    <x v="1109"/>
    <x v="6"/>
    <n v="5"/>
    <n v="108.8"/>
    <n v="544"/>
    <d v="2025-02-13T00:00:00"/>
    <d v="2025-02-16T00:00:00"/>
    <x v="2"/>
    <x v="4"/>
    <n v="5"/>
    <x v="0"/>
    <x v="21"/>
    <n v="3"/>
    <n v="7"/>
    <x v="2"/>
  </r>
  <r>
    <x v="1110"/>
    <x v="0"/>
    <n v="9"/>
    <n v="29.3"/>
    <n v="263.7"/>
    <d v="2025-02-13T00:00:00"/>
    <d v="2025-02-15T00:00:00"/>
    <x v="1"/>
    <x v="4"/>
    <n v="5"/>
    <x v="0"/>
    <x v="21"/>
    <n v="2"/>
    <n v="7"/>
    <x v="1"/>
  </r>
  <r>
    <x v="1111"/>
    <x v="2"/>
    <n v="1"/>
    <n v="122.7"/>
    <n v="122.7"/>
    <d v="2025-02-13T00:00:00"/>
    <d v="2025-02-16T00:00:00"/>
    <x v="3"/>
    <x v="0"/>
    <n v="5"/>
    <x v="0"/>
    <x v="1"/>
    <n v="3"/>
    <n v="7"/>
    <x v="3"/>
  </r>
  <r>
    <x v="1112"/>
    <x v="4"/>
    <n v="7"/>
    <n v="22.9"/>
    <n v="160.29999999999998"/>
    <d v="2025-02-13T00:00:00"/>
    <d v="2025-02-14T00:00:00"/>
    <x v="2"/>
    <x v="0"/>
    <n v="4"/>
    <x v="0"/>
    <x v="42"/>
    <n v="1"/>
    <n v="7"/>
    <x v="2"/>
  </r>
  <r>
    <x v="1113"/>
    <x v="8"/>
    <n v="10"/>
    <n v="25.5"/>
    <n v="255"/>
    <d v="2025-02-13T00:00:00"/>
    <d v="2025-02-20T00:00:00"/>
    <x v="2"/>
    <x v="0"/>
    <n v="4"/>
    <x v="0"/>
    <x v="33"/>
    <n v="7"/>
    <n v="7"/>
    <x v="2"/>
  </r>
  <r>
    <x v="1114"/>
    <x v="17"/>
    <n v="3"/>
    <n v="23.4"/>
    <n v="70.199999999999989"/>
    <d v="2025-02-13T00:00:00"/>
    <d v="2025-02-17T00:00:00"/>
    <x v="2"/>
    <x v="0"/>
    <n v="5"/>
    <x v="0"/>
    <x v="3"/>
    <n v="4"/>
    <n v="7"/>
    <x v="2"/>
  </r>
  <r>
    <x v="1115"/>
    <x v="5"/>
    <n v="8"/>
    <n v="27.4"/>
    <n v="219.2"/>
    <d v="2025-02-13T00:00:00"/>
    <d v="2025-02-16T00:00:00"/>
    <x v="2"/>
    <x v="2"/>
    <n v="4"/>
    <x v="0"/>
    <x v="3"/>
    <n v="3"/>
    <n v="7"/>
    <x v="2"/>
  </r>
  <r>
    <x v="1116"/>
    <x v="5"/>
    <n v="5"/>
    <n v="68.400000000000006"/>
    <n v="342"/>
    <d v="2025-02-13T00:00:00"/>
    <d v="2025-02-14T00:00:00"/>
    <x v="2"/>
    <x v="0"/>
    <n v="4"/>
    <x v="0"/>
    <x v="3"/>
    <n v="1"/>
    <n v="7"/>
    <x v="2"/>
  </r>
  <r>
    <x v="1117"/>
    <x v="6"/>
    <n v="1"/>
    <n v="51.9"/>
    <n v="51.9"/>
    <d v="2025-02-13T00:00:00"/>
    <d v="2025-02-13T00:00:00"/>
    <x v="2"/>
    <x v="0"/>
    <n v="4"/>
    <x v="0"/>
    <x v="3"/>
    <n v="0"/>
    <n v="7"/>
    <x v="2"/>
  </r>
  <r>
    <x v="1118"/>
    <x v="0"/>
    <n v="5"/>
    <n v="26.4"/>
    <n v="132"/>
    <d v="2025-02-13T00:00:00"/>
    <d v="2025-02-16T00:00:00"/>
    <x v="2"/>
    <x v="0"/>
    <n v="5"/>
    <x v="0"/>
    <x v="3"/>
    <n v="3"/>
    <n v="7"/>
    <x v="2"/>
  </r>
  <r>
    <x v="1119"/>
    <x v="12"/>
    <n v="2"/>
    <n v="117"/>
    <n v="234"/>
    <d v="2025-02-13T00:00:00"/>
    <d v="2025-02-14T00:00:00"/>
    <x v="2"/>
    <x v="1"/>
    <n v="3"/>
    <x v="0"/>
    <x v="3"/>
    <n v="1"/>
    <n v="7"/>
    <x v="2"/>
  </r>
  <r>
    <x v="1120"/>
    <x v="7"/>
    <n v="3"/>
    <n v="49.6"/>
    <n v="148.80000000000001"/>
    <d v="2025-02-14T00:00:00"/>
    <d v="2025-02-16T00:00:00"/>
    <x v="2"/>
    <x v="0"/>
    <n v="4"/>
    <x v="0"/>
    <x v="3"/>
    <n v="2"/>
    <n v="7"/>
    <x v="2"/>
  </r>
  <r>
    <x v="1121"/>
    <x v="4"/>
    <n v="3"/>
    <n v="38"/>
    <n v="114"/>
    <d v="2025-02-14T00:00:00"/>
    <d v="2025-02-17T00:00:00"/>
    <x v="1"/>
    <x v="2"/>
    <n v="2"/>
    <x v="0"/>
    <x v="3"/>
    <n v="3"/>
    <n v="7"/>
    <x v="1"/>
  </r>
  <r>
    <x v="1122"/>
    <x v="0"/>
    <n v="3"/>
    <n v="20.6"/>
    <n v="61.800000000000004"/>
    <d v="2025-02-14T00:00:00"/>
    <d v="2025-02-16T00:00:00"/>
    <x v="2"/>
    <x v="4"/>
    <n v="5"/>
    <x v="0"/>
    <x v="3"/>
    <n v="2"/>
    <n v="7"/>
    <x v="2"/>
  </r>
  <r>
    <x v="1123"/>
    <x v="0"/>
    <n v="2"/>
    <n v="16"/>
    <n v="32"/>
    <d v="2025-02-14T00:00:00"/>
    <d v="2025-02-15T00:00:00"/>
    <x v="1"/>
    <x v="1"/>
    <n v="3"/>
    <x v="0"/>
    <x v="49"/>
    <n v="1"/>
    <n v="7"/>
    <x v="1"/>
  </r>
  <r>
    <x v="1124"/>
    <x v="15"/>
    <n v="4"/>
    <n v="49.3"/>
    <n v="197.2"/>
    <d v="2025-02-14T00:00:00"/>
    <d v="2025-02-15T00:00:00"/>
    <x v="2"/>
    <x v="2"/>
    <n v="4"/>
    <x v="0"/>
    <x v="23"/>
    <n v="1"/>
    <n v="7"/>
    <x v="2"/>
  </r>
  <r>
    <x v="1125"/>
    <x v="9"/>
    <n v="2"/>
    <n v="24.1"/>
    <n v="48.2"/>
    <d v="2025-02-14T00:00:00"/>
    <d v="2025-02-18T00:00:00"/>
    <x v="2"/>
    <x v="0"/>
    <n v="4"/>
    <x v="0"/>
    <x v="6"/>
    <n v="4"/>
    <n v="7"/>
    <x v="2"/>
  </r>
  <r>
    <x v="1126"/>
    <x v="15"/>
    <n v="8"/>
    <n v="32.700000000000003"/>
    <n v="261.60000000000002"/>
    <d v="2025-02-14T00:00:00"/>
    <d v="2025-02-15T00:00:00"/>
    <x v="2"/>
    <x v="1"/>
    <n v="4"/>
    <x v="0"/>
    <x v="6"/>
    <n v="1"/>
    <n v="7"/>
    <x v="2"/>
  </r>
  <r>
    <x v="1127"/>
    <x v="6"/>
    <n v="3"/>
    <n v="74.400000000000006"/>
    <n v="223.20000000000002"/>
    <d v="2025-02-14T00:00:00"/>
    <d v="2025-02-15T00:00:00"/>
    <x v="2"/>
    <x v="3"/>
    <n v="5"/>
    <x v="0"/>
    <x v="8"/>
    <n v="1"/>
    <n v="7"/>
    <x v="2"/>
  </r>
  <r>
    <x v="1128"/>
    <x v="12"/>
    <n v="1"/>
    <n v="45.6"/>
    <n v="45.6"/>
    <d v="2025-02-14T00:00:00"/>
    <d v="2025-02-18T00:00:00"/>
    <x v="2"/>
    <x v="4"/>
    <n v="4"/>
    <x v="0"/>
    <x v="8"/>
    <n v="4"/>
    <n v="7"/>
    <x v="2"/>
  </r>
  <r>
    <x v="1129"/>
    <x v="8"/>
    <n v="8"/>
    <n v="19.600000000000001"/>
    <n v="156.80000000000001"/>
    <d v="2025-02-14T00:00:00"/>
    <d v="2025-02-27T00:00:00"/>
    <x v="2"/>
    <x v="0"/>
    <n v="4"/>
    <x v="0"/>
    <x v="8"/>
    <n v="13"/>
    <n v="7"/>
    <x v="2"/>
  </r>
  <r>
    <x v="1130"/>
    <x v="9"/>
    <n v="1"/>
    <n v="51.8"/>
    <n v="51.8"/>
    <d v="2025-02-14T00:00:00"/>
    <d v="2025-02-15T00:00:00"/>
    <x v="2"/>
    <x v="1"/>
    <n v="4"/>
    <x v="0"/>
    <x v="8"/>
    <n v="1"/>
    <n v="7"/>
    <x v="2"/>
  </r>
  <r>
    <x v="1131"/>
    <x v="6"/>
    <n v="1"/>
    <n v="74.7"/>
    <n v="74.7"/>
    <d v="2025-02-14T00:00:00"/>
    <d v="2025-02-15T00:00:00"/>
    <x v="1"/>
    <x v="0"/>
    <n v="3"/>
    <x v="0"/>
    <x v="8"/>
    <n v="1"/>
    <n v="7"/>
    <x v="1"/>
  </r>
  <r>
    <x v="1132"/>
    <x v="19"/>
    <n v="3"/>
    <n v="22.4"/>
    <n v="67.199999999999989"/>
    <d v="2025-02-14T00:00:00"/>
    <d v="2025-02-15T00:00:00"/>
    <x v="2"/>
    <x v="1"/>
    <n v="5"/>
    <x v="0"/>
    <x v="9"/>
    <n v="1"/>
    <n v="7"/>
    <x v="2"/>
  </r>
  <r>
    <x v="1133"/>
    <x v="1"/>
    <n v="4"/>
    <n v="31.4"/>
    <n v="125.6"/>
    <d v="2025-02-14T00:00:00"/>
    <d v="2025-02-15T00:00:00"/>
    <x v="2"/>
    <x v="1"/>
    <n v="4"/>
    <x v="0"/>
    <x v="9"/>
    <n v="1"/>
    <n v="7"/>
    <x v="2"/>
  </r>
  <r>
    <x v="1134"/>
    <x v="6"/>
    <n v="1"/>
    <n v="94"/>
    <n v="94"/>
    <d v="2025-02-14T00:00:00"/>
    <d v="2025-02-14T00:00:00"/>
    <x v="2"/>
    <x v="1"/>
    <n v="5"/>
    <x v="0"/>
    <x v="10"/>
    <n v="0"/>
    <n v="7"/>
    <x v="2"/>
  </r>
  <r>
    <x v="1135"/>
    <x v="10"/>
    <n v="1"/>
    <n v="22.3"/>
    <n v="22.3"/>
    <d v="2025-02-14T00:00:00"/>
    <d v="2025-02-15T00:00:00"/>
    <x v="1"/>
    <x v="4"/>
    <n v="4"/>
    <x v="0"/>
    <x v="20"/>
    <n v="1"/>
    <n v="7"/>
    <x v="1"/>
  </r>
  <r>
    <x v="1136"/>
    <x v="0"/>
    <n v="1"/>
    <n v="21.9"/>
    <n v="21.9"/>
    <d v="2025-02-14T00:00:00"/>
    <d v="2025-02-17T00:00:00"/>
    <x v="2"/>
    <x v="2"/>
    <n v="4"/>
    <x v="0"/>
    <x v="21"/>
    <n v="3"/>
    <n v="7"/>
    <x v="2"/>
  </r>
  <r>
    <x v="1137"/>
    <x v="17"/>
    <n v="3"/>
    <n v="27"/>
    <n v="81"/>
    <d v="2025-02-14T00:00:00"/>
    <d v="2025-02-16T00:00:00"/>
    <x v="2"/>
    <x v="4"/>
    <n v="5"/>
    <x v="0"/>
    <x v="2"/>
    <n v="2"/>
    <n v="7"/>
    <x v="2"/>
  </r>
  <r>
    <x v="1138"/>
    <x v="2"/>
    <n v="4"/>
    <n v="149.6"/>
    <n v="598.4"/>
    <d v="2025-02-14T00:00:00"/>
    <d v="2025-02-14T00:00:00"/>
    <x v="2"/>
    <x v="4"/>
    <n v="4"/>
    <x v="0"/>
    <x v="22"/>
    <n v="0"/>
    <n v="7"/>
    <x v="2"/>
  </r>
  <r>
    <x v="1139"/>
    <x v="2"/>
    <n v="4"/>
    <n v="129.1"/>
    <n v="516.4"/>
    <d v="2025-02-14T00:00:00"/>
    <d v="2025-02-24T00:00:00"/>
    <x v="1"/>
    <x v="0"/>
    <n v="3"/>
    <x v="0"/>
    <x v="3"/>
    <n v="10"/>
    <n v="7"/>
    <x v="1"/>
  </r>
  <r>
    <x v="1140"/>
    <x v="1"/>
    <n v="12"/>
    <n v="40.4"/>
    <n v="484.79999999999995"/>
    <d v="2025-02-14T00:00:00"/>
    <d v="2025-02-15T00:00:00"/>
    <x v="1"/>
    <x v="1"/>
    <n v="3"/>
    <x v="0"/>
    <x v="3"/>
    <n v="1"/>
    <n v="7"/>
    <x v="1"/>
  </r>
  <r>
    <x v="1141"/>
    <x v="4"/>
    <n v="3"/>
    <n v="48.5"/>
    <n v="145.5"/>
    <d v="2025-02-14T00:00:00"/>
    <d v="2025-02-16T00:00:00"/>
    <x v="2"/>
    <x v="0"/>
    <n v="2"/>
    <x v="0"/>
    <x v="3"/>
    <n v="2"/>
    <n v="7"/>
    <x v="2"/>
  </r>
  <r>
    <x v="1142"/>
    <x v="9"/>
    <n v="2"/>
    <n v="37.6"/>
    <n v="75.2"/>
    <d v="2025-02-14T00:00:00"/>
    <d v="2025-02-16T00:00:00"/>
    <x v="2"/>
    <x v="1"/>
    <n v="5"/>
    <x v="0"/>
    <x v="3"/>
    <n v="2"/>
    <n v="7"/>
    <x v="2"/>
  </r>
  <r>
    <x v="1143"/>
    <x v="8"/>
    <n v="2"/>
    <n v="19.600000000000001"/>
    <n v="39.200000000000003"/>
    <d v="2025-02-14T00:00:00"/>
    <d v="2025-02-15T00:00:00"/>
    <x v="1"/>
    <x v="3"/>
    <n v="2"/>
    <x v="0"/>
    <x v="43"/>
    <n v="1"/>
    <n v="7"/>
    <x v="1"/>
  </r>
  <r>
    <x v="1144"/>
    <x v="8"/>
    <n v="5"/>
    <n v="18.5"/>
    <n v="92.5"/>
    <d v="2025-02-14T00:00:00"/>
    <d v="2025-02-15T00:00:00"/>
    <x v="2"/>
    <x v="2"/>
    <n v="3"/>
    <x v="0"/>
    <x v="6"/>
    <n v="1"/>
    <n v="7"/>
    <x v="2"/>
  </r>
  <r>
    <x v="1145"/>
    <x v="5"/>
    <n v="3"/>
    <n v="25.5"/>
    <n v="76.5"/>
    <d v="2025-02-14T00:00:00"/>
    <d v="2025-02-16T00:00:00"/>
    <x v="2"/>
    <x v="4"/>
    <n v="3"/>
    <x v="0"/>
    <x v="6"/>
    <n v="2"/>
    <n v="7"/>
    <x v="2"/>
  </r>
  <r>
    <x v="1146"/>
    <x v="2"/>
    <n v="2"/>
    <n v="94.7"/>
    <n v="189.4"/>
    <d v="2025-02-14T00:00:00"/>
    <d v="2025-02-15T00:00:00"/>
    <x v="2"/>
    <x v="2"/>
    <n v="4"/>
    <x v="0"/>
    <x v="36"/>
    <n v="1"/>
    <n v="7"/>
    <x v="2"/>
  </r>
  <r>
    <x v="1147"/>
    <x v="1"/>
    <n v="6"/>
    <n v="38.799999999999997"/>
    <n v="232.79999999999998"/>
    <d v="2025-02-14T00:00:00"/>
    <d v="2025-02-19T00:00:00"/>
    <x v="2"/>
    <x v="2"/>
    <n v="5"/>
    <x v="0"/>
    <x v="8"/>
    <n v="5"/>
    <n v="7"/>
    <x v="2"/>
  </r>
  <r>
    <x v="1148"/>
    <x v="9"/>
    <n v="2"/>
    <n v="49.4"/>
    <n v="98.8"/>
    <d v="2025-02-15T00:00:00"/>
    <d v="2025-02-23T00:00:00"/>
    <x v="1"/>
    <x v="4"/>
    <n v="3"/>
    <x v="0"/>
    <x v="8"/>
    <n v="8"/>
    <n v="7"/>
    <x v="1"/>
  </r>
  <r>
    <x v="1149"/>
    <x v="7"/>
    <n v="3"/>
    <n v="68"/>
    <n v="204"/>
    <d v="2025-02-15T00:00:00"/>
    <d v="2025-02-18T00:00:00"/>
    <x v="1"/>
    <x v="0"/>
    <n v="5"/>
    <x v="0"/>
    <x v="8"/>
    <n v="3"/>
    <n v="7"/>
    <x v="1"/>
  </r>
  <r>
    <x v="1150"/>
    <x v="15"/>
    <n v="7"/>
    <n v="63.7"/>
    <n v="445.90000000000003"/>
    <d v="2025-02-15T00:00:00"/>
    <d v="2025-02-16T00:00:00"/>
    <x v="2"/>
    <x v="2"/>
    <n v="5"/>
    <x v="0"/>
    <x v="8"/>
    <n v="1"/>
    <n v="7"/>
    <x v="2"/>
  </r>
  <r>
    <x v="1151"/>
    <x v="10"/>
    <n v="2"/>
    <n v="66.2"/>
    <n v="132.4"/>
    <d v="2025-02-15T00:00:00"/>
    <d v="2025-02-16T00:00:00"/>
    <x v="2"/>
    <x v="4"/>
    <n v="5"/>
    <x v="0"/>
    <x v="17"/>
    <n v="1"/>
    <n v="7"/>
    <x v="2"/>
  </r>
  <r>
    <x v="1152"/>
    <x v="12"/>
    <n v="3"/>
    <n v="32.299999999999997"/>
    <n v="96.899999999999991"/>
    <d v="2025-02-15T00:00:00"/>
    <d v="2025-02-16T00:00:00"/>
    <x v="3"/>
    <x v="2"/>
    <n v="3"/>
    <x v="0"/>
    <x v="9"/>
    <n v="1"/>
    <n v="7"/>
    <x v="3"/>
  </r>
  <r>
    <x v="1153"/>
    <x v="4"/>
    <n v="2"/>
    <n v="66.900000000000006"/>
    <n v="133.80000000000001"/>
    <d v="2025-02-15T00:00:00"/>
    <d v="2025-02-18T00:00:00"/>
    <x v="1"/>
    <x v="1"/>
    <n v="4"/>
    <x v="0"/>
    <x v="11"/>
    <n v="3"/>
    <n v="7"/>
    <x v="1"/>
  </r>
  <r>
    <x v="1154"/>
    <x v="4"/>
    <n v="12"/>
    <n v="25.2"/>
    <n v="302.39999999999998"/>
    <d v="2025-02-15T00:00:00"/>
    <d v="2025-02-19T00:00:00"/>
    <x v="2"/>
    <x v="0"/>
    <n v="3"/>
    <x v="0"/>
    <x v="11"/>
    <n v="4"/>
    <n v="7"/>
    <x v="2"/>
  </r>
  <r>
    <x v="1155"/>
    <x v="10"/>
    <n v="6"/>
    <n v="29.5"/>
    <n v="177"/>
    <d v="2025-02-15T00:00:00"/>
    <d v="2025-02-16T00:00:00"/>
    <x v="1"/>
    <x v="2"/>
    <n v="4"/>
    <x v="0"/>
    <x v="11"/>
    <n v="1"/>
    <n v="7"/>
    <x v="1"/>
  </r>
  <r>
    <x v="1156"/>
    <x v="8"/>
    <n v="5"/>
    <n v="21.6"/>
    <n v="108"/>
    <d v="2025-02-15T00:00:00"/>
    <d v="2025-02-17T00:00:00"/>
    <x v="2"/>
    <x v="0"/>
    <n v="5"/>
    <x v="0"/>
    <x v="32"/>
    <n v="2"/>
    <n v="7"/>
    <x v="2"/>
  </r>
  <r>
    <x v="1157"/>
    <x v="12"/>
    <n v="3"/>
    <n v="69"/>
    <n v="207"/>
    <d v="2025-02-15T00:00:00"/>
    <d v="2025-02-16T00:00:00"/>
    <x v="2"/>
    <x v="0"/>
    <n v="4"/>
    <x v="0"/>
    <x v="18"/>
    <n v="1"/>
    <n v="7"/>
    <x v="2"/>
  </r>
  <r>
    <x v="1158"/>
    <x v="7"/>
    <n v="2"/>
    <n v="115"/>
    <n v="230"/>
    <d v="2025-02-15T00:00:00"/>
    <d v="2025-02-19T00:00:00"/>
    <x v="1"/>
    <x v="0"/>
    <n v="5"/>
    <x v="0"/>
    <x v="18"/>
    <n v="4"/>
    <n v="7"/>
    <x v="1"/>
  </r>
  <r>
    <x v="1159"/>
    <x v="2"/>
    <n v="2"/>
    <n v="109.3"/>
    <n v="218.6"/>
    <d v="2025-02-15T00:00:00"/>
    <d v="2025-02-17T00:00:00"/>
    <x v="0"/>
    <x v="3"/>
    <n v="3"/>
    <x v="0"/>
    <x v="19"/>
    <n v="2"/>
    <n v="7"/>
    <x v="0"/>
  </r>
  <r>
    <x v="1160"/>
    <x v="9"/>
    <n v="2"/>
    <n v="66.599999999999994"/>
    <n v="133.19999999999999"/>
    <d v="2025-02-15T00:00:00"/>
    <d v="2025-02-18T00:00:00"/>
    <x v="0"/>
    <x v="4"/>
    <n v="3"/>
    <x v="0"/>
    <x v="19"/>
    <n v="3"/>
    <n v="7"/>
    <x v="0"/>
  </r>
  <r>
    <x v="1161"/>
    <x v="12"/>
    <n v="5"/>
    <n v="47.7"/>
    <n v="238.5"/>
    <d v="2025-02-15T00:00:00"/>
    <d v="2025-02-16T00:00:00"/>
    <x v="1"/>
    <x v="3"/>
    <n v="5"/>
    <x v="0"/>
    <x v="21"/>
    <n v="1"/>
    <n v="7"/>
    <x v="1"/>
  </r>
  <r>
    <x v="1162"/>
    <x v="8"/>
    <n v="2"/>
    <n v="46"/>
    <n v="92"/>
    <d v="2025-02-15T00:00:00"/>
    <d v="2025-02-16T00:00:00"/>
    <x v="2"/>
    <x v="4"/>
    <n v="2"/>
    <x v="0"/>
    <x v="22"/>
    <n v="1"/>
    <n v="7"/>
    <x v="2"/>
  </r>
  <r>
    <x v="1163"/>
    <x v="1"/>
    <n v="6"/>
    <n v="39.299999999999997"/>
    <n v="235.79999999999998"/>
    <d v="2025-02-15T00:00:00"/>
    <d v="2025-02-17T00:00:00"/>
    <x v="1"/>
    <x v="3"/>
    <n v="5"/>
    <x v="0"/>
    <x v="3"/>
    <n v="2"/>
    <n v="7"/>
    <x v="1"/>
  </r>
  <r>
    <x v="1164"/>
    <x v="9"/>
    <n v="1"/>
    <n v="70.2"/>
    <n v="70.2"/>
    <d v="2025-02-15T00:00:00"/>
    <d v="2025-02-16T00:00:00"/>
    <x v="2"/>
    <x v="0"/>
    <n v="2"/>
    <x v="0"/>
    <x v="3"/>
    <n v="1"/>
    <n v="7"/>
    <x v="2"/>
  </r>
  <r>
    <x v="1165"/>
    <x v="3"/>
    <n v="4"/>
    <n v="71.5"/>
    <n v="286"/>
    <d v="2025-02-15T00:00:00"/>
    <d v="2025-02-15T00:00:00"/>
    <x v="2"/>
    <x v="1"/>
    <n v="5"/>
    <x v="0"/>
    <x v="3"/>
    <n v="0"/>
    <n v="7"/>
    <x v="2"/>
  </r>
  <r>
    <x v="1166"/>
    <x v="10"/>
    <n v="7"/>
    <n v="31"/>
    <n v="217"/>
    <d v="2025-02-15T00:00:00"/>
    <d v="2025-02-22T00:00:00"/>
    <x v="2"/>
    <x v="3"/>
    <n v="5"/>
    <x v="0"/>
    <x v="3"/>
    <n v="7"/>
    <n v="7"/>
    <x v="2"/>
  </r>
  <r>
    <x v="1167"/>
    <x v="2"/>
    <n v="5"/>
    <n v="68.2"/>
    <n v="341"/>
    <d v="2025-02-15T00:00:00"/>
    <d v="2025-02-20T00:00:00"/>
    <x v="2"/>
    <x v="0"/>
    <n v="5"/>
    <x v="0"/>
    <x v="3"/>
    <n v="5"/>
    <n v="7"/>
    <x v="2"/>
  </r>
  <r>
    <x v="1168"/>
    <x v="2"/>
    <n v="1"/>
    <n v="91.4"/>
    <n v="91.4"/>
    <d v="2025-02-15T00:00:00"/>
    <d v="2025-02-19T00:00:00"/>
    <x v="2"/>
    <x v="1"/>
    <n v="5"/>
    <x v="0"/>
    <x v="6"/>
    <n v="4"/>
    <n v="7"/>
    <x v="2"/>
  </r>
  <r>
    <x v="1169"/>
    <x v="6"/>
    <n v="10"/>
    <n v="112.9"/>
    <n v="1129"/>
    <d v="2025-02-15T00:00:00"/>
    <d v="2025-02-16T00:00:00"/>
    <x v="2"/>
    <x v="0"/>
    <n v="4"/>
    <x v="0"/>
    <x v="6"/>
    <n v="1"/>
    <n v="7"/>
    <x v="2"/>
  </r>
  <r>
    <x v="1170"/>
    <x v="17"/>
    <n v="9"/>
    <n v="33.700000000000003"/>
    <n v="303.3"/>
    <d v="2025-02-15T00:00:00"/>
    <d v="2025-02-16T00:00:00"/>
    <x v="2"/>
    <x v="1"/>
    <n v="5"/>
    <x v="0"/>
    <x v="8"/>
    <n v="1"/>
    <n v="7"/>
    <x v="2"/>
  </r>
  <r>
    <x v="1171"/>
    <x v="15"/>
    <n v="10"/>
    <n v="35.299999999999997"/>
    <n v="353"/>
    <d v="2025-02-15T00:00:00"/>
    <d v="2025-02-17T00:00:00"/>
    <x v="1"/>
    <x v="2"/>
    <n v="4"/>
    <x v="0"/>
    <x v="8"/>
    <n v="2"/>
    <n v="7"/>
    <x v="1"/>
  </r>
  <r>
    <x v="1172"/>
    <x v="18"/>
    <n v="3"/>
    <n v="45.6"/>
    <n v="136.80000000000001"/>
    <d v="2025-02-15T00:00:00"/>
    <d v="2025-02-19T00:00:00"/>
    <x v="1"/>
    <x v="3"/>
    <n v="4"/>
    <x v="0"/>
    <x v="8"/>
    <n v="4"/>
    <n v="7"/>
    <x v="1"/>
  </r>
  <r>
    <x v="1173"/>
    <x v="7"/>
    <n v="7"/>
    <n v="47.1"/>
    <n v="329.7"/>
    <d v="2025-02-15T00:00:00"/>
    <d v="2025-02-16T00:00:00"/>
    <x v="2"/>
    <x v="4"/>
    <n v="5"/>
    <x v="0"/>
    <x v="9"/>
    <n v="1"/>
    <n v="7"/>
    <x v="2"/>
  </r>
  <r>
    <x v="1174"/>
    <x v="8"/>
    <n v="5"/>
    <n v="16.2"/>
    <n v="81"/>
    <d v="2025-02-15T00:00:00"/>
    <d v="2025-02-17T00:00:00"/>
    <x v="2"/>
    <x v="3"/>
    <n v="5"/>
    <x v="0"/>
    <x v="19"/>
    <n v="2"/>
    <n v="7"/>
    <x v="2"/>
  </r>
  <r>
    <x v="1175"/>
    <x v="1"/>
    <n v="2"/>
    <n v="159.69999999999999"/>
    <n v="319.39999999999998"/>
    <d v="2025-02-16T00:00:00"/>
    <d v="2025-02-17T00:00:00"/>
    <x v="1"/>
    <x v="4"/>
    <n v="4"/>
    <x v="0"/>
    <x v="13"/>
    <n v="1"/>
    <n v="8"/>
    <x v="1"/>
  </r>
  <r>
    <x v="1176"/>
    <x v="8"/>
    <n v="4"/>
    <n v="19"/>
    <n v="76"/>
    <d v="2025-02-16T00:00:00"/>
    <d v="2025-02-23T00:00:00"/>
    <x v="2"/>
    <x v="2"/>
    <n v="5"/>
    <x v="0"/>
    <x v="21"/>
    <n v="7"/>
    <n v="8"/>
    <x v="2"/>
  </r>
  <r>
    <x v="1177"/>
    <x v="6"/>
    <n v="6"/>
    <n v="91.1"/>
    <n v="546.59999999999991"/>
    <d v="2025-02-16T00:00:00"/>
    <d v="2025-02-25T00:00:00"/>
    <x v="2"/>
    <x v="4"/>
    <n v="4"/>
    <x v="0"/>
    <x v="21"/>
    <n v="9"/>
    <n v="8"/>
    <x v="2"/>
  </r>
  <r>
    <x v="1178"/>
    <x v="2"/>
    <n v="5"/>
    <n v="94.1"/>
    <n v="470.5"/>
    <d v="2025-02-16T00:00:00"/>
    <d v="2025-02-19T00:00:00"/>
    <x v="0"/>
    <x v="1"/>
    <n v="3"/>
    <x v="0"/>
    <x v="21"/>
    <n v="3"/>
    <n v="8"/>
    <x v="0"/>
  </r>
  <r>
    <x v="1179"/>
    <x v="9"/>
    <n v="9"/>
    <n v="21.1"/>
    <n v="189.9"/>
    <d v="2025-02-16T00:00:00"/>
    <d v="2025-02-17T00:00:00"/>
    <x v="2"/>
    <x v="4"/>
    <n v="5"/>
    <x v="0"/>
    <x v="51"/>
    <n v="1"/>
    <n v="8"/>
    <x v="2"/>
  </r>
  <r>
    <x v="1180"/>
    <x v="8"/>
    <n v="7"/>
    <n v="15.3"/>
    <n v="107.10000000000001"/>
    <d v="2025-02-16T00:00:00"/>
    <d v="2025-02-24T00:00:00"/>
    <x v="2"/>
    <x v="2"/>
    <n v="4"/>
    <x v="0"/>
    <x v="1"/>
    <n v="8"/>
    <n v="8"/>
    <x v="2"/>
  </r>
  <r>
    <x v="1181"/>
    <x v="15"/>
    <n v="4"/>
    <n v="21.3"/>
    <n v="85.2"/>
    <d v="2025-02-16T00:00:00"/>
    <d v="2025-02-19T00:00:00"/>
    <x v="1"/>
    <x v="1"/>
    <n v="4"/>
    <x v="0"/>
    <x v="3"/>
    <n v="3"/>
    <n v="8"/>
    <x v="1"/>
  </r>
  <r>
    <x v="1182"/>
    <x v="0"/>
    <n v="2"/>
    <n v="23.2"/>
    <n v="46.4"/>
    <d v="2025-02-16T00:00:00"/>
    <d v="2025-02-16T00:00:00"/>
    <x v="0"/>
    <x v="3"/>
    <n v="3"/>
    <x v="0"/>
    <x v="3"/>
    <n v="0"/>
    <n v="8"/>
    <x v="0"/>
  </r>
  <r>
    <x v="1183"/>
    <x v="4"/>
    <n v="3"/>
    <n v="25.7"/>
    <n v="77.099999999999994"/>
    <d v="2025-02-16T00:00:00"/>
    <d v="2025-02-17T00:00:00"/>
    <x v="1"/>
    <x v="4"/>
    <n v="4"/>
    <x v="0"/>
    <x v="3"/>
    <n v="1"/>
    <n v="8"/>
    <x v="1"/>
  </r>
  <r>
    <x v="1184"/>
    <x v="0"/>
    <n v="9"/>
    <n v="31.6"/>
    <n v="284.40000000000003"/>
    <d v="2025-02-16T00:00:00"/>
    <d v="2025-02-18T00:00:00"/>
    <x v="2"/>
    <x v="0"/>
    <n v="4"/>
    <x v="0"/>
    <x v="3"/>
    <n v="2"/>
    <n v="8"/>
    <x v="2"/>
  </r>
  <r>
    <x v="1185"/>
    <x v="6"/>
    <n v="1"/>
    <n v="64.2"/>
    <n v="64.2"/>
    <d v="2025-02-16T00:00:00"/>
    <d v="2025-02-21T00:00:00"/>
    <x v="1"/>
    <x v="0"/>
    <n v="4"/>
    <x v="0"/>
    <x v="3"/>
    <n v="5"/>
    <n v="8"/>
    <x v="1"/>
  </r>
  <r>
    <x v="1186"/>
    <x v="8"/>
    <n v="2"/>
    <n v="55.8"/>
    <n v="111.6"/>
    <d v="2025-02-16T00:00:00"/>
    <d v="2025-02-18T00:00:00"/>
    <x v="0"/>
    <x v="0"/>
    <n v="4"/>
    <x v="0"/>
    <x v="3"/>
    <n v="2"/>
    <n v="8"/>
    <x v="0"/>
  </r>
  <r>
    <x v="1187"/>
    <x v="8"/>
    <n v="2"/>
    <n v="28.1"/>
    <n v="56.2"/>
    <d v="2025-02-16T00:00:00"/>
    <d v="2025-02-17T00:00:00"/>
    <x v="2"/>
    <x v="4"/>
    <n v="3"/>
    <x v="0"/>
    <x v="3"/>
    <n v="1"/>
    <n v="8"/>
    <x v="2"/>
  </r>
  <r>
    <x v="1188"/>
    <x v="0"/>
    <n v="2"/>
    <n v="11.6"/>
    <n v="23.2"/>
    <d v="2025-02-16T00:00:00"/>
    <d v="2025-02-18T00:00:00"/>
    <x v="2"/>
    <x v="1"/>
    <n v="4"/>
    <x v="0"/>
    <x v="24"/>
    <n v="2"/>
    <n v="8"/>
    <x v="2"/>
  </r>
  <r>
    <x v="1189"/>
    <x v="5"/>
    <n v="3"/>
    <n v="50.4"/>
    <n v="151.19999999999999"/>
    <d v="2025-02-16T00:00:00"/>
    <d v="2025-02-17T00:00:00"/>
    <x v="1"/>
    <x v="4"/>
    <n v="5"/>
    <x v="0"/>
    <x v="25"/>
    <n v="1"/>
    <n v="8"/>
    <x v="1"/>
  </r>
  <r>
    <x v="1190"/>
    <x v="6"/>
    <n v="6"/>
    <n v="48.3"/>
    <n v="289.79999999999995"/>
    <d v="2025-02-16T00:00:00"/>
    <d v="2025-02-20T00:00:00"/>
    <x v="2"/>
    <x v="0"/>
    <n v="4"/>
    <x v="0"/>
    <x v="25"/>
    <n v="4"/>
    <n v="8"/>
    <x v="2"/>
  </r>
  <r>
    <x v="1191"/>
    <x v="17"/>
    <n v="7"/>
    <n v="32.200000000000003"/>
    <n v="225.40000000000003"/>
    <d v="2025-02-16T00:00:00"/>
    <d v="2025-02-18T00:00:00"/>
    <x v="2"/>
    <x v="2"/>
    <n v="4"/>
    <x v="0"/>
    <x v="25"/>
    <n v="2"/>
    <n v="8"/>
    <x v="2"/>
  </r>
  <r>
    <x v="1192"/>
    <x v="7"/>
    <n v="28"/>
    <n v="48.5"/>
    <n v="1358"/>
    <d v="2025-02-16T00:00:00"/>
    <d v="2025-02-17T00:00:00"/>
    <x v="1"/>
    <x v="0"/>
    <n v="4"/>
    <x v="0"/>
    <x v="5"/>
    <n v="1"/>
    <n v="8"/>
    <x v="1"/>
  </r>
  <r>
    <x v="1193"/>
    <x v="2"/>
    <n v="5"/>
    <n v="62"/>
    <n v="310"/>
    <d v="2025-02-16T00:00:00"/>
    <d v="2025-02-19T00:00:00"/>
    <x v="2"/>
    <x v="1"/>
    <n v="4"/>
    <x v="0"/>
    <x v="6"/>
    <n v="3"/>
    <n v="8"/>
    <x v="2"/>
  </r>
  <r>
    <x v="1194"/>
    <x v="8"/>
    <n v="3"/>
    <n v="32.1"/>
    <n v="96.300000000000011"/>
    <d v="2025-02-17T00:00:00"/>
    <d v="2025-02-19T00:00:00"/>
    <x v="1"/>
    <x v="0"/>
    <n v="4"/>
    <x v="0"/>
    <x v="6"/>
    <n v="2"/>
    <n v="8"/>
    <x v="1"/>
  </r>
  <r>
    <x v="1195"/>
    <x v="12"/>
    <n v="3"/>
    <n v="106.1"/>
    <n v="318.29999999999995"/>
    <d v="2025-02-17T00:00:00"/>
    <d v="2025-02-19T00:00:00"/>
    <x v="1"/>
    <x v="0"/>
    <n v="3"/>
    <x v="0"/>
    <x v="7"/>
    <n v="2"/>
    <n v="8"/>
    <x v="1"/>
  </r>
  <r>
    <x v="1196"/>
    <x v="10"/>
    <n v="3"/>
    <n v="23.5"/>
    <n v="70.5"/>
    <d v="2025-02-17T00:00:00"/>
    <d v="2025-02-20T00:00:00"/>
    <x v="1"/>
    <x v="0"/>
    <n v="2"/>
    <x v="0"/>
    <x v="7"/>
    <n v="3"/>
    <n v="8"/>
    <x v="1"/>
  </r>
  <r>
    <x v="1197"/>
    <x v="1"/>
    <n v="2"/>
    <n v="35.6"/>
    <n v="71.2"/>
    <d v="2025-02-17T00:00:00"/>
    <d v="2025-02-22T00:00:00"/>
    <x v="1"/>
    <x v="4"/>
    <n v="4"/>
    <x v="0"/>
    <x v="8"/>
    <n v="5"/>
    <n v="8"/>
    <x v="1"/>
  </r>
  <r>
    <x v="1198"/>
    <x v="1"/>
    <n v="2"/>
    <n v="63.5"/>
    <n v="127"/>
    <d v="2025-02-17T00:00:00"/>
    <d v="2025-02-17T00:00:00"/>
    <x v="2"/>
    <x v="1"/>
    <n v="5"/>
    <x v="0"/>
    <x v="8"/>
    <n v="0"/>
    <n v="8"/>
    <x v="2"/>
  </r>
  <r>
    <x v="1199"/>
    <x v="6"/>
    <n v="7"/>
    <n v="82.9"/>
    <n v="580.30000000000007"/>
    <d v="2025-02-17T00:00:00"/>
    <d v="2025-02-22T00:00:00"/>
    <x v="2"/>
    <x v="4"/>
    <n v="4"/>
    <x v="0"/>
    <x v="9"/>
    <n v="5"/>
    <n v="8"/>
    <x v="2"/>
  </r>
  <r>
    <x v="1200"/>
    <x v="6"/>
    <n v="2"/>
    <n v="83.6"/>
    <n v="167.2"/>
    <d v="2025-02-17T00:00:00"/>
    <d v="2025-02-22T00:00:00"/>
    <x v="2"/>
    <x v="0"/>
    <n v="4"/>
    <x v="0"/>
    <x v="11"/>
    <n v="5"/>
    <n v="8"/>
    <x v="2"/>
  </r>
  <r>
    <x v="1201"/>
    <x v="4"/>
    <n v="2"/>
    <n v="29.4"/>
    <n v="58.8"/>
    <d v="2025-02-17T00:00:00"/>
    <d v="2025-02-17T00:00:00"/>
    <x v="2"/>
    <x v="0"/>
    <n v="3"/>
    <x v="0"/>
    <x v="30"/>
    <n v="0"/>
    <n v="8"/>
    <x v="2"/>
  </r>
  <r>
    <x v="1202"/>
    <x v="2"/>
    <n v="3"/>
    <n v="107.1"/>
    <n v="321.29999999999995"/>
    <d v="2025-02-17T00:00:00"/>
    <d v="2025-02-21T00:00:00"/>
    <x v="2"/>
    <x v="2"/>
    <n v="4"/>
    <x v="0"/>
    <x v="20"/>
    <n v="4"/>
    <n v="8"/>
    <x v="2"/>
  </r>
  <r>
    <x v="1203"/>
    <x v="2"/>
    <n v="1"/>
    <n v="62.7"/>
    <n v="62.7"/>
    <d v="2025-02-17T00:00:00"/>
    <d v="2025-02-21T00:00:00"/>
    <x v="1"/>
    <x v="1"/>
    <n v="4"/>
    <x v="0"/>
    <x v="21"/>
    <n v="4"/>
    <n v="8"/>
    <x v="1"/>
  </r>
  <r>
    <x v="1204"/>
    <x v="11"/>
    <n v="1"/>
    <n v="41.6"/>
    <n v="41.6"/>
    <d v="2025-02-17T00:00:00"/>
    <d v="2025-02-18T00:00:00"/>
    <x v="1"/>
    <x v="0"/>
    <n v="3"/>
    <x v="0"/>
    <x v="1"/>
    <n v="1"/>
    <n v="8"/>
    <x v="1"/>
  </r>
  <r>
    <x v="1205"/>
    <x v="6"/>
    <n v="1"/>
    <n v="44.2"/>
    <n v="44.2"/>
    <d v="2025-02-17T00:00:00"/>
    <d v="2025-02-18T00:00:00"/>
    <x v="3"/>
    <x v="0"/>
    <n v="3"/>
    <x v="0"/>
    <x v="1"/>
    <n v="1"/>
    <n v="8"/>
    <x v="3"/>
  </r>
  <r>
    <x v="1206"/>
    <x v="4"/>
    <n v="6"/>
    <n v="40.4"/>
    <n v="242.39999999999998"/>
    <d v="2025-02-17T00:00:00"/>
    <d v="2025-03-02T00:00:00"/>
    <x v="2"/>
    <x v="2"/>
    <n v="4"/>
    <x v="0"/>
    <x v="22"/>
    <n v="13"/>
    <n v="8"/>
    <x v="2"/>
  </r>
  <r>
    <x v="1207"/>
    <x v="15"/>
    <n v="6"/>
    <n v="59.6"/>
    <n v="357.6"/>
    <d v="2025-02-17T00:00:00"/>
    <d v="2025-02-18T00:00:00"/>
    <x v="2"/>
    <x v="4"/>
    <n v="4"/>
    <x v="0"/>
    <x v="34"/>
    <n v="1"/>
    <n v="8"/>
    <x v="2"/>
  </r>
  <r>
    <x v="1208"/>
    <x v="17"/>
    <n v="12"/>
    <n v="63.8"/>
    <n v="765.59999999999991"/>
    <d v="2025-02-17T00:00:00"/>
    <d v="2025-02-18T00:00:00"/>
    <x v="1"/>
    <x v="1"/>
    <n v="4"/>
    <x v="0"/>
    <x v="3"/>
    <n v="1"/>
    <n v="8"/>
    <x v="1"/>
  </r>
  <r>
    <x v="1209"/>
    <x v="9"/>
    <n v="6"/>
    <n v="30.8"/>
    <n v="184.8"/>
    <d v="2025-02-17T00:00:00"/>
    <d v="2025-02-19T00:00:00"/>
    <x v="1"/>
    <x v="4"/>
    <n v="4"/>
    <x v="0"/>
    <x v="3"/>
    <n v="2"/>
    <n v="8"/>
    <x v="1"/>
  </r>
  <r>
    <x v="1210"/>
    <x v="1"/>
    <n v="2"/>
    <n v="41.5"/>
    <n v="83"/>
    <d v="2025-02-17T00:00:00"/>
    <d v="2025-02-20T00:00:00"/>
    <x v="3"/>
    <x v="0"/>
    <n v="4"/>
    <x v="0"/>
    <x v="3"/>
    <n v="3"/>
    <n v="8"/>
    <x v="3"/>
  </r>
  <r>
    <x v="1211"/>
    <x v="10"/>
    <n v="4"/>
    <n v="44.7"/>
    <n v="178.8"/>
    <d v="2025-02-17T00:00:00"/>
    <d v="2025-02-19T00:00:00"/>
    <x v="2"/>
    <x v="2"/>
    <n v="3"/>
    <x v="0"/>
    <x v="3"/>
    <n v="2"/>
    <n v="8"/>
    <x v="2"/>
  </r>
  <r>
    <x v="1212"/>
    <x v="12"/>
    <n v="2"/>
    <n v="64.099999999999994"/>
    <n v="128.19999999999999"/>
    <d v="2025-02-17T00:00:00"/>
    <d v="2025-02-21T00:00:00"/>
    <x v="2"/>
    <x v="1"/>
    <n v="2"/>
    <x v="0"/>
    <x v="3"/>
    <n v="4"/>
    <n v="8"/>
    <x v="2"/>
  </r>
  <r>
    <x v="1213"/>
    <x v="8"/>
    <n v="1"/>
    <n v="15.9"/>
    <n v="15.9"/>
    <d v="2025-02-17T00:00:00"/>
    <d v="2025-02-20T00:00:00"/>
    <x v="0"/>
    <x v="1"/>
    <n v="4"/>
    <x v="0"/>
    <x v="3"/>
    <n v="3"/>
    <n v="8"/>
    <x v="0"/>
  </r>
  <r>
    <x v="1214"/>
    <x v="6"/>
    <n v="2"/>
    <n v="78.7"/>
    <n v="157.4"/>
    <d v="2025-02-17T00:00:00"/>
    <d v="2025-02-17T00:00:00"/>
    <x v="2"/>
    <x v="2"/>
    <n v="3"/>
    <x v="0"/>
    <x v="3"/>
    <n v="0"/>
    <n v="8"/>
    <x v="2"/>
  </r>
  <r>
    <x v="1215"/>
    <x v="5"/>
    <n v="12"/>
    <n v="29.6"/>
    <n v="355.20000000000005"/>
    <d v="2025-02-17T00:00:00"/>
    <d v="2025-02-21T00:00:00"/>
    <x v="1"/>
    <x v="2"/>
    <n v="2"/>
    <x v="0"/>
    <x v="3"/>
    <n v="4"/>
    <n v="8"/>
    <x v="1"/>
  </r>
  <r>
    <x v="1216"/>
    <x v="8"/>
    <n v="4"/>
    <n v="21.5"/>
    <n v="86"/>
    <d v="2025-02-17T00:00:00"/>
    <d v="2025-02-20T00:00:00"/>
    <x v="1"/>
    <x v="1"/>
    <n v="4"/>
    <x v="0"/>
    <x v="3"/>
    <n v="3"/>
    <n v="8"/>
    <x v="1"/>
  </r>
  <r>
    <x v="1217"/>
    <x v="9"/>
    <n v="3"/>
    <n v="74.900000000000006"/>
    <n v="224.70000000000002"/>
    <d v="2025-02-17T00:00:00"/>
    <d v="2025-02-26T00:00:00"/>
    <x v="1"/>
    <x v="3"/>
    <n v="3"/>
    <x v="0"/>
    <x v="3"/>
    <n v="9"/>
    <n v="8"/>
    <x v="1"/>
  </r>
  <r>
    <x v="1218"/>
    <x v="10"/>
    <n v="6"/>
    <n v="45"/>
    <n v="270"/>
    <d v="2025-02-17T00:00:00"/>
    <d v="2025-02-22T00:00:00"/>
    <x v="2"/>
    <x v="2"/>
    <n v="4"/>
    <x v="0"/>
    <x v="3"/>
    <n v="5"/>
    <n v="8"/>
    <x v="2"/>
  </r>
  <r>
    <x v="1219"/>
    <x v="7"/>
    <n v="34"/>
    <n v="37.9"/>
    <n v="1288.5999999999999"/>
    <d v="2025-02-17T00:00:00"/>
    <d v="2025-02-18T00:00:00"/>
    <x v="1"/>
    <x v="0"/>
    <n v="4"/>
    <x v="0"/>
    <x v="3"/>
    <n v="1"/>
    <n v="8"/>
    <x v="1"/>
  </r>
  <r>
    <x v="1220"/>
    <x v="6"/>
    <n v="3"/>
    <n v="56.6"/>
    <n v="169.8"/>
    <d v="2025-02-17T00:00:00"/>
    <d v="2025-02-18T00:00:00"/>
    <x v="1"/>
    <x v="3"/>
    <n v="4"/>
    <x v="0"/>
    <x v="3"/>
    <n v="1"/>
    <n v="8"/>
    <x v="1"/>
  </r>
  <r>
    <x v="1221"/>
    <x v="3"/>
    <n v="13"/>
    <n v="84.5"/>
    <n v="1098.5"/>
    <d v="2025-02-17T00:00:00"/>
    <d v="2025-02-20T00:00:00"/>
    <x v="2"/>
    <x v="1"/>
    <n v="2"/>
    <x v="0"/>
    <x v="3"/>
    <n v="3"/>
    <n v="8"/>
    <x v="2"/>
  </r>
  <r>
    <x v="1222"/>
    <x v="2"/>
    <n v="5"/>
    <n v="105.4"/>
    <n v="527"/>
    <d v="2025-02-17T00:00:00"/>
    <d v="2025-02-19T00:00:00"/>
    <x v="2"/>
    <x v="1"/>
    <n v="3"/>
    <x v="0"/>
    <x v="3"/>
    <n v="2"/>
    <n v="8"/>
    <x v="2"/>
  </r>
  <r>
    <x v="1223"/>
    <x v="18"/>
    <n v="7"/>
    <n v="39.4"/>
    <n v="275.8"/>
    <d v="2025-02-18T00:00:00"/>
    <d v="2025-02-18T00:00:00"/>
    <x v="1"/>
    <x v="1"/>
    <n v="4"/>
    <x v="0"/>
    <x v="37"/>
    <n v="0"/>
    <n v="8"/>
    <x v="1"/>
  </r>
  <r>
    <x v="1224"/>
    <x v="19"/>
    <n v="3"/>
    <n v="38"/>
    <n v="114"/>
    <d v="2025-02-18T00:00:00"/>
    <d v="2025-02-21T00:00:00"/>
    <x v="1"/>
    <x v="4"/>
    <n v="3"/>
    <x v="0"/>
    <x v="6"/>
    <n v="3"/>
    <n v="8"/>
    <x v="1"/>
  </r>
  <r>
    <x v="1225"/>
    <x v="17"/>
    <n v="4"/>
    <n v="42.5"/>
    <n v="170"/>
    <d v="2025-02-18T00:00:00"/>
    <d v="2025-02-20T00:00:00"/>
    <x v="0"/>
    <x v="0"/>
    <n v="4"/>
    <x v="0"/>
    <x v="6"/>
    <n v="2"/>
    <n v="8"/>
    <x v="0"/>
  </r>
  <r>
    <x v="1226"/>
    <x v="15"/>
    <n v="1"/>
    <n v="62.3"/>
    <n v="62.3"/>
    <d v="2025-02-18T00:00:00"/>
    <d v="2025-02-27T00:00:00"/>
    <x v="1"/>
    <x v="0"/>
    <n v="5"/>
    <x v="0"/>
    <x v="6"/>
    <n v="9"/>
    <n v="8"/>
    <x v="1"/>
  </r>
  <r>
    <x v="1227"/>
    <x v="6"/>
    <n v="5"/>
    <n v="49.1"/>
    <n v="245.5"/>
    <d v="2025-02-18T00:00:00"/>
    <d v="2025-02-20T00:00:00"/>
    <x v="2"/>
    <x v="1"/>
    <n v="5"/>
    <x v="0"/>
    <x v="7"/>
    <n v="2"/>
    <n v="8"/>
    <x v="2"/>
  </r>
  <r>
    <x v="1228"/>
    <x v="3"/>
    <n v="2"/>
    <n v="30.5"/>
    <n v="61"/>
    <d v="2025-02-18T00:00:00"/>
    <d v="2025-02-21T00:00:00"/>
    <x v="1"/>
    <x v="0"/>
    <n v="5"/>
    <x v="0"/>
    <x v="8"/>
    <n v="3"/>
    <n v="8"/>
    <x v="1"/>
  </r>
  <r>
    <x v="1229"/>
    <x v="2"/>
    <n v="2"/>
    <n v="154.80000000000001"/>
    <n v="309.60000000000002"/>
    <d v="2025-02-18T00:00:00"/>
    <d v="2025-02-21T00:00:00"/>
    <x v="2"/>
    <x v="1"/>
    <n v="2"/>
    <x v="0"/>
    <x v="8"/>
    <n v="3"/>
    <n v="8"/>
    <x v="2"/>
  </r>
  <r>
    <x v="1230"/>
    <x v="6"/>
    <n v="1"/>
    <n v="45"/>
    <n v="45"/>
    <d v="2025-02-18T00:00:00"/>
    <d v="2025-02-22T00:00:00"/>
    <x v="1"/>
    <x v="3"/>
    <n v="3"/>
    <x v="0"/>
    <x v="8"/>
    <n v="4"/>
    <n v="8"/>
    <x v="1"/>
  </r>
  <r>
    <x v="1231"/>
    <x v="0"/>
    <n v="7"/>
    <n v="15.3"/>
    <n v="107.10000000000001"/>
    <d v="2025-02-18T00:00:00"/>
    <d v="2025-02-19T00:00:00"/>
    <x v="1"/>
    <x v="0"/>
    <n v="5"/>
    <x v="0"/>
    <x v="8"/>
    <n v="1"/>
    <n v="8"/>
    <x v="1"/>
  </r>
  <r>
    <x v="1232"/>
    <x v="2"/>
    <n v="11"/>
    <n v="88.6"/>
    <n v="974.59999999999991"/>
    <d v="2025-02-18T00:00:00"/>
    <d v="2025-02-21T00:00:00"/>
    <x v="2"/>
    <x v="0"/>
    <n v="2"/>
    <x v="0"/>
    <x v="17"/>
    <n v="3"/>
    <n v="8"/>
    <x v="2"/>
  </r>
  <r>
    <x v="1233"/>
    <x v="9"/>
    <n v="2"/>
    <n v="49.7"/>
    <n v="99.4"/>
    <d v="2025-02-18T00:00:00"/>
    <d v="2025-02-20T00:00:00"/>
    <x v="3"/>
    <x v="4"/>
    <n v="4"/>
    <x v="0"/>
    <x v="10"/>
    <n v="2"/>
    <n v="8"/>
    <x v="3"/>
  </r>
  <r>
    <x v="1234"/>
    <x v="10"/>
    <n v="1"/>
    <n v="29"/>
    <n v="29"/>
    <d v="2025-02-18T00:00:00"/>
    <d v="2025-02-19T00:00:00"/>
    <x v="1"/>
    <x v="0"/>
    <n v="4"/>
    <x v="0"/>
    <x v="11"/>
    <n v="1"/>
    <n v="8"/>
    <x v="1"/>
  </r>
  <r>
    <x v="1235"/>
    <x v="1"/>
    <n v="1"/>
    <n v="60.7"/>
    <n v="60.7"/>
    <d v="2025-02-18T00:00:00"/>
    <d v="2025-02-19T00:00:00"/>
    <x v="3"/>
    <x v="0"/>
    <n v="3"/>
    <x v="0"/>
    <x v="11"/>
    <n v="1"/>
    <n v="8"/>
    <x v="3"/>
  </r>
  <r>
    <x v="1236"/>
    <x v="17"/>
    <n v="4"/>
    <n v="87.4"/>
    <n v="349.6"/>
    <d v="2025-02-18T00:00:00"/>
    <d v="2025-02-20T00:00:00"/>
    <x v="0"/>
    <x v="0"/>
    <n v="4"/>
    <x v="0"/>
    <x v="11"/>
    <n v="2"/>
    <n v="8"/>
    <x v="0"/>
  </r>
  <r>
    <x v="1237"/>
    <x v="4"/>
    <n v="7"/>
    <n v="44.5"/>
    <n v="311.5"/>
    <d v="2025-02-18T00:00:00"/>
    <d v="2025-02-22T00:00:00"/>
    <x v="2"/>
    <x v="2"/>
    <n v="5"/>
    <x v="0"/>
    <x v="19"/>
    <n v="4"/>
    <n v="8"/>
    <x v="2"/>
  </r>
  <r>
    <x v="1238"/>
    <x v="2"/>
    <n v="1"/>
    <n v="141"/>
    <n v="141"/>
    <d v="2025-02-18T00:00:00"/>
    <d v="2025-02-19T00:00:00"/>
    <x v="1"/>
    <x v="4"/>
    <n v="5"/>
    <x v="0"/>
    <x v="19"/>
    <n v="1"/>
    <n v="8"/>
    <x v="1"/>
  </r>
  <r>
    <x v="1239"/>
    <x v="0"/>
    <n v="3"/>
    <n v="16.7"/>
    <n v="50.099999999999994"/>
    <d v="2025-02-18T00:00:00"/>
    <d v="2025-02-26T00:00:00"/>
    <x v="2"/>
    <x v="0"/>
    <n v="4"/>
    <x v="0"/>
    <x v="20"/>
    <n v="8"/>
    <n v="8"/>
    <x v="2"/>
  </r>
  <r>
    <x v="1240"/>
    <x v="1"/>
    <n v="2"/>
    <n v="77.5"/>
    <n v="155"/>
    <d v="2025-02-18T00:00:00"/>
    <d v="2025-02-19T00:00:00"/>
    <x v="0"/>
    <x v="2"/>
    <n v="5"/>
    <x v="0"/>
    <x v="13"/>
    <n v="1"/>
    <n v="8"/>
    <x v="0"/>
  </r>
  <r>
    <x v="1241"/>
    <x v="2"/>
    <n v="2"/>
    <n v="163"/>
    <n v="326"/>
    <d v="2025-02-18T00:00:00"/>
    <d v="2025-02-24T00:00:00"/>
    <x v="2"/>
    <x v="4"/>
    <n v="4"/>
    <x v="0"/>
    <x v="21"/>
    <n v="6"/>
    <n v="8"/>
    <x v="2"/>
  </r>
  <r>
    <x v="1242"/>
    <x v="4"/>
    <n v="9"/>
    <n v="21.4"/>
    <n v="192.6"/>
    <d v="2025-02-18T00:00:00"/>
    <d v="2025-02-21T00:00:00"/>
    <x v="2"/>
    <x v="0"/>
    <n v="4"/>
    <x v="0"/>
    <x v="51"/>
    <n v="3"/>
    <n v="8"/>
    <x v="2"/>
  </r>
  <r>
    <x v="1243"/>
    <x v="10"/>
    <n v="11"/>
    <n v="31"/>
    <n v="341"/>
    <d v="2025-02-18T00:00:00"/>
    <d v="2025-02-20T00:00:00"/>
    <x v="2"/>
    <x v="3"/>
    <n v="5"/>
    <x v="0"/>
    <x v="1"/>
    <n v="2"/>
    <n v="8"/>
    <x v="2"/>
  </r>
  <r>
    <x v="1244"/>
    <x v="7"/>
    <n v="2"/>
    <n v="34.299999999999997"/>
    <n v="68.599999999999994"/>
    <d v="2025-02-18T00:00:00"/>
    <d v="2025-02-20T00:00:00"/>
    <x v="2"/>
    <x v="0"/>
    <n v="1"/>
    <x v="0"/>
    <x v="1"/>
    <n v="2"/>
    <n v="8"/>
    <x v="2"/>
  </r>
  <r>
    <x v="1245"/>
    <x v="17"/>
    <n v="5"/>
    <n v="48.2"/>
    <n v="241"/>
    <d v="2025-02-18T00:00:00"/>
    <d v="2025-02-19T00:00:00"/>
    <x v="1"/>
    <x v="1"/>
    <n v="3"/>
    <x v="0"/>
    <x v="2"/>
    <n v="1"/>
    <n v="8"/>
    <x v="1"/>
  </r>
  <r>
    <x v="1246"/>
    <x v="10"/>
    <n v="1"/>
    <n v="51.4"/>
    <n v="51.4"/>
    <d v="2025-02-18T00:00:00"/>
    <d v="2025-02-19T00:00:00"/>
    <x v="1"/>
    <x v="0"/>
    <n v="4"/>
    <x v="0"/>
    <x v="3"/>
    <n v="1"/>
    <n v="8"/>
    <x v="1"/>
  </r>
  <r>
    <x v="1247"/>
    <x v="2"/>
    <n v="5"/>
    <n v="117.2"/>
    <n v="586"/>
    <d v="2025-02-18T00:00:00"/>
    <d v="2025-02-21T00:00:00"/>
    <x v="2"/>
    <x v="4"/>
    <n v="2"/>
    <x v="0"/>
    <x v="3"/>
    <n v="3"/>
    <n v="8"/>
    <x v="2"/>
  </r>
  <r>
    <x v="1248"/>
    <x v="8"/>
    <n v="1"/>
    <n v="38.1"/>
    <n v="38.1"/>
    <d v="2025-02-18T00:00:00"/>
    <d v="2025-02-18T00:00:00"/>
    <x v="1"/>
    <x v="4"/>
    <n v="3"/>
    <x v="0"/>
    <x v="3"/>
    <n v="0"/>
    <n v="8"/>
    <x v="1"/>
  </r>
  <r>
    <x v="1249"/>
    <x v="0"/>
    <n v="2"/>
    <n v="44.1"/>
    <n v="88.2"/>
    <d v="2025-02-18T00:00:00"/>
    <d v="2025-02-20T00:00:00"/>
    <x v="2"/>
    <x v="2"/>
    <n v="4"/>
    <x v="0"/>
    <x v="3"/>
    <n v="2"/>
    <n v="8"/>
    <x v="2"/>
  </r>
  <r>
    <x v="1250"/>
    <x v="15"/>
    <n v="4"/>
    <n v="80.5"/>
    <n v="322"/>
    <d v="2025-02-18T00:00:00"/>
    <d v="2025-02-23T00:00:00"/>
    <x v="1"/>
    <x v="0"/>
    <n v="4"/>
    <x v="0"/>
    <x v="3"/>
    <n v="5"/>
    <n v="8"/>
    <x v="1"/>
  </r>
  <r>
    <x v="1251"/>
    <x v="18"/>
    <n v="4"/>
    <n v="33.6"/>
    <n v="134.4"/>
    <d v="2025-02-18T00:00:00"/>
    <d v="2025-02-23T00:00:00"/>
    <x v="0"/>
    <x v="0"/>
    <n v="5"/>
    <x v="0"/>
    <x v="3"/>
    <n v="5"/>
    <n v="8"/>
    <x v="0"/>
  </r>
  <r>
    <x v="1252"/>
    <x v="9"/>
    <n v="9"/>
    <n v="41.8"/>
    <n v="376.2"/>
    <d v="2025-02-18T00:00:00"/>
    <d v="2025-02-19T00:00:00"/>
    <x v="2"/>
    <x v="0"/>
    <n v="3"/>
    <x v="0"/>
    <x v="3"/>
    <n v="1"/>
    <n v="8"/>
    <x v="2"/>
  </r>
  <r>
    <x v="1253"/>
    <x v="1"/>
    <n v="2"/>
    <n v="106.2"/>
    <n v="212.4"/>
    <d v="2025-02-18T00:00:00"/>
    <d v="2025-02-18T00:00:00"/>
    <x v="2"/>
    <x v="4"/>
    <n v="5"/>
    <x v="0"/>
    <x v="3"/>
    <n v="0"/>
    <n v="8"/>
    <x v="2"/>
  </r>
  <r>
    <x v="1254"/>
    <x v="1"/>
    <n v="2"/>
    <n v="52.6"/>
    <n v="105.2"/>
    <d v="2025-02-18T00:00:00"/>
    <d v="2025-02-19T00:00:00"/>
    <x v="2"/>
    <x v="0"/>
    <n v="5"/>
    <x v="0"/>
    <x v="5"/>
    <n v="1"/>
    <n v="8"/>
    <x v="2"/>
  </r>
  <r>
    <x v="1255"/>
    <x v="11"/>
    <n v="7"/>
    <n v="68.5"/>
    <n v="479.5"/>
    <d v="2025-02-18T00:00:00"/>
    <d v="2025-02-19T00:00:00"/>
    <x v="2"/>
    <x v="1"/>
    <n v="4"/>
    <x v="0"/>
    <x v="5"/>
    <n v="1"/>
    <n v="8"/>
    <x v="2"/>
  </r>
  <r>
    <x v="1256"/>
    <x v="1"/>
    <n v="2"/>
    <n v="55.6"/>
    <n v="111.2"/>
    <d v="2025-02-18T00:00:00"/>
    <d v="2025-02-20T00:00:00"/>
    <x v="1"/>
    <x v="1"/>
    <n v="5"/>
    <x v="0"/>
    <x v="6"/>
    <n v="2"/>
    <n v="8"/>
    <x v="1"/>
  </r>
  <r>
    <x v="1257"/>
    <x v="2"/>
    <n v="3"/>
    <n v="134.9"/>
    <n v="404.70000000000005"/>
    <d v="2025-02-18T00:00:00"/>
    <d v="2025-02-19T00:00:00"/>
    <x v="1"/>
    <x v="1"/>
    <n v="3"/>
    <x v="0"/>
    <x v="6"/>
    <n v="1"/>
    <n v="8"/>
    <x v="1"/>
  </r>
  <r>
    <x v="1258"/>
    <x v="10"/>
    <n v="5"/>
    <n v="42.6"/>
    <n v="213"/>
    <d v="2025-02-18T00:00:00"/>
    <d v="2025-02-19T00:00:00"/>
    <x v="1"/>
    <x v="0"/>
    <n v="4"/>
    <x v="0"/>
    <x v="6"/>
    <n v="1"/>
    <n v="8"/>
    <x v="1"/>
  </r>
  <r>
    <x v="1259"/>
    <x v="7"/>
    <n v="5"/>
    <n v="60.6"/>
    <n v="303"/>
    <d v="2025-02-18T00:00:00"/>
    <d v="2025-02-20T00:00:00"/>
    <x v="1"/>
    <x v="4"/>
    <n v="4"/>
    <x v="0"/>
    <x v="6"/>
    <n v="2"/>
    <n v="8"/>
    <x v="1"/>
  </r>
  <r>
    <x v="1260"/>
    <x v="8"/>
    <n v="2"/>
    <n v="43.5"/>
    <n v="87"/>
    <d v="2025-02-18T00:00:00"/>
    <d v="2025-02-19T00:00:00"/>
    <x v="1"/>
    <x v="4"/>
    <n v="4"/>
    <x v="0"/>
    <x v="7"/>
    <n v="1"/>
    <n v="8"/>
    <x v="1"/>
  </r>
  <r>
    <x v="1261"/>
    <x v="2"/>
    <n v="2"/>
    <n v="187.1"/>
    <n v="374.2"/>
    <d v="2025-02-18T00:00:00"/>
    <d v="2025-02-19T00:00:00"/>
    <x v="1"/>
    <x v="1"/>
    <n v="5"/>
    <x v="0"/>
    <x v="8"/>
    <n v="1"/>
    <n v="8"/>
    <x v="1"/>
  </r>
  <r>
    <x v="1262"/>
    <x v="9"/>
    <n v="3"/>
    <n v="32"/>
    <n v="96"/>
    <d v="2025-02-18T00:00:00"/>
    <d v="2025-02-20T00:00:00"/>
    <x v="1"/>
    <x v="0"/>
    <n v="4"/>
    <x v="0"/>
    <x v="8"/>
    <n v="2"/>
    <n v="8"/>
    <x v="1"/>
  </r>
  <r>
    <x v="1263"/>
    <x v="9"/>
    <n v="2"/>
    <n v="110.8"/>
    <n v="221.6"/>
    <d v="2025-02-18T00:00:00"/>
    <d v="2025-02-18T00:00:00"/>
    <x v="1"/>
    <x v="0"/>
    <n v="5"/>
    <x v="0"/>
    <x v="8"/>
    <n v="0"/>
    <n v="8"/>
    <x v="1"/>
  </r>
  <r>
    <x v="1264"/>
    <x v="10"/>
    <n v="13"/>
    <n v="36.1"/>
    <n v="469.3"/>
    <d v="2025-02-18T00:00:00"/>
    <d v="2025-02-21T00:00:00"/>
    <x v="2"/>
    <x v="0"/>
    <n v="3"/>
    <x v="0"/>
    <x v="8"/>
    <n v="3"/>
    <n v="8"/>
    <x v="2"/>
  </r>
  <r>
    <x v="1265"/>
    <x v="0"/>
    <n v="1"/>
    <n v="24.1"/>
    <n v="24.1"/>
    <d v="2025-02-18T00:00:00"/>
    <d v="2025-02-20T00:00:00"/>
    <x v="2"/>
    <x v="4"/>
    <n v="5"/>
    <x v="0"/>
    <x v="8"/>
    <n v="2"/>
    <n v="8"/>
    <x v="2"/>
  </r>
  <r>
    <x v="1266"/>
    <x v="19"/>
    <n v="3"/>
    <n v="30.5"/>
    <n v="91.5"/>
    <d v="2025-02-18T00:00:00"/>
    <d v="2025-02-20T00:00:00"/>
    <x v="1"/>
    <x v="1"/>
    <n v="4"/>
    <x v="0"/>
    <x v="8"/>
    <n v="2"/>
    <n v="8"/>
    <x v="1"/>
  </r>
  <r>
    <x v="1267"/>
    <x v="18"/>
    <n v="6"/>
    <n v="68.3"/>
    <n v="409.79999999999995"/>
    <d v="2025-02-18T00:00:00"/>
    <d v="2025-02-21T00:00:00"/>
    <x v="1"/>
    <x v="0"/>
    <n v="4"/>
    <x v="0"/>
    <x v="8"/>
    <n v="3"/>
    <n v="8"/>
    <x v="1"/>
  </r>
  <r>
    <x v="1268"/>
    <x v="7"/>
    <n v="3"/>
    <n v="43.3"/>
    <n v="129.89999999999998"/>
    <d v="2025-02-18T00:00:00"/>
    <d v="2025-02-22T00:00:00"/>
    <x v="2"/>
    <x v="0"/>
    <n v="4"/>
    <x v="0"/>
    <x v="17"/>
    <n v="4"/>
    <n v="8"/>
    <x v="2"/>
  </r>
  <r>
    <x v="1269"/>
    <x v="3"/>
    <n v="1"/>
    <n v="101.7"/>
    <n v="101.7"/>
    <d v="2025-02-18T00:00:00"/>
    <d v="2025-02-21T00:00:00"/>
    <x v="2"/>
    <x v="0"/>
    <n v="3"/>
    <x v="0"/>
    <x v="17"/>
    <n v="3"/>
    <n v="8"/>
    <x v="2"/>
  </r>
  <r>
    <x v="1270"/>
    <x v="11"/>
    <n v="2"/>
    <n v="54.2"/>
    <n v="108.4"/>
    <d v="2025-02-18T00:00:00"/>
    <d v="2025-02-19T00:00:00"/>
    <x v="2"/>
    <x v="0"/>
    <n v="3"/>
    <x v="0"/>
    <x v="17"/>
    <n v="1"/>
    <n v="8"/>
    <x v="2"/>
  </r>
  <r>
    <x v="1271"/>
    <x v="16"/>
    <n v="2"/>
    <n v="51"/>
    <n v="102"/>
    <d v="2025-02-18T00:00:00"/>
    <d v="2025-02-18T00:00:00"/>
    <x v="1"/>
    <x v="1"/>
    <n v="4"/>
    <x v="0"/>
    <x v="26"/>
    <n v="0"/>
    <n v="8"/>
    <x v="1"/>
  </r>
  <r>
    <x v="1272"/>
    <x v="4"/>
    <n v="2"/>
    <n v="23.1"/>
    <n v="46.2"/>
    <d v="2025-02-18T00:00:00"/>
    <d v="2025-02-21T00:00:00"/>
    <x v="1"/>
    <x v="1"/>
    <n v="4"/>
    <x v="0"/>
    <x v="10"/>
    <n v="3"/>
    <n v="8"/>
    <x v="1"/>
  </r>
  <r>
    <x v="1273"/>
    <x v="12"/>
    <n v="6"/>
    <n v="60.1"/>
    <n v="360.6"/>
    <d v="2025-02-18T00:00:00"/>
    <d v="2025-02-18T00:00:00"/>
    <x v="2"/>
    <x v="3"/>
    <n v="4"/>
    <x v="0"/>
    <x v="11"/>
    <n v="0"/>
    <n v="8"/>
    <x v="2"/>
  </r>
  <r>
    <x v="1274"/>
    <x v="2"/>
    <n v="7"/>
    <n v="87.5"/>
    <n v="612.5"/>
    <d v="2025-02-18T00:00:00"/>
    <d v="2025-02-20T00:00:00"/>
    <x v="2"/>
    <x v="0"/>
    <n v="3"/>
    <x v="0"/>
    <x v="11"/>
    <n v="2"/>
    <n v="8"/>
    <x v="2"/>
  </r>
  <r>
    <x v="1275"/>
    <x v="1"/>
    <n v="3"/>
    <n v="51"/>
    <n v="153"/>
    <d v="2025-02-18T00:00:00"/>
    <d v="2025-02-19T00:00:00"/>
    <x v="2"/>
    <x v="1"/>
    <n v="4"/>
    <x v="0"/>
    <x v="11"/>
    <n v="1"/>
    <n v="8"/>
    <x v="2"/>
  </r>
  <r>
    <x v="1276"/>
    <x v="8"/>
    <n v="4"/>
    <n v="19.2"/>
    <n v="76.8"/>
    <d v="2025-02-18T00:00:00"/>
    <d v="2025-02-20T00:00:00"/>
    <x v="2"/>
    <x v="0"/>
    <n v="4"/>
    <x v="0"/>
    <x v="11"/>
    <n v="2"/>
    <n v="8"/>
    <x v="2"/>
  </r>
  <r>
    <x v="1277"/>
    <x v="5"/>
    <n v="8"/>
    <n v="26.5"/>
    <n v="212"/>
    <d v="2025-02-18T00:00:00"/>
    <d v="2025-02-19T00:00:00"/>
    <x v="0"/>
    <x v="3"/>
    <n v="5"/>
    <x v="0"/>
    <x v="11"/>
    <n v="1"/>
    <n v="8"/>
    <x v="0"/>
  </r>
  <r>
    <x v="1278"/>
    <x v="2"/>
    <n v="2"/>
    <n v="220.3"/>
    <n v="440.6"/>
    <d v="2025-02-18T00:00:00"/>
    <d v="2025-02-19T00:00:00"/>
    <x v="2"/>
    <x v="1"/>
    <n v="2"/>
    <x v="0"/>
    <x v="53"/>
    <n v="1"/>
    <n v="8"/>
    <x v="2"/>
  </r>
  <r>
    <x v="1279"/>
    <x v="8"/>
    <n v="3"/>
    <n v="45.7"/>
    <n v="137.10000000000002"/>
    <d v="2025-02-18T00:00:00"/>
    <d v="2025-02-19T00:00:00"/>
    <x v="2"/>
    <x v="4"/>
    <n v="4"/>
    <x v="0"/>
    <x v="30"/>
    <n v="1"/>
    <n v="8"/>
    <x v="2"/>
  </r>
  <r>
    <x v="1280"/>
    <x v="5"/>
    <n v="5"/>
    <n v="47.1"/>
    <n v="235.5"/>
    <d v="2025-02-18T00:00:00"/>
    <d v="2025-02-22T00:00:00"/>
    <x v="2"/>
    <x v="3"/>
    <n v="4"/>
    <x v="0"/>
    <x v="13"/>
    <n v="4"/>
    <n v="8"/>
    <x v="2"/>
  </r>
  <r>
    <x v="1281"/>
    <x v="1"/>
    <n v="5"/>
    <n v="81.7"/>
    <n v="408.5"/>
    <d v="2025-02-18T00:00:00"/>
    <d v="2025-02-19T00:00:00"/>
    <x v="2"/>
    <x v="0"/>
    <n v="5"/>
    <x v="0"/>
    <x v="21"/>
    <n v="1"/>
    <n v="8"/>
    <x v="2"/>
  </r>
  <r>
    <x v="1282"/>
    <x v="6"/>
    <n v="10"/>
    <n v="97.8"/>
    <n v="978"/>
    <d v="2025-02-18T00:00:00"/>
    <d v="2025-02-18T00:00:00"/>
    <x v="1"/>
    <x v="1"/>
    <n v="3"/>
    <x v="0"/>
    <x v="21"/>
    <n v="0"/>
    <n v="8"/>
    <x v="1"/>
  </r>
  <r>
    <x v="1283"/>
    <x v="6"/>
    <n v="3"/>
    <n v="42.4"/>
    <n v="127.19999999999999"/>
    <d v="2025-02-18T00:00:00"/>
    <d v="2025-02-19T00:00:00"/>
    <x v="2"/>
    <x v="0"/>
    <n v="5"/>
    <x v="0"/>
    <x v="54"/>
    <n v="1"/>
    <n v="8"/>
    <x v="2"/>
  </r>
  <r>
    <x v="1284"/>
    <x v="2"/>
    <n v="10"/>
    <n v="74.5"/>
    <n v="745"/>
    <d v="2025-02-18T00:00:00"/>
    <d v="2025-02-19T00:00:00"/>
    <x v="1"/>
    <x v="2"/>
    <n v="3"/>
    <x v="0"/>
    <x v="1"/>
    <n v="1"/>
    <n v="8"/>
    <x v="1"/>
  </r>
  <r>
    <x v="1285"/>
    <x v="17"/>
    <n v="6"/>
    <n v="47.4"/>
    <n v="284.39999999999998"/>
    <d v="2025-02-18T00:00:00"/>
    <d v="2025-02-19T00:00:00"/>
    <x v="1"/>
    <x v="1"/>
    <n v="4"/>
    <x v="0"/>
    <x v="1"/>
    <n v="1"/>
    <n v="8"/>
    <x v="1"/>
  </r>
  <r>
    <x v="1286"/>
    <x v="14"/>
    <n v="3"/>
    <n v="17.3"/>
    <n v="51.900000000000006"/>
    <d v="2025-02-19T00:00:00"/>
    <d v="2025-02-22T00:00:00"/>
    <x v="1"/>
    <x v="2"/>
    <n v="5"/>
    <x v="0"/>
    <x v="1"/>
    <n v="3"/>
    <n v="8"/>
    <x v="1"/>
  </r>
  <r>
    <x v="1287"/>
    <x v="12"/>
    <n v="4"/>
    <n v="77.900000000000006"/>
    <n v="311.60000000000002"/>
    <d v="2025-02-19T00:00:00"/>
    <d v="2025-02-20T00:00:00"/>
    <x v="1"/>
    <x v="1"/>
    <n v="4"/>
    <x v="0"/>
    <x v="2"/>
    <n v="1"/>
    <n v="8"/>
    <x v="1"/>
  </r>
  <r>
    <x v="1288"/>
    <x v="8"/>
    <n v="1"/>
    <n v="29.1"/>
    <n v="29.1"/>
    <d v="2025-02-19T00:00:00"/>
    <d v="2025-02-22T00:00:00"/>
    <x v="1"/>
    <x v="0"/>
    <n v="5"/>
    <x v="0"/>
    <x v="50"/>
    <n v="3"/>
    <n v="8"/>
    <x v="1"/>
  </r>
  <r>
    <x v="1289"/>
    <x v="8"/>
    <n v="1"/>
    <n v="49"/>
    <n v="49"/>
    <d v="2025-02-19T00:00:00"/>
    <d v="2025-02-20T00:00:00"/>
    <x v="1"/>
    <x v="1"/>
    <n v="4"/>
    <x v="0"/>
    <x v="3"/>
    <n v="1"/>
    <n v="8"/>
    <x v="1"/>
  </r>
  <r>
    <x v="1290"/>
    <x v="8"/>
    <n v="6"/>
    <n v="21.1"/>
    <n v="126.60000000000001"/>
    <d v="2025-02-19T00:00:00"/>
    <d v="2025-02-26T00:00:00"/>
    <x v="1"/>
    <x v="0"/>
    <n v="5"/>
    <x v="0"/>
    <x v="3"/>
    <n v="7"/>
    <n v="8"/>
    <x v="1"/>
  </r>
  <r>
    <x v="1291"/>
    <x v="4"/>
    <n v="19"/>
    <n v="36.9"/>
    <n v="701.1"/>
    <d v="2025-02-19T00:00:00"/>
    <d v="2025-02-19T00:00:00"/>
    <x v="2"/>
    <x v="0"/>
    <n v="4"/>
    <x v="0"/>
    <x v="3"/>
    <n v="0"/>
    <n v="8"/>
    <x v="2"/>
  </r>
  <r>
    <x v="1292"/>
    <x v="1"/>
    <n v="10"/>
    <n v="92.6"/>
    <n v="926"/>
    <d v="2025-02-19T00:00:00"/>
    <d v="2025-02-24T00:00:00"/>
    <x v="1"/>
    <x v="4"/>
    <n v="5"/>
    <x v="0"/>
    <x v="3"/>
    <n v="5"/>
    <n v="8"/>
    <x v="1"/>
  </r>
  <r>
    <x v="1293"/>
    <x v="10"/>
    <n v="2"/>
    <n v="38"/>
    <n v="76"/>
    <d v="2025-02-19T00:00:00"/>
    <d v="2025-02-20T00:00:00"/>
    <x v="1"/>
    <x v="1"/>
    <n v="3"/>
    <x v="0"/>
    <x v="3"/>
    <n v="1"/>
    <n v="8"/>
    <x v="1"/>
  </r>
  <r>
    <x v="1294"/>
    <x v="5"/>
    <n v="3"/>
    <n v="54.8"/>
    <n v="164.39999999999998"/>
    <d v="2025-02-19T00:00:00"/>
    <d v="2025-02-23T00:00:00"/>
    <x v="0"/>
    <x v="0"/>
    <n v="3"/>
    <x v="0"/>
    <x v="3"/>
    <n v="4"/>
    <n v="8"/>
    <x v="0"/>
  </r>
  <r>
    <x v="1295"/>
    <x v="10"/>
    <n v="12"/>
    <n v="56.8"/>
    <n v="681.59999999999991"/>
    <d v="2025-02-19T00:00:00"/>
    <d v="2025-02-21T00:00:00"/>
    <x v="1"/>
    <x v="1"/>
    <n v="4"/>
    <x v="0"/>
    <x v="3"/>
    <n v="2"/>
    <n v="8"/>
    <x v="1"/>
  </r>
  <r>
    <x v="1296"/>
    <x v="11"/>
    <n v="33"/>
    <n v="47.2"/>
    <n v="1557.6000000000001"/>
    <d v="2025-02-19T00:00:00"/>
    <d v="2025-02-22T00:00:00"/>
    <x v="2"/>
    <x v="1"/>
    <n v="4"/>
    <x v="0"/>
    <x v="3"/>
    <n v="3"/>
    <n v="8"/>
    <x v="2"/>
  </r>
  <r>
    <x v="1297"/>
    <x v="7"/>
    <n v="6"/>
    <n v="45.1"/>
    <n v="270.60000000000002"/>
    <d v="2025-02-19T00:00:00"/>
    <d v="2025-02-20T00:00:00"/>
    <x v="2"/>
    <x v="2"/>
    <n v="4"/>
    <x v="0"/>
    <x v="43"/>
    <n v="1"/>
    <n v="8"/>
    <x v="2"/>
  </r>
  <r>
    <x v="1298"/>
    <x v="4"/>
    <n v="12"/>
    <n v="25.2"/>
    <n v="302.39999999999998"/>
    <d v="2025-02-19T00:00:00"/>
    <d v="2025-02-24T00:00:00"/>
    <x v="2"/>
    <x v="2"/>
    <n v="4"/>
    <x v="0"/>
    <x v="16"/>
    <n v="5"/>
    <n v="8"/>
    <x v="2"/>
  </r>
  <r>
    <x v="1299"/>
    <x v="8"/>
    <n v="1"/>
    <n v="22"/>
    <n v="22"/>
    <d v="2025-02-19T00:00:00"/>
    <d v="2025-02-20T00:00:00"/>
    <x v="2"/>
    <x v="0"/>
    <n v="4"/>
    <x v="0"/>
    <x v="5"/>
    <n v="1"/>
    <n v="8"/>
    <x v="2"/>
  </r>
  <r>
    <x v="1300"/>
    <x v="6"/>
    <n v="2"/>
    <n v="42.2"/>
    <n v="84.4"/>
    <d v="2025-02-19T00:00:00"/>
    <d v="2025-02-20T00:00:00"/>
    <x v="2"/>
    <x v="1"/>
    <n v="3"/>
    <x v="0"/>
    <x v="23"/>
    <n v="1"/>
    <n v="8"/>
    <x v="2"/>
  </r>
  <r>
    <x v="1301"/>
    <x v="13"/>
    <n v="3"/>
    <n v="20.5"/>
    <n v="61.5"/>
    <d v="2025-02-19T00:00:00"/>
    <d v="2025-02-20T00:00:00"/>
    <x v="1"/>
    <x v="0"/>
    <n v="3"/>
    <x v="0"/>
    <x v="6"/>
    <n v="1"/>
    <n v="8"/>
    <x v="1"/>
  </r>
  <r>
    <x v="1302"/>
    <x v="2"/>
    <n v="1"/>
    <n v="190.4"/>
    <n v="190.4"/>
    <d v="2025-02-19T00:00:00"/>
    <d v="2025-02-24T00:00:00"/>
    <x v="1"/>
    <x v="1"/>
    <n v="2"/>
    <x v="0"/>
    <x v="6"/>
    <n v="5"/>
    <n v="8"/>
    <x v="1"/>
  </r>
  <r>
    <x v="1303"/>
    <x v="2"/>
    <n v="1"/>
    <n v="121.9"/>
    <n v="121.9"/>
    <d v="2025-02-19T00:00:00"/>
    <d v="2025-02-21T00:00:00"/>
    <x v="2"/>
    <x v="1"/>
    <n v="5"/>
    <x v="0"/>
    <x v="6"/>
    <n v="2"/>
    <n v="8"/>
    <x v="2"/>
  </r>
  <r>
    <x v="1304"/>
    <x v="2"/>
    <n v="6"/>
    <n v="149.19999999999999"/>
    <n v="895.19999999999993"/>
    <d v="2025-02-19T00:00:00"/>
    <d v="2025-02-20T00:00:00"/>
    <x v="2"/>
    <x v="2"/>
    <n v="5"/>
    <x v="0"/>
    <x v="7"/>
    <n v="1"/>
    <n v="8"/>
    <x v="2"/>
  </r>
  <r>
    <x v="1305"/>
    <x v="2"/>
    <n v="1"/>
    <n v="54.1"/>
    <n v="54.1"/>
    <d v="2025-02-19T00:00:00"/>
    <d v="2025-02-28T00:00:00"/>
    <x v="2"/>
    <x v="2"/>
    <n v="5"/>
    <x v="0"/>
    <x v="7"/>
    <n v="9"/>
    <n v="8"/>
    <x v="2"/>
  </r>
  <r>
    <x v="1306"/>
    <x v="5"/>
    <n v="2"/>
    <n v="27.4"/>
    <n v="54.8"/>
    <d v="2025-02-19T00:00:00"/>
    <d v="2025-02-21T00:00:00"/>
    <x v="1"/>
    <x v="1"/>
    <n v="4"/>
    <x v="0"/>
    <x v="8"/>
    <n v="2"/>
    <n v="8"/>
    <x v="1"/>
  </r>
  <r>
    <x v="1307"/>
    <x v="0"/>
    <n v="13"/>
    <n v="30.4"/>
    <n v="395.2"/>
    <d v="2025-02-19T00:00:00"/>
    <d v="2025-02-20T00:00:00"/>
    <x v="2"/>
    <x v="0"/>
    <n v="5"/>
    <x v="0"/>
    <x v="8"/>
    <n v="1"/>
    <n v="8"/>
    <x v="2"/>
  </r>
  <r>
    <x v="1308"/>
    <x v="12"/>
    <n v="3"/>
    <n v="46.2"/>
    <n v="138.60000000000002"/>
    <d v="2025-02-19T00:00:00"/>
    <d v="2025-02-21T00:00:00"/>
    <x v="1"/>
    <x v="2"/>
    <n v="3"/>
    <x v="0"/>
    <x v="17"/>
    <n v="2"/>
    <n v="8"/>
    <x v="1"/>
  </r>
  <r>
    <x v="1309"/>
    <x v="7"/>
    <n v="8"/>
    <n v="78.599999999999994"/>
    <n v="628.79999999999995"/>
    <d v="2025-02-19T00:00:00"/>
    <d v="2025-02-23T00:00:00"/>
    <x v="1"/>
    <x v="3"/>
    <n v="4"/>
    <x v="0"/>
    <x v="17"/>
    <n v="4"/>
    <n v="8"/>
    <x v="1"/>
  </r>
  <r>
    <x v="1310"/>
    <x v="17"/>
    <n v="10"/>
    <n v="25.9"/>
    <n v="259"/>
    <d v="2025-02-19T00:00:00"/>
    <d v="2025-02-25T00:00:00"/>
    <x v="1"/>
    <x v="4"/>
    <n v="4"/>
    <x v="0"/>
    <x v="9"/>
    <n v="6"/>
    <n v="8"/>
    <x v="1"/>
  </r>
  <r>
    <x v="1311"/>
    <x v="6"/>
    <n v="1"/>
    <n v="134.80000000000001"/>
    <n v="134.80000000000001"/>
    <d v="2025-02-19T00:00:00"/>
    <d v="2025-02-21T00:00:00"/>
    <x v="1"/>
    <x v="2"/>
    <n v="5"/>
    <x v="0"/>
    <x v="9"/>
    <n v="2"/>
    <n v="8"/>
    <x v="1"/>
  </r>
  <r>
    <x v="1312"/>
    <x v="15"/>
    <n v="5"/>
    <n v="43.1"/>
    <n v="215.5"/>
    <d v="2025-02-19T00:00:00"/>
    <d v="2025-02-21T00:00:00"/>
    <x v="2"/>
    <x v="0"/>
    <n v="4"/>
    <x v="0"/>
    <x v="11"/>
    <n v="2"/>
    <n v="8"/>
    <x v="2"/>
  </r>
  <r>
    <x v="1313"/>
    <x v="2"/>
    <n v="2"/>
    <n v="215.6"/>
    <n v="431.2"/>
    <d v="2025-02-19T00:00:00"/>
    <d v="2025-02-20T00:00:00"/>
    <x v="2"/>
    <x v="2"/>
    <n v="4"/>
    <x v="0"/>
    <x v="18"/>
    <n v="1"/>
    <n v="8"/>
    <x v="2"/>
  </r>
  <r>
    <x v="1314"/>
    <x v="6"/>
    <n v="2"/>
    <n v="80.7"/>
    <n v="161.4"/>
    <d v="2025-02-19T00:00:00"/>
    <d v="2025-02-22T00:00:00"/>
    <x v="2"/>
    <x v="3"/>
    <n v="4"/>
    <x v="0"/>
    <x v="18"/>
    <n v="3"/>
    <n v="8"/>
    <x v="2"/>
  </r>
  <r>
    <x v="1315"/>
    <x v="10"/>
    <n v="7"/>
    <n v="20.6"/>
    <n v="144.20000000000002"/>
    <d v="2025-02-19T00:00:00"/>
    <d v="2025-02-24T00:00:00"/>
    <x v="0"/>
    <x v="2"/>
    <n v="3"/>
    <x v="0"/>
    <x v="19"/>
    <n v="5"/>
    <n v="8"/>
    <x v="0"/>
  </r>
  <r>
    <x v="1316"/>
    <x v="12"/>
    <n v="3"/>
    <n v="37.1"/>
    <n v="111.30000000000001"/>
    <d v="2025-02-19T00:00:00"/>
    <d v="2025-02-20T00:00:00"/>
    <x v="2"/>
    <x v="0"/>
    <n v="4"/>
    <x v="0"/>
    <x v="52"/>
    <n v="1"/>
    <n v="8"/>
    <x v="2"/>
  </r>
  <r>
    <x v="1317"/>
    <x v="12"/>
    <n v="1"/>
    <n v="104.8"/>
    <n v="104.8"/>
    <d v="2025-02-20T00:00:00"/>
    <d v="2025-02-22T00:00:00"/>
    <x v="2"/>
    <x v="0"/>
    <n v="4"/>
    <x v="0"/>
    <x v="13"/>
    <n v="2"/>
    <n v="8"/>
    <x v="2"/>
  </r>
  <r>
    <x v="1318"/>
    <x v="8"/>
    <n v="2"/>
    <n v="59"/>
    <n v="118"/>
    <d v="2025-02-20T00:00:00"/>
    <d v="2025-02-21T00:00:00"/>
    <x v="1"/>
    <x v="1"/>
    <n v="4"/>
    <x v="0"/>
    <x v="21"/>
    <n v="1"/>
    <n v="8"/>
    <x v="1"/>
  </r>
  <r>
    <x v="1319"/>
    <x v="8"/>
    <n v="2"/>
    <n v="32.299999999999997"/>
    <n v="64.599999999999994"/>
    <d v="2025-02-20T00:00:00"/>
    <d v="2025-02-21T00:00:00"/>
    <x v="1"/>
    <x v="0"/>
    <n v="5"/>
    <x v="0"/>
    <x v="21"/>
    <n v="1"/>
    <n v="8"/>
    <x v="1"/>
  </r>
  <r>
    <x v="1320"/>
    <x v="8"/>
    <n v="4"/>
    <n v="28.9"/>
    <n v="115.6"/>
    <d v="2025-02-20T00:00:00"/>
    <d v="2025-02-27T00:00:00"/>
    <x v="1"/>
    <x v="0"/>
    <n v="4"/>
    <x v="0"/>
    <x v="1"/>
    <n v="7"/>
    <n v="8"/>
    <x v="1"/>
  </r>
  <r>
    <x v="1321"/>
    <x v="0"/>
    <n v="2"/>
    <n v="29.6"/>
    <n v="59.2"/>
    <d v="2025-02-20T00:00:00"/>
    <d v="2025-02-22T00:00:00"/>
    <x v="1"/>
    <x v="0"/>
    <n v="4"/>
    <x v="0"/>
    <x v="1"/>
    <n v="2"/>
    <n v="8"/>
    <x v="1"/>
  </r>
  <r>
    <x v="1322"/>
    <x v="0"/>
    <n v="5"/>
    <n v="29.4"/>
    <n v="147"/>
    <d v="2025-02-20T00:00:00"/>
    <d v="2025-02-23T00:00:00"/>
    <x v="2"/>
    <x v="0"/>
    <n v="4"/>
    <x v="0"/>
    <x v="1"/>
    <n v="3"/>
    <n v="8"/>
    <x v="2"/>
  </r>
  <r>
    <x v="1323"/>
    <x v="1"/>
    <n v="2"/>
    <n v="40.6"/>
    <n v="81.2"/>
    <d v="2025-02-20T00:00:00"/>
    <d v="2025-02-21T00:00:00"/>
    <x v="1"/>
    <x v="0"/>
    <n v="2"/>
    <x v="0"/>
    <x v="2"/>
    <n v="1"/>
    <n v="8"/>
    <x v="1"/>
  </r>
  <r>
    <x v="1324"/>
    <x v="0"/>
    <n v="3"/>
    <n v="32.5"/>
    <n v="97.5"/>
    <d v="2025-02-20T00:00:00"/>
    <d v="2025-02-21T00:00:00"/>
    <x v="1"/>
    <x v="3"/>
    <n v="5"/>
    <x v="0"/>
    <x v="22"/>
    <n v="1"/>
    <n v="8"/>
    <x v="1"/>
  </r>
  <r>
    <x v="1325"/>
    <x v="15"/>
    <n v="1"/>
    <n v="26.2"/>
    <n v="26.2"/>
    <d v="2025-02-20T00:00:00"/>
    <d v="2025-02-22T00:00:00"/>
    <x v="1"/>
    <x v="2"/>
    <n v="4"/>
    <x v="0"/>
    <x v="55"/>
    <n v="2"/>
    <n v="8"/>
    <x v="1"/>
  </r>
  <r>
    <x v="1326"/>
    <x v="10"/>
    <n v="30"/>
    <n v="44"/>
    <n v="1320"/>
    <d v="2025-02-20T00:00:00"/>
    <d v="2025-02-26T00:00:00"/>
    <x v="1"/>
    <x v="4"/>
    <n v="4"/>
    <x v="0"/>
    <x v="3"/>
    <n v="6"/>
    <n v="8"/>
    <x v="1"/>
  </r>
  <r>
    <x v="1327"/>
    <x v="7"/>
    <n v="4"/>
    <n v="65.599999999999994"/>
    <n v="262.39999999999998"/>
    <d v="2025-02-20T00:00:00"/>
    <d v="2025-02-21T00:00:00"/>
    <x v="2"/>
    <x v="1"/>
    <n v="3"/>
    <x v="0"/>
    <x v="3"/>
    <n v="1"/>
    <n v="8"/>
    <x v="2"/>
  </r>
  <r>
    <x v="1328"/>
    <x v="5"/>
    <n v="12"/>
    <n v="32.6"/>
    <n v="391.20000000000005"/>
    <d v="2025-02-20T00:00:00"/>
    <d v="2025-02-21T00:00:00"/>
    <x v="1"/>
    <x v="4"/>
    <n v="4"/>
    <x v="0"/>
    <x v="3"/>
    <n v="1"/>
    <n v="8"/>
    <x v="1"/>
  </r>
  <r>
    <x v="1329"/>
    <x v="16"/>
    <n v="2"/>
    <n v="88.7"/>
    <n v="177.4"/>
    <d v="2025-02-20T00:00:00"/>
    <d v="2025-02-21T00:00:00"/>
    <x v="0"/>
    <x v="3"/>
    <n v="5"/>
    <x v="0"/>
    <x v="3"/>
    <n v="1"/>
    <n v="8"/>
    <x v="0"/>
  </r>
  <r>
    <x v="1330"/>
    <x v="4"/>
    <n v="2"/>
    <n v="21.3"/>
    <n v="42.6"/>
    <d v="2025-02-20T00:00:00"/>
    <d v="2025-02-21T00:00:00"/>
    <x v="1"/>
    <x v="0"/>
    <n v="4"/>
    <x v="0"/>
    <x v="3"/>
    <n v="1"/>
    <n v="8"/>
    <x v="1"/>
  </r>
  <r>
    <x v="1331"/>
    <x v="4"/>
    <n v="6"/>
    <n v="50.6"/>
    <n v="303.60000000000002"/>
    <d v="2025-02-20T00:00:00"/>
    <d v="2025-02-24T00:00:00"/>
    <x v="2"/>
    <x v="2"/>
    <n v="4"/>
    <x v="0"/>
    <x v="3"/>
    <n v="4"/>
    <n v="8"/>
    <x v="2"/>
  </r>
  <r>
    <x v="1332"/>
    <x v="9"/>
    <n v="21"/>
    <n v="86.9"/>
    <n v="1824.9"/>
    <d v="2025-02-20T00:00:00"/>
    <d v="2025-02-23T00:00:00"/>
    <x v="2"/>
    <x v="0"/>
    <n v="3"/>
    <x v="0"/>
    <x v="3"/>
    <n v="3"/>
    <n v="8"/>
    <x v="2"/>
  </r>
  <r>
    <x v="1333"/>
    <x v="11"/>
    <n v="3"/>
    <n v="31.8"/>
    <n v="95.4"/>
    <d v="2025-02-20T00:00:00"/>
    <d v="2025-02-22T00:00:00"/>
    <x v="1"/>
    <x v="0"/>
    <n v="5"/>
    <x v="0"/>
    <x v="3"/>
    <n v="2"/>
    <n v="8"/>
    <x v="1"/>
  </r>
  <r>
    <x v="1334"/>
    <x v="8"/>
    <n v="1"/>
    <n v="19"/>
    <n v="19"/>
    <d v="2025-02-20T00:00:00"/>
    <d v="2025-02-21T00:00:00"/>
    <x v="2"/>
    <x v="0"/>
    <n v="5"/>
    <x v="0"/>
    <x v="3"/>
    <n v="1"/>
    <n v="8"/>
    <x v="2"/>
  </r>
  <r>
    <x v="1335"/>
    <x v="5"/>
    <n v="1"/>
    <n v="54.5"/>
    <n v="54.5"/>
    <d v="2025-02-20T00:00:00"/>
    <d v="2025-02-22T00:00:00"/>
    <x v="1"/>
    <x v="0"/>
    <n v="4"/>
    <x v="0"/>
    <x v="3"/>
    <n v="2"/>
    <n v="8"/>
    <x v="1"/>
  </r>
  <r>
    <x v="1336"/>
    <x v="9"/>
    <n v="5"/>
    <n v="68.900000000000006"/>
    <n v="344.5"/>
    <d v="2025-02-20T00:00:00"/>
    <d v="2025-02-22T00:00:00"/>
    <x v="1"/>
    <x v="4"/>
    <n v="3"/>
    <x v="0"/>
    <x v="3"/>
    <n v="2"/>
    <n v="8"/>
    <x v="1"/>
  </r>
  <r>
    <x v="1337"/>
    <x v="6"/>
    <n v="3"/>
    <n v="84"/>
    <n v="252"/>
    <d v="2025-02-20T00:00:00"/>
    <d v="2025-02-21T00:00:00"/>
    <x v="1"/>
    <x v="1"/>
    <n v="2"/>
    <x v="0"/>
    <x v="16"/>
    <n v="1"/>
    <n v="8"/>
    <x v="1"/>
  </r>
  <r>
    <x v="1338"/>
    <x v="15"/>
    <n v="8"/>
    <n v="23.1"/>
    <n v="184.8"/>
    <d v="2025-02-20T00:00:00"/>
    <d v="2025-02-25T00:00:00"/>
    <x v="1"/>
    <x v="0"/>
    <n v="5"/>
    <x v="0"/>
    <x v="23"/>
    <n v="5"/>
    <n v="8"/>
    <x v="1"/>
  </r>
  <r>
    <x v="1339"/>
    <x v="7"/>
    <n v="2"/>
    <n v="62.4"/>
    <n v="124.8"/>
    <d v="2025-02-20T00:00:00"/>
    <d v="2025-02-21T00:00:00"/>
    <x v="2"/>
    <x v="0"/>
    <n v="3"/>
    <x v="0"/>
    <x v="6"/>
    <n v="1"/>
    <n v="8"/>
    <x v="2"/>
  </r>
  <r>
    <x v="1340"/>
    <x v="6"/>
    <n v="12"/>
    <n v="40.700000000000003"/>
    <n v="488.40000000000003"/>
    <d v="2025-02-20T00:00:00"/>
    <d v="2025-02-22T00:00:00"/>
    <x v="1"/>
    <x v="1"/>
    <n v="5"/>
    <x v="0"/>
    <x v="6"/>
    <n v="2"/>
    <n v="8"/>
    <x v="1"/>
  </r>
  <r>
    <x v="1341"/>
    <x v="6"/>
    <n v="1"/>
    <n v="49.6"/>
    <n v="49.6"/>
    <d v="2025-02-20T00:00:00"/>
    <d v="2025-02-23T00:00:00"/>
    <x v="1"/>
    <x v="2"/>
    <n v="4"/>
    <x v="0"/>
    <x v="7"/>
    <n v="3"/>
    <n v="8"/>
    <x v="1"/>
  </r>
  <r>
    <x v="1342"/>
    <x v="7"/>
    <n v="45"/>
    <n v="66.599999999999994"/>
    <n v="2996.9999999999995"/>
    <d v="2025-02-20T00:00:00"/>
    <d v="2025-02-23T00:00:00"/>
    <x v="1"/>
    <x v="2"/>
    <n v="4"/>
    <x v="0"/>
    <x v="8"/>
    <n v="3"/>
    <n v="8"/>
    <x v="1"/>
  </r>
  <r>
    <x v="1343"/>
    <x v="8"/>
    <n v="3"/>
    <n v="26.4"/>
    <n v="79.199999999999989"/>
    <d v="2025-02-20T00:00:00"/>
    <d v="2025-02-21T00:00:00"/>
    <x v="2"/>
    <x v="1"/>
    <n v="3"/>
    <x v="0"/>
    <x v="8"/>
    <n v="1"/>
    <n v="8"/>
    <x v="2"/>
  </r>
  <r>
    <x v="1344"/>
    <x v="0"/>
    <n v="2"/>
    <n v="17.2"/>
    <n v="34.4"/>
    <d v="2025-02-20T00:00:00"/>
    <d v="2025-02-23T00:00:00"/>
    <x v="1"/>
    <x v="2"/>
    <n v="3"/>
    <x v="0"/>
    <x v="8"/>
    <n v="3"/>
    <n v="8"/>
    <x v="1"/>
  </r>
  <r>
    <x v="1345"/>
    <x v="5"/>
    <n v="8"/>
    <n v="58.1"/>
    <n v="464.8"/>
    <d v="2025-02-20T00:00:00"/>
    <d v="2025-02-23T00:00:00"/>
    <x v="2"/>
    <x v="4"/>
    <n v="4"/>
    <x v="0"/>
    <x v="8"/>
    <n v="3"/>
    <n v="8"/>
    <x v="2"/>
  </r>
  <r>
    <x v="1346"/>
    <x v="15"/>
    <n v="4"/>
    <n v="31.5"/>
    <n v="126"/>
    <d v="2025-02-20T00:00:00"/>
    <d v="2025-02-23T00:00:00"/>
    <x v="2"/>
    <x v="4"/>
    <n v="2"/>
    <x v="0"/>
    <x v="8"/>
    <n v="3"/>
    <n v="8"/>
    <x v="2"/>
  </r>
  <r>
    <x v="1347"/>
    <x v="0"/>
    <n v="1"/>
    <n v="27.1"/>
    <n v="27.1"/>
    <d v="2025-02-20T00:00:00"/>
    <d v="2025-02-22T00:00:00"/>
    <x v="2"/>
    <x v="0"/>
    <n v="3"/>
    <x v="0"/>
    <x v="17"/>
    <n v="2"/>
    <n v="8"/>
    <x v="2"/>
  </r>
  <r>
    <x v="1348"/>
    <x v="18"/>
    <n v="4"/>
    <n v="28.5"/>
    <n v="114"/>
    <d v="2025-02-20T00:00:00"/>
    <d v="2025-02-22T00:00:00"/>
    <x v="1"/>
    <x v="1"/>
    <n v="5"/>
    <x v="0"/>
    <x v="9"/>
    <n v="2"/>
    <n v="8"/>
    <x v="1"/>
  </r>
  <r>
    <x v="1349"/>
    <x v="10"/>
    <n v="1"/>
    <n v="40.5"/>
    <n v="40.5"/>
    <d v="2025-02-21T00:00:00"/>
    <d v="2025-02-23T00:00:00"/>
    <x v="3"/>
    <x v="2"/>
    <n v="4"/>
    <x v="0"/>
    <x v="9"/>
    <n v="2"/>
    <n v="8"/>
    <x v="3"/>
  </r>
  <r>
    <x v="1350"/>
    <x v="2"/>
    <n v="3"/>
    <n v="77.900000000000006"/>
    <n v="233.70000000000002"/>
    <d v="2025-02-21T00:00:00"/>
    <d v="2025-02-25T00:00:00"/>
    <x v="2"/>
    <x v="1"/>
    <n v="5"/>
    <x v="0"/>
    <x v="19"/>
    <n v="4"/>
    <n v="8"/>
    <x v="2"/>
  </r>
  <r>
    <x v="1351"/>
    <x v="18"/>
    <n v="4"/>
    <n v="37.1"/>
    <n v="148.4"/>
    <d v="2025-02-21T00:00:00"/>
    <d v="2025-02-23T00:00:00"/>
    <x v="1"/>
    <x v="4"/>
    <n v="5"/>
    <x v="0"/>
    <x v="19"/>
    <n v="2"/>
    <n v="8"/>
    <x v="1"/>
  </r>
  <r>
    <x v="1352"/>
    <x v="16"/>
    <n v="3"/>
    <n v="51.6"/>
    <n v="154.80000000000001"/>
    <d v="2025-02-21T00:00:00"/>
    <d v="2025-03-01T00:00:00"/>
    <x v="2"/>
    <x v="0"/>
    <n v="2"/>
    <x v="0"/>
    <x v="19"/>
    <n v="8"/>
    <n v="8"/>
    <x v="2"/>
  </r>
  <r>
    <x v="1353"/>
    <x v="7"/>
    <n v="3"/>
    <n v="98"/>
    <n v="294"/>
    <d v="2025-02-21T00:00:00"/>
    <d v="2025-02-22T00:00:00"/>
    <x v="1"/>
    <x v="1"/>
    <n v="3"/>
    <x v="0"/>
    <x v="19"/>
    <n v="1"/>
    <n v="8"/>
    <x v="1"/>
  </r>
  <r>
    <x v="1354"/>
    <x v="6"/>
    <n v="7"/>
    <n v="41.4"/>
    <n v="289.8"/>
    <d v="2025-02-21T00:00:00"/>
    <d v="2025-02-22T00:00:00"/>
    <x v="1"/>
    <x v="1"/>
    <n v="4"/>
    <x v="0"/>
    <x v="20"/>
    <n v="1"/>
    <n v="8"/>
    <x v="1"/>
  </r>
  <r>
    <x v="1355"/>
    <x v="11"/>
    <n v="8"/>
    <n v="34"/>
    <n v="272"/>
    <d v="2025-02-21T00:00:00"/>
    <d v="2025-02-26T00:00:00"/>
    <x v="2"/>
    <x v="0"/>
    <n v="5"/>
    <x v="0"/>
    <x v="52"/>
    <n v="5"/>
    <n v="8"/>
    <x v="2"/>
  </r>
  <r>
    <x v="1356"/>
    <x v="6"/>
    <n v="1"/>
    <n v="66.3"/>
    <n v="66.3"/>
    <d v="2025-02-21T00:00:00"/>
    <d v="2025-02-22T00:00:00"/>
    <x v="2"/>
    <x v="1"/>
    <n v="4"/>
    <x v="0"/>
    <x v="13"/>
    <n v="1"/>
    <n v="8"/>
    <x v="2"/>
  </r>
  <r>
    <x v="1357"/>
    <x v="7"/>
    <n v="1"/>
    <n v="33.5"/>
    <n v="33.5"/>
    <d v="2025-02-21T00:00:00"/>
    <d v="2025-02-25T00:00:00"/>
    <x v="1"/>
    <x v="2"/>
    <n v="4"/>
    <x v="0"/>
    <x v="13"/>
    <n v="4"/>
    <n v="8"/>
    <x v="1"/>
  </r>
  <r>
    <x v="1358"/>
    <x v="12"/>
    <n v="2"/>
    <n v="70.8"/>
    <n v="141.6"/>
    <d v="2025-02-21T00:00:00"/>
    <d v="2025-02-22T00:00:00"/>
    <x v="0"/>
    <x v="0"/>
    <n v="4"/>
    <x v="0"/>
    <x v="28"/>
    <n v="1"/>
    <n v="8"/>
    <x v="0"/>
  </r>
  <r>
    <x v="1359"/>
    <x v="6"/>
    <n v="2"/>
    <n v="127.6"/>
    <n v="255.2"/>
    <d v="2025-02-21T00:00:00"/>
    <d v="2025-02-22T00:00:00"/>
    <x v="1"/>
    <x v="0"/>
    <n v="4"/>
    <x v="0"/>
    <x v="21"/>
    <n v="1"/>
    <n v="8"/>
    <x v="1"/>
  </r>
  <r>
    <x v="1360"/>
    <x v="6"/>
    <n v="3"/>
    <n v="95.9"/>
    <n v="287.70000000000005"/>
    <d v="2025-02-21T00:00:00"/>
    <d v="2025-02-22T00:00:00"/>
    <x v="2"/>
    <x v="1"/>
    <n v="3"/>
    <x v="0"/>
    <x v="21"/>
    <n v="1"/>
    <n v="8"/>
    <x v="2"/>
  </r>
  <r>
    <x v="1361"/>
    <x v="2"/>
    <n v="2"/>
    <n v="78.099999999999994"/>
    <n v="156.19999999999999"/>
    <d v="2025-02-21T00:00:00"/>
    <d v="2025-02-22T00:00:00"/>
    <x v="1"/>
    <x v="0"/>
    <n v="4"/>
    <x v="0"/>
    <x v="1"/>
    <n v="1"/>
    <n v="8"/>
    <x v="1"/>
  </r>
  <r>
    <x v="1362"/>
    <x v="13"/>
    <n v="2"/>
    <n v="43.2"/>
    <n v="86.4"/>
    <d v="2025-02-21T00:00:00"/>
    <d v="2025-02-22T00:00:00"/>
    <x v="0"/>
    <x v="1"/>
    <n v="3"/>
    <x v="0"/>
    <x v="1"/>
    <n v="1"/>
    <n v="8"/>
    <x v="0"/>
  </r>
  <r>
    <x v="1363"/>
    <x v="8"/>
    <n v="4"/>
    <n v="28.4"/>
    <n v="113.6"/>
    <d v="2025-02-21T00:00:00"/>
    <d v="2025-02-27T00:00:00"/>
    <x v="1"/>
    <x v="2"/>
    <n v="4"/>
    <x v="0"/>
    <x v="3"/>
    <n v="6"/>
    <n v="8"/>
    <x v="1"/>
  </r>
  <r>
    <x v="1364"/>
    <x v="2"/>
    <n v="2"/>
    <n v="81.7"/>
    <n v="163.4"/>
    <d v="2025-02-21T00:00:00"/>
    <d v="2025-02-21T00:00:00"/>
    <x v="1"/>
    <x v="0"/>
    <n v="4"/>
    <x v="0"/>
    <x v="3"/>
    <n v="0"/>
    <n v="8"/>
    <x v="1"/>
  </r>
  <r>
    <x v="1365"/>
    <x v="18"/>
    <n v="2"/>
    <n v="56.7"/>
    <n v="113.4"/>
    <d v="2025-02-21T00:00:00"/>
    <d v="2025-02-23T00:00:00"/>
    <x v="0"/>
    <x v="0"/>
    <n v="5"/>
    <x v="0"/>
    <x v="3"/>
    <n v="2"/>
    <n v="8"/>
    <x v="0"/>
  </r>
  <r>
    <x v="1366"/>
    <x v="3"/>
    <n v="4"/>
    <n v="66.5"/>
    <n v="266"/>
    <d v="2025-02-21T00:00:00"/>
    <d v="2025-02-21T00:00:00"/>
    <x v="2"/>
    <x v="0"/>
    <n v="5"/>
    <x v="0"/>
    <x v="3"/>
    <n v="0"/>
    <n v="8"/>
    <x v="2"/>
  </r>
  <r>
    <x v="1367"/>
    <x v="1"/>
    <n v="2"/>
    <n v="105.3"/>
    <n v="210.6"/>
    <d v="2025-02-21T00:00:00"/>
    <d v="2025-02-25T00:00:00"/>
    <x v="1"/>
    <x v="0"/>
    <n v="3"/>
    <x v="0"/>
    <x v="3"/>
    <n v="4"/>
    <n v="8"/>
    <x v="1"/>
  </r>
  <r>
    <x v="1368"/>
    <x v="10"/>
    <n v="5"/>
    <n v="33.799999999999997"/>
    <n v="169"/>
    <d v="2025-02-21T00:00:00"/>
    <d v="2025-02-26T00:00:00"/>
    <x v="1"/>
    <x v="0"/>
    <n v="4"/>
    <x v="0"/>
    <x v="3"/>
    <n v="5"/>
    <n v="8"/>
    <x v="1"/>
  </r>
  <r>
    <x v="1369"/>
    <x v="6"/>
    <n v="3"/>
    <n v="63.4"/>
    <n v="190.2"/>
    <d v="2025-02-21T00:00:00"/>
    <d v="2025-02-26T00:00:00"/>
    <x v="1"/>
    <x v="3"/>
    <n v="3"/>
    <x v="0"/>
    <x v="24"/>
    <n v="5"/>
    <n v="8"/>
    <x v="1"/>
  </r>
  <r>
    <x v="1370"/>
    <x v="6"/>
    <n v="3"/>
    <n v="49"/>
    <n v="147"/>
    <d v="2025-02-21T00:00:00"/>
    <d v="2025-02-25T00:00:00"/>
    <x v="1"/>
    <x v="3"/>
    <n v="4"/>
    <x v="0"/>
    <x v="49"/>
    <n v="4"/>
    <n v="8"/>
    <x v="1"/>
  </r>
  <r>
    <x v="1371"/>
    <x v="1"/>
    <n v="2"/>
    <n v="40"/>
    <n v="80"/>
    <d v="2025-02-21T00:00:00"/>
    <d v="2025-02-22T00:00:00"/>
    <x v="2"/>
    <x v="4"/>
    <n v="3"/>
    <x v="0"/>
    <x v="23"/>
    <n v="1"/>
    <n v="8"/>
    <x v="2"/>
  </r>
  <r>
    <x v="1372"/>
    <x v="6"/>
    <n v="4"/>
    <n v="86.3"/>
    <n v="345.2"/>
    <d v="2025-02-21T00:00:00"/>
    <d v="2025-02-22T00:00:00"/>
    <x v="3"/>
    <x v="0"/>
    <n v="4"/>
    <x v="0"/>
    <x v="6"/>
    <n v="1"/>
    <n v="8"/>
    <x v="3"/>
  </r>
  <r>
    <x v="1373"/>
    <x v="6"/>
    <n v="1"/>
    <n v="51.6"/>
    <n v="51.6"/>
    <d v="2025-02-21T00:00:00"/>
    <d v="2025-02-23T00:00:00"/>
    <x v="2"/>
    <x v="2"/>
    <n v="5"/>
    <x v="0"/>
    <x v="6"/>
    <n v="2"/>
    <n v="8"/>
    <x v="2"/>
  </r>
  <r>
    <x v="1374"/>
    <x v="10"/>
    <n v="3"/>
    <n v="26.7"/>
    <n v="80.099999999999994"/>
    <d v="2025-02-21T00:00:00"/>
    <d v="2025-02-26T00:00:00"/>
    <x v="2"/>
    <x v="2"/>
    <n v="3"/>
    <x v="0"/>
    <x v="6"/>
    <n v="5"/>
    <n v="8"/>
    <x v="2"/>
  </r>
  <r>
    <x v="1375"/>
    <x v="18"/>
    <n v="2"/>
    <n v="68.099999999999994"/>
    <n v="136.19999999999999"/>
    <d v="2025-02-21T00:00:00"/>
    <d v="2025-02-22T00:00:00"/>
    <x v="1"/>
    <x v="0"/>
    <n v="3"/>
    <x v="0"/>
    <x v="6"/>
    <n v="1"/>
    <n v="8"/>
    <x v="1"/>
  </r>
  <r>
    <x v="1376"/>
    <x v="1"/>
    <n v="1"/>
    <n v="81.7"/>
    <n v="81.7"/>
    <d v="2025-02-21T00:00:00"/>
    <d v="2025-02-22T00:00:00"/>
    <x v="1"/>
    <x v="0"/>
    <n v="4"/>
    <x v="0"/>
    <x v="7"/>
    <n v="1"/>
    <n v="8"/>
    <x v="1"/>
  </r>
  <r>
    <x v="1377"/>
    <x v="18"/>
    <n v="10"/>
    <n v="25.1"/>
    <n v="251"/>
    <d v="2025-02-21T00:00:00"/>
    <d v="2025-02-24T00:00:00"/>
    <x v="1"/>
    <x v="3"/>
    <n v="3"/>
    <x v="0"/>
    <x v="8"/>
    <n v="3"/>
    <n v="8"/>
    <x v="1"/>
  </r>
  <r>
    <x v="1378"/>
    <x v="8"/>
    <n v="1"/>
    <n v="20.2"/>
    <n v="20.2"/>
    <d v="2025-02-21T00:00:00"/>
    <d v="2025-02-25T00:00:00"/>
    <x v="2"/>
    <x v="0"/>
    <n v="4"/>
    <x v="0"/>
    <x v="8"/>
    <n v="4"/>
    <n v="8"/>
    <x v="2"/>
  </r>
  <r>
    <x v="1379"/>
    <x v="8"/>
    <n v="3"/>
    <n v="15.4"/>
    <n v="46.2"/>
    <d v="2025-02-21T00:00:00"/>
    <d v="2025-02-22T00:00:00"/>
    <x v="1"/>
    <x v="1"/>
    <n v="5"/>
    <x v="0"/>
    <x v="8"/>
    <n v="1"/>
    <n v="8"/>
    <x v="1"/>
  </r>
  <r>
    <x v="1380"/>
    <x v="10"/>
    <n v="1"/>
    <n v="59.2"/>
    <n v="59.2"/>
    <d v="2025-02-21T00:00:00"/>
    <d v="2025-02-22T00:00:00"/>
    <x v="1"/>
    <x v="2"/>
    <n v="5"/>
    <x v="0"/>
    <x v="17"/>
    <n v="1"/>
    <n v="8"/>
    <x v="1"/>
  </r>
  <r>
    <x v="1381"/>
    <x v="0"/>
    <n v="1"/>
    <n v="46.7"/>
    <n v="46.7"/>
    <d v="2025-02-21T00:00:00"/>
    <d v="2025-02-26T00:00:00"/>
    <x v="1"/>
    <x v="0"/>
    <n v="4"/>
    <x v="0"/>
    <x v="17"/>
    <n v="5"/>
    <n v="8"/>
    <x v="1"/>
  </r>
  <r>
    <x v="1382"/>
    <x v="6"/>
    <n v="15"/>
    <n v="41.6"/>
    <n v="624"/>
    <d v="2025-02-21T00:00:00"/>
    <d v="2025-02-23T00:00:00"/>
    <x v="1"/>
    <x v="1"/>
    <n v="4"/>
    <x v="0"/>
    <x v="26"/>
    <n v="2"/>
    <n v="8"/>
    <x v="1"/>
  </r>
  <r>
    <x v="1383"/>
    <x v="8"/>
    <n v="2"/>
    <n v="19.2"/>
    <n v="38.4"/>
    <d v="2025-02-21T00:00:00"/>
    <d v="2025-02-24T00:00:00"/>
    <x v="1"/>
    <x v="4"/>
    <n v="5"/>
    <x v="0"/>
    <x v="9"/>
    <n v="3"/>
    <n v="8"/>
    <x v="1"/>
  </r>
  <r>
    <x v="1384"/>
    <x v="17"/>
    <n v="7"/>
    <n v="41.8"/>
    <n v="292.59999999999997"/>
    <d v="2025-02-21T00:00:00"/>
    <d v="2025-02-23T00:00:00"/>
    <x v="2"/>
    <x v="2"/>
    <n v="4"/>
    <x v="0"/>
    <x v="11"/>
    <n v="2"/>
    <n v="8"/>
    <x v="2"/>
  </r>
  <r>
    <x v="1385"/>
    <x v="8"/>
    <n v="6"/>
    <n v="37.4"/>
    <n v="224.39999999999998"/>
    <d v="2025-02-21T00:00:00"/>
    <d v="2025-02-23T00:00:00"/>
    <x v="1"/>
    <x v="0"/>
    <n v="5"/>
    <x v="0"/>
    <x v="11"/>
    <n v="2"/>
    <n v="8"/>
    <x v="1"/>
  </r>
  <r>
    <x v="1386"/>
    <x v="10"/>
    <n v="3"/>
    <n v="60.2"/>
    <n v="180.60000000000002"/>
    <d v="2025-02-21T00:00:00"/>
    <d v="2025-02-24T00:00:00"/>
    <x v="1"/>
    <x v="4"/>
    <n v="3"/>
    <x v="0"/>
    <x v="38"/>
    <n v="3"/>
    <n v="8"/>
    <x v="1"/>
  </r>
  <r>
    <x v="1387"/>
    <x v="9"/>
    <n v="2"/>
    <n v="91.5"/>
    <n v="183"/>
    <d v="2025-02-22T00:00:00"/>
    <d v="2025-02-23T00:00:00"/>
    <x v="1"/>
    <x v="0"/>
    <n v="4"/>
    <x v="0"/>
    <x v="13"/>
    <n v="1"/>
    <n v="8"/>
    <x v="1"/>
  </r>
  <r>
    <x v="1388"/>
    <x v="3"/>
    <n v="5"/>
    <n v="55.7"/>
    <n v="278.5"/>
    <d v="2025-02-22T00:00:00"/>
    <d v="2025-02-24T00:00:00"/>
    <x v="0"/>
    <x v="1"/>
    <n v="5"/>
    <x v="0"/>
    <x v="21"/>
    <n v="2"/>
    <n v="8"/>
    <x v="0"/>
  </r>
  <r>
    <x v="1389"/>
    <x v="7"/>
    <n v="2"/>
    <n v="76.7"/>
    <n v="153.4"/>
    <d v="2025-02-22T00:00:00"/>
    <d v="2025-02-24T00:00:00"/>
    <x v="1"/>
    <x v="0"/>
    <n v="3"/>
    <x v="0"/>
    <x v="21"/>
    <n v="2"/>
    <n v="8"/>
    <x v="1"/>
  </r>
  <r>
    <x v="1390"/>
    <x v="8"/>
    <n v="21"/>
    <n v="28.2"/>
    <n v="592.19999999999993"/>
    <d v="2025-02-22T00:00:00"/>
    <d v="2025-02-27T00:00:00"/>
    <x v="1"/>
    <x v="2"/>
    <n v="4"/>
    <x v="0"/>
    <x v="1"/>
    <n v="5"/>
    <n v="8"/>
    <x v="1"/>
  </r>
  <r>
    <x v="1391"/>
    <x v="7"/>
    <n v="5"/>
    <n v="93.2"/>
    <n v="466"/>
    <d v="2025-02-22T00:00:00"/>
    <d v="2025-02-24T00:00:00"/>
    <x v="2"/>
    <x v="4"/>
    <n v="5"/>
    <x v="0"/>
    <x v="1"/>
    <n v="2"/>
    <n v="8"/>
    <x v="2"/>
  </r>
  <r>
    <x v="1392"/>
    <x v="17"/>
    <n v="1"/>
    <n v="33.299999999999997"/>
    <n v="33.299999999999997"/>
    <d v="2025-02-22T00:00:00"/>
    <d v="2025-02-23T00:00:00"/>
    <x v="1"/>
    <x v="4"/>
    <n v="4"/>
    <x v="0"/>
    <x v="2"/>
    <n v="1"/>
    <n v="8"/>
    <x v="1"/>
  </r>
  <r>
    <x v="1393"/>
    <x v="10"/>
    <n v="2"/>
    <n v="39.1"/>
    <n v="78.2"/>
    <d v="2025-02-22T00:00:00"/>
    <d v="2025-02-25T00:00:00"/>
    <x v="1"/>
    <x v="0"/>
    <n v="4"/>
    <x v="0"/>
    <x v="44"/>
    <n v="3"/>
    <n v="8"/>
    <x v="1"/>
  </r>
  <r>
    <x v="1394"/>
    <x v="7"/>
    <n v="12"/>
    <n v="45.3"/>
    <n v="543.59999999999991"/>
    <d v="2025-02-22T00:00:00"/>
    <d v="2025-02-23T00:00:00"/>
    <x v="1"/>
    <x v="2"/>
    <n v="4"/>
    <x v="0"/>
    <x v="33"/>
    <n v="1"/>
    <n v="8"/>
    <x v="1"/>
  </r>
  <r>
    <x v="1395"/>
    <x v="9"/>
    <n v="7"/>
    <n v="33.9"/>
    <n v="237.29999999999998"/>
    <d v="2025-02-22T00:00:00"/>
    <d v="2025-02-23T00:00:00"/>
    <x v="1"/>
    <x v="4"/>
    <n v="4"/>
    <x v="0"/>
    <x v="33"/>
    <n v="1"/>
    <n v="8"/>
    <x v="1"/>
  </r>
  <r>
    <x v="1396"/>
    <x v="8"/>
    <n v="3"/>
    <n v="19"/>
    <n v="57"/>
    <d v="2025-02-22T00:00:00"/>
    <d v="2025-02-23T00:00:00"/>
    <x v="1"/>
    <x v="0"/>
    <n v="5"/>
    <x v="0"/>
    <x v="15"/>
    <n v="1"/>
    <n v="8"/>
    <x v="1"/>
  </r>
  <r>
    <x v="1397"/>
    <x v="4"/>
    <n v="1"/>
    <n v="41.9"/>
    <n v="41.9"/>
    <d v="2025-02-22T00:00:00"/>
    <d v="2025-02-25T00:00:00"/>
    <x v="2"/>
    <x v="2"/>
    <n v="4"/>
    <x v="0"/>
    <x v="22"/>
    <n v="3"/>
    <n v="8"/>
    <x v="2"/>
  </r>
  <r>
    <x v="1398"/>
    <x v="1"/>
    <n v="4"/>
    <n v="37.5"/>
    <n v="150"/>
    <d v="2025-02-22T00:00:00"/>
    <d v="2025-02-22T00:00:00"/>
    <x v="2"/>
    <x v="0"/>
    <n v="4"/>
    <x v="0"/>
    <x v="3"/>
    <n v="0"/>
    <n v="8"/>
    <x v="2"/>
  </r>
  <r>
    <x v="1399"/>
    <x v="0"/>
    <n v="2"/>
    <n v="40.799999999999997"/>
    <n v="81.599999999999994"/>
    <d v="2025-02-22T00:00:00"/>
    <d v="2025-02-25T00:00:00"/>
    <x v="1"/>
    <x v="0"/>
    <n v="4"/>
    <x v="0"/>
    <x v="3"/>
    <n v="3"/>
    <n v="8"/>
    <x v="1"/>
  </r>
  <r>
    <x v="1400"/>
    <x v="0"/>
    <n v="4"/>
    <n v="23.1"/>
    <n v="92.4"/>
    <d v="2025-02-22T00:00:00"/>
    <d v="2025-02-23T00:00:00"/>
    <x v="2"/>
    <x v="4"/>
    <n v="4"/>
    <x v="0"/>
    <x v="3"/>
    <n v="1"/>
    <n v="8"/>
    <x v="2"/>
  </r>
  <r>
    <x v="1401"/>
    <x v="8"/>
    <n v="5"/>
    <n v="39.299999999999997"/>
    <n v="196.5"/>
    <d v="2025-02-22T00:00:00"/>
    <d v="2025-02-23T00:00:00"/>
    <x v="2"/>
    <x v="0"/>
    <n v="4"/>
    <x v="0"/>
    <x v="3"/>
    <n v="1"/>
    <n v="8"/>
    <x v="2"/>
  </r>
  <r>
    <x v="1402"/>
    <x v="2"/>
    <n v="4"/>
    <n v="85.2"/>
    <n v="340.8"/>
    <d v="2025-02-22T00:00:00"/>
    <d v="2025-02-27T00:00:00"/>
    <x v="1"/>
    <x v="2"/>
    <n v="4"/>
    <x v="0"/>
    <x v="3"/>
    <n v="5"/>
    <n v="8"/>
    <x v="1"/>
  </r>
  <r>
    <x v="1403"/>
    <x v="8"/>
    <n v="6"/>
    <n v="16"/>
    <n v="96"/>
    <d v="2025-02-22T00:00:00"/>
    <d v="2025-02-25T00:00:00"/>
    <x v="1"/>
    <x v="1"/>
    <n v="4"/>
    <x v="0"/>
    <x v="3"/>
    <n v="3"/>
    <n v="8"/>
    <x v="1"/>
  </r>
  <r>
    <x v="1404"/>
    <x v="1"/>
    <n v="2"/>
    <n v="33.799999999999997"/>
    <n v="67.599999999999994"/>
    <d v="2025-02-22T00:00:00"/>
    <d v="2025-02-26T00:00:00"/>
    <x v="2"/>
    <x v="1"/>
    <n v="4"/>
    <x v="0"/>
    <x v="3"/>
    <n v="4"/>
    <n v="8"/>
    <x v="2"/>
  </r>
  <r>
    <x v="1405"/>
    <x v="3"/>
    <n v="1"/>
    <n v="70"/>
    <n v="70"/>
    <d v="2025-02-22T00:00:00"/>
    <d v="2025-02-23T00:00:00"/>
    <x v="2"/>
    <x v="0"/>
    <n v="4"/>
    <x v="0"/>
    <x v="3"/>
    <n v="1"/>
    <n v="8"/>
    <x v="2"/>
  </r>
  <r>
    <x v="1406"/>
    <x v="9"/>
    <n v="1"/>
    <n v="88"/>
    <n v="88"/>
    <d v="2025-02-22T00:00:00"/>
    <d v="2025-02-27T00:00:00"/>
    <x v="2"/>
    <x v="3"/>
    <n v="4"/>
    <x v="0"/>
    <x v="3"/>
    <n v="5"/>
    <n v="8"/>
    <x v="2"/>
  </r>
  <r>
    <x v="1407"/>
    <x v="2"/>
    <n v="3"/>
    <n v="74.099999999999994"/>
    <n v="222.29999999999998"/>
    <d v="2025-02-22T00:00:00"/>
    <d v="2025-02-22T00:00:00"/>
    <x v="1"/>
    <x v="4"/>
    <n v="3"/>
    <x v="0"/>
    <x v="3"/>
    <n v="0"/>
    <n v="8"/>
    <x v="1"/>
  </r>
  <r>
    <x v="1408"/>
    <x v="2"/>
    <n v="1"/>
    <n v="161.9"/>
    <n v="161.9"/>
    <d v="2025-02-22T00:00:00"/>
    <d v="2025-02-24T00:00:00"/>
    <x v="1"/>
    <x v="2"/>
    <n v="4"/>
    <x v="0"/>
    <x v="3"/>
    <n v="2"/>
    <n v="8"/>
    <x v="1"/>
  </r>
  <r>
    <x v="1409"/>
    <x v="4"/>
    <n v="2"/>
    <n v="44"/>
    <n v="88"/>
    <d v="2025-02-22T00:00:00"/>
    <d v="2025-02-23T00:00:00"/>
    <x v="3"/>
    <x v="4"/>
    <n v="3"/>
    <x v="0"/>
    <x v="3"/>
    <n v="1"/>
    <n v="8"/>
    <x v="3"/>
  </r>
  <r>
    <x v="1410"/>
    <x v="11"/>
    <n v="1"/>
    <n v="32.1"/>
    <n v="32.1"/>
    <d v="2025-02-22T00:00:00"/>
    <d v="2025-02-22T00:00:00"/>
    <x v="2"/>
    <x v="3"/>
    <n v="1"/>
    <x v="0"/>
    <x v="3"/>
    <n v="0"/>
    <n v="8"/>
    <x v="2"/>
  </r>
  <r>
    <x v="1411"/>
    <x v="2"/>
    <n v="4"/>
    <n v="104.8"/>
    <n v="419.2"/>
    <d v="2025-02-23T00:00:00"/>
    <d v="2025-02-25T00:00:00"/>
    <x v="3"/>
    <x v="0"/>
    <n v="4"/>
    <x v="0"/>
    <x v="3"/>
    <n v="2"/>
    <n v="9"/>
    <x v="3"/>
  </r>
  <r>
    <x v="1412"/>
    <x v="9"/>
    <n v="6"/>
    <n v="67.400000000000006"/>
    <n v="404.40000000000003"/>
    <d v="2025-02-23T00:00:00"/>
    <d v="2025-02-24T00:00:00"/>
    <x v="2"/>
    <x v="3"/>
    <n v="4"/>
    <x v="0"/>
    <x v="3"/>
    <n v="1"/>
    <n v="9"/>
    <x v="2"/>
  </r>
  <r>
    <x v="1413"/>
    <x v="6"/>
    <n v="2"/>
    <n v="115.2"/>
    <n v="230.4"/>
    <d v="2025-02-23T00:00:00"/>
    <d v="2025-02-24T00:00:00"/>
    <x v="2"/>
    <x v="1"/>
    <n v="4"/>
    <x v="0"/>
    <x v="4"/>
    <n v="1"/>
    <n v="9"/>
    <x v="2"/>
  </r>
  <r>
    <x v="1414"/>
    <x v="8"/>
    <n v="29"/>
    <n v="15.5"/>
    <n v="449.5"/>
    <d v="2025-02-23T00:00:00"/>
    <d v="2025-02-25T00:00:00"/>
    <x v="2"/>
    <x v="0"/>
    <n v="3"/>
    <x v="0"/>
    <x v="23"/>
    <n v="2"/>
    <n v="9"/>
    <x v="2"/>
  </r>
  <r>
    <x v="1415"/>
    <x v="6"/>
    <n v="11"/>
    <n v="66.400000000000006"/>
    <n v="730.40000000000009"/>
    <d v="2025-02-23T00:00:00"/>
    <d v="2025-02-25T00:00:00"/>
    <x v="2"/>
    <x v="0"/>
    <n v="4"/>
    <x v="0"/>
    <x v="6"/>
    <n v="2"/>
    <n v="9"/>
    <x v="2"/>
  </r>
  <r>
    <x v="1416"/>
    <x v="9"/>
    <n v="12"/>
    <n v="68.099999999999994"/>
    <n v="817.19999999999993"/>
    <d v="2025-02-23T00:00:00"/>
    <d v="2025-02-24T00:00:00"/>
    <x v="2"/>
    <x v="2"/>
    <n v="4"/>
    <x v="0"/>
    <x v="8"/>
    <n v="1"/>
    <n v="9"/>
    <x v="2"/>
  </r>
  <r>
    <x v="1417"/>
    <x v="8"/>
    <n v="5"/>
    <n v="32.5"/>
    <n v="162.5"/>
    <d v="2025-02-23T00:00:00"/>
    <d v="2025-02-27T00:00:00"/>
    <x v="1"/>
    <x v="2"/>
    <n v="3"/>
    <x v="0"/>
    <x v="8"/>
    <n v="4"/>
    <n v="9"/>
    <x v="1"/>
  </r>
  <r>
    <x v="1418"/>
    <x v="15"/>
    <n v="3"/>
    <n v="61.2"/>
    <n v="183.60000000000002"/>
    <d v="2025-02-23T00:00:00"/>
    <d v="2025-02-25T00:00:00"/>
    <x v="2"/>
    <x v="1"/>
    <n v="3"/>
    <x v="0"/>
    <x v="8"/>
    <n v="2"/>
    <n v="9"/>
    <x v="2"/>
  </r>
  <r>
    <x v="1419"/>
    <x v="9"/>
    <n v="2"/>
    <n v="54.2"/>
    <n v="108.4"/>
    <d v="2025-02-23T00:00:00"/>
    <d v="2025-02-24T00:00:00"/>
    <x v="2"/>
    <x v="1"/>
    <n v="4"/>
    <x v="0"/>
    <x v="8"/>
    <n v="1"/>
    <n v="9"/>
    <x v="2"/>
  </r>
  <r>
    <x v="1420"/>
    <x v="11"/>
    <n v="8"/>
    <n v="28.7"/>
    <n v="229.6"/>
    <d v="2025-02-23T00:00:00"/>
    <d v="2025-02-25T00:00:00"/>
    <x v="1"/>
    <x v="1"/>
    <n v="4"/>
    <x v="0"/>
    <x v="9"/>
    <n v="2"/>
    <n v="9"/>
    <x v="1"/>
  </r>
  <r>
    <x v="1421"/>
    <x v="12"/>
    <n v="6"/>
    <n v="38.200000000000003"/>
    <n v="229.20000000000002"/>
    <d v="2025-02-23T00:00:00"/>
    <d v="2025-02-27T00:00:00"/>
    <x v="2"/>
    <x v="0"/>
    <n v="3"/>
    <x v="0"/>
    <x v="9"/>
    <n v="4"/>
    <n v="9"/>
    <x v="2"/>
  </r>
  <r>
    <x v="1422"/>
    <x v="8"/>
    <n v="12"/>
    <n v="17.600000000000001"/>
    <n v="211.20000000000002"/>
    <d v="2025-02-23T00:00:00"/>
    <d v="2025-02-24T00:00:00"/>
    <x v="2"/>
    <x v="2"/>
    <n v="3"/>
    <x v="0"/>
    <x v="9"/>
    <n v="1"/>
    <n v="9"/>
    <x v="2"/>
  </r>
  <r>
    <x v="1423"/>
    <x v="10"/>
    <n v="3"/>
    <n v="74.599999999999994"/>
    <n v="223.79999999999998"/>
    <d v="2025-02-23T00:00:00"/>
    <d v="2025-02-23T00:00:00"/>
    <x v="2"/>
    <x v="2"/>
    <n v="4"/>
    <x v="0"/>
    <x v="11"/>
    <n v="0"/>
    <n v="9"/>
    <x v="2"/>
  </r>
  <r>
    <x v="1424"/>
    <x v="16"/>
    <n v="15"/>
    <n v="72.599999999999994"/>
    <n v="1089"/>
    <d v="2025-02-23T00:00:00"/>
    <d v="2025-02-23T00:00:00"/>
    <x v="0"/>
    <x v="1"/>
    <n v="3"/>
    <x v="0"/>
    <x v="11"/>
    <n v="0"/>
    <n v="9"/>
    <x v="0"/>
  </r>
  <r>
    <x v="1425"/>
    <x v="7"/>
    <n v="1"/>
    <n v="62.3"/>
    <n v="62.3"/>
    <d v="2025-02-23T00:00:00"/>
    <d v="2025-02-24T00:00:00"/>
    <x v="2"/>
    <x v="1"/>
    <n v="4"/>
    <x v="0"/>
    <x v="11"/>
    <n v="1"/>
    <n v="9"/>
    <x v="2"/>
  </r>
  <r>
    <x v="1426"/>
    <x v="3"/>
    <n v="3"/>
    <n v="33.799999999999997"/>
    <n v="101.39999999999999"/>
    <d v="2025-02-23T00:00:00"/>
    <d v="2025-02-25T00:00:00"/>
    <x v="1"/>
    <x v="0"/>
    <n v="5"/>
    <x v="0"/>
    <x v="20"/>
    <n v="2"/>
    <n v="9"/>
    <x v="1"/>
  </r>
  <r>
    <x v="1427"/>
    <x v="9"/>
    <n v="1"/>
    <n v="85.7"/>
    <n v="85.7"/>
    <d v="2025-02-23T00:00:00"/>
    <d v="2025-02-26T00:00:00"/>
    <x v="1"/>
    <x v="3"/>
    <n v="3"/>
    <x v="0"/>
    <x v="21"/>
    <n v="3"/>
    <n v="9"/>
    <x v="1"/>
  </r>
  <r>
    <x v="1428"/>
    <x v="6"/>
    <n v="2"/>
    <n v="92.1"/>
    <n v="184.2"/>
    <d v="2025-02-23T00:00:00"/>
    <d v="2025-02-25T00:00:00"/>
    <x v="1"/>
    <x v="1"/>
    <n v="4"/>
    <x v="0"/>
    <x v="21"/>
    <n v="2"/>
    <n v="9"/>
    <x v="1"/>
  </r>
  <r>
    <x v="1429"/>
    <x v="16"/>
    <n v="3"/>
    <n v="65.099999999999994"/>
    <n v="195.29999999999998"/>
    <d v="2025-02-23T00:00:00"/>
    <d v="2025-02-26T00:00:00"/>
    <x v="1"/>
    <x v="0"/>
    <n v="4"/>
    <x v="0"/>
    <x v="1"/>
    <n v="3"/>
    <n v="9"/>
    <x v="1"/>
  </r>
  <r>
    <x v="1430"/>
    <x v="9"/>
    <n v="7"/>
    <n v="20.3"/>
    <n v="142.1"/>
    <d v="2025-02-23T00:00:00"/>
    <d v="2025-02-24T00:00:00"/>
    <x v="2"/>
    <x v="2"/>
    <n v="5"/>
    <x v="0"/>
    <x v="2"/>
    <n v="1"/>
    <n v="9"/>
    <x v="2"/>
  </r>
  <r>
    <x v="1431"/>
    <x v="19"/>
    <n v="2"/>
    <n v="29.8"/>
    <n v="59.6"/>
    <d v="2025-02-23T00:00:00"/>
    <d v="2025-02-25T00:00:00"/>
    <x v="2"/>
    <x v="1"/>
    <n v="5"/>
    <x v="0"/>
    <x v="34"/>
    <n v="2"/>
    <n v="9"/>
    <x v="2"/>
  </r>
  <r>
    <x v="1432"/>
    <x v="0"/>
    <n v="2"/>
    <n v="24.2"/>
    <n v="48.4"/>
    <d v="2025-02-23T00:00:00"/>
    <d v="2025-02-25T00:00:00"/>
    <x v="2"/>
    <x v="3"/>
    <n v="5"/>
    <x v="0"/>
    <x v="3"/>
    <n v="2"/>
    <n v="9"/>
    <x v="2"/>
  </r>
  <r>
    <x v="1433"/>
    <x v="3"/>
    <n v="1"/>
    <n v="57.3"/>
    <n v="57.3"/>
    <d v="2025-02-23T00:00:00"/>
    <d v="2025-02-25T00:00:00"/>
    <x v="1"/>
    <x v="0"/>
    <n v="4"/>
    <x v="0"/>
    <x v="3"/>
    <n v="2"/>
    <n v="9"/>
    <x v="1"/>
  </r>
  <r>
    <x v="1434"/>
    <x v="2"/>
    <n v="1"/>
    <n v="108.9"/>
    <n v="108.9"/>
    <d v="2025-02-23T00:00:00"/>
    <d v="2025-02-25T00:00:00"/>
    <x v="2"/>
    <x v="1"/>
    <n v="4"/>
    <x v="0"/>
    <x v="3"/>
    <n v="2"/>
    <n v="9"/>
    <x v="2"/>
  </r>
  <r>
    <x v="1435"/>
    <x v="7"/>
    <n v="5"/>
    <n v="50.7"/>
    <n v="253.5"/>
    <d v="2025-02-23T00:00:00"/>
    <d v="2025-02-24T00:00:00"/>
    <x v="2"/>
    <x v="0"/>
    <n v="4"/>
    <x v="0"/>
    <x v="3"/>
    <n v="1"/>
    <n v="9"/>
    <x v="2"/>
  </r>
  <r>
    <x v="1436"/>
    <x v="7"/>
    <n v="9"/>
    <n v="66.099999999999994"/>
    <n v="594.9"/>
    <d v="2025-02-23T00:00:00"/>
    <d v="2025-03-09T00:00:00"/>
    <x v="2"/>
    <x v="1"/>
    <n v="4"/>
    <x v="0"/>
    <x v="3"/>
    <n v="14"/>
    <n v="9"/>
    <x v="2"/>
  </r>
  <r>
    <x v="1437"/>
    <x v="12"/>
    <n v="5"/>
    <n v="36.700000000000003"/>
    <n v="183.5"/>
    <d v="2025-02-23T00:00:00"/>
    <d v="2025-02-27T00:00:00"/>
    <x v="2"/>
    <x v="4"/>
    <n v="4"/>
    <x v="0"/>
    <x v="3"/>
    <n v="4"/>
    <n v="9"/>
    <x v="2"/>
  </r>
  <r>
    <x v="1438"/>
    <x v="8"/>
    <n v="17"/>
    <n v="19.3"/>
    <n v="328.1"/>
    <d v="2025-02-23T00:00:00"/>
    <d v="2025-02-25T00:00:00"/>
    <x v="1"/>
    <x v="0"/>
    <n v="4"/>
    <x v="0"/>
    <x v="43"/>
    <n v="2"/>
    <n v="9"/>
    <x v="1"/>
  </r>
  <r>
    <x v="1439"/>
    <x v="8"/>
    <n v="4"/>
    <n v="20.7"/>
    <n v="82.8"/>
    <d v="2025-02-23T00:00:00"/>
    <d v="2025-02-24T00:00:00"/>
    <x v="1"/>
    <x v="1"/>
    <n v="5"/>
    <x v="0"/>
    <x v="6"/>
    <n v="1"/>
    <n v="9"/>
    <x v="1"/>
  </r>
  <r>
    <x v="1440"/>
    <x v="5"/>
    <n v="3"/>
    <n v="54.7"/>
    <n v="164.10000000000002"/>
    <d v="2025-02-23T00:00:00"/>
    <d v="2025-02-23T00:00:00"/>
    <x v="3"/>
    <x v="1"/>
    <n v="2"/>
    <x v="0"/>
    <x v="6"/>
    <n v="0"/>
    <n v="9"/>
    <x v="3"/>
  </r>
  <r>
    <x v="1441"/>
    <x v="4"/>
    <n v="2"/>
    <n v="19.8"/>
    <n v="39.6"/>
    <d v="2025-02-23T00:00:00"/>
    <d v="2025-02-27T00:00:00"/>
    <x v="2"/>
    <x v="4"/>
    <n v="3"/>
    <x v="0"/>
    <x v="8"/>
    <n v="4"/>
    <n v="9"/>
    <x v="2"/>
  </r>
  <r>
    <x v="1442"/>
    <x v="7"/>
    <n v="1"/>
    <n v="41.1"/>
    <n v="41.1"/>
    <d v="2025-02-23T00:00:00"/>
    <d v="2025-02-25T00:00:00"/>
    <x v="2"/>
    <x v="0"/>
    <n v="5"/>
    <x v="0"/>
    <x v="8"/>
    <n v="2"/>
    <n v="9"/>
    <x v="2"/>
  </r>
  <r>
    <x v="1443"/>
    <x v="11"/>
    <n v="8"/>
    <n v="43.5"/>
    <n v="348"/>
    <d v="2025-02-23T00:00:00"/>
    <d v="2025-02-27T00:00:00"/>
    <x v="2"/>
    <x v="3"/>
    <n v="4"/>
    <x v="0"/>
    <x v="8"/>
    <n v="4"/>
    <n v="9"/>
    <x v="2"/>
  </r>
  <r>
    <x v="1444"/>
    <x v="8"/>
    <n v="14"/>
    <n v="19"/>
    <n v="266"/>
    <d v="2025-02-23T00:00:00"/>
    <d v="2025-02-24T00:00:00"/>
    <x v="1"/>
    <x v="0"/>
    <n v="4"/>
    <x v="0"/>
    <x v="26"/>
    <n v="1"/>
    <n v="9"/>
    <x v="1"/>
  </r>
  <r>
    <x v="1445"/>
    <x v="2"/>
    <n v="4"/>
    <n v="51.4"/>
    <n v="205.6"/>
    <d v="2025-02-23T00:00:00"/>
    <d v="2025-02-23T00:00:00"/>
    <x v="2"/>
    <x v="0"/>
    <n v="4"/>
    <x v="0"/>
    <x v="26"/>
    <n v="0"/>
    <n v="9"/>
    <x v="2"/>
  </r>
  <r>
    <x v="1446"/>
    <x v="10"/>
    <n v="2"/>
    <n v="39.799999999999997"/>
    <n v="79.599999999999994"/>
    <d v="2025-02-23T00:00:00"/>
    <d v="2025-02-26T00:00:00"/>
    <x v="1"/>
    <x v="3"/>
    <n v="3"/>
    <x v="0"/>
    <x v="13"/>
    <n v="3"/>
    <n v="9"/>
    <x v="1"/>
  </r>
  <r>
    <x v="1447"/>
    <x v="6"/>
    <n v="5"/>
    <n v="61"/>
    <n v="305"/>
    <d v="2025-02-23T00:00:00"/>
    <d v="2025-02-24T00:00:00"/>
    <x v="0"/>
    <x v="0"/>
    <n v="5"/>
    <x v="0"/>
    <x v="21"/>
    <n v="1"/>
    <n v="9"/>
    <x v="0"/>
  </r>
  <r>
    <x v="1448"/>
    <x v="8"/>
    <n v="11"/>
    <n v="15.1"/>
    <n v="166.1"/>
    <d v="2025-02-24T00:00:00"/>
    <d v="2025-03-01T00:00:00"/>
    <x v="1"/>
    <x v="3"/>
    <n v="5"/>
    <x v="0"/>
    <x v="2"/>
    <n v="5"/>
    <n v="9"/>
    <x v="1"/>
  </r>
  <r>
    <x v="1449"/>
    <x v="1"/>
    <n v="7"/>
    <n v="71.3"/>
    <n v="499.09999999999997"/>
    <d v="2025-02-24T00:00:00"/>
    <d v="2025-02-25T00:00:00"/>
    <x v="1"/>
    <x v="4"/>
    <n v="4"/>
    <x v="0"/>
    <x v="3"/>
    <n v="1"/>
    <n v="9"/>
    <x v="1"/>
  </r>
  <r>
    <x v="1450"/>
    <x v="10"/>
    <n v="1"/>
    <n v="25.8"/>
    <n v="25.8"/>
    <d v="2025-02-24T00:00:00"/>
    <d v="2025-02-26T00:00:00"/>
    <x v="2"/>
    <x v="0"/>
    <n v="5"/>
    <x v="0"/>
    <x v="3"/>
    <n v="2"/>
    <n v="9"/>
    <x v="2"/>
  </r>
  <r>
    <x v="1451"/>
    <x v="8"/>
    <n v="5"/>
    <n v="39.6"/>
    <n v="198"/>
    <d v="2025-02-24T00:00:00"/>
    <d v="2025-02-26T00:00:00"/>
    <x v="1"/>
    <x v="1"/>
    <n v="5"/>
    <x v="0"/>
    <x v="3"/>
    <n v="2"/>
    <n v="9"/>
    <x v="1"/>
  </r>
  <r>
    <x v="1452"/>
    <x v="5"/>
    <n v="2"/>
    <n v="64"/>
    <n v="128"/>
    <d v="2025-02-24T00:00:00"/>
    <d v="2025-02-24T00:00:00"/>
    <x v="1"/>
    <x v="1"/>
    <n v="3"/>
    <x v="0"/>
    <x v="3"/>
    <n v="0"/>
    <n v="9"/>
    <x v="1"/>
  </r>
  <r>
    <x v="1453"/>
    <x v="8"/>
    <n v="2"/>
    <n v="30.6"/>
    <n v="61.2"/>
    <d v="2025-02-24T00:00:00"/>
    <d v="2025-02-27T00:00:00"/>
    <x v="1"/>
    <x v="0"/>
    <n v="5"/>
    <x v="0"/>
    <x v="3"/>
    <n v="3"/>
    <n v="9"/>
    <x v="1"/>
  </r>
  <r>
    <x v="1454"/>
    <x v="8"/>
    <n v="2"/>
    <n v="21.3"/>
    <n v="42.6"/>
    <d v="2025-02-24T00:00:00"/>
    <d v="2025-02-25T00:00:00"/>
    <x v="1"/>
    <x v="0"/>
    <n v="3"/>
    <x v="0"/>
    <x v="3"/>
    <n v="1"/>
    <n v="9"/>
    <x v="1"/>
  </r>
  <r>
    <x v="1455"/>
    <x v="7"/>
    <n v="1"/>
    <n v="40.799999999999997"/>
    <n v="40.799999999999997"/>
    <d v="2025-02-24T00:00:00"/>
    <d v="2025-02-26T00:00:00"/>
    <x v="2"/>
    <x v="4"/>
    <n v="4"/>
    <x v="0"/>
    <x v="3"/>
    <n v="2"/>
    <n v="9"/>
    <x v="2"/>
  </r>
  <r>
    <x v="1456"/>
    <x v="9"/>
    <n v="4"/>
    <n v="27.7"/>
    <n v="110.8"/>
    <d v="2025-02-24T00:00:00"/>
    <d v="2025-02-25T00:00:00"/>
    <x v="2"/>
    <x v="0"/>
    <n v="3"/>
    <x v="0"/>
    <x v="3"/>
    <n v="1"/>
    <n v="9"/>
    <x v="2"/>
  </r>
  <r>
    <x v="1457"/>
    <x v="6"/>
    <n v="2"/>
    <n v="64.599999999999994"/>
    <n v="129.19999999999999"/>
    <d v="2025-02-24T00:00:00"/>
    <d v="2025-02-25T00:00:00"/>
    <x v="1"/>
    <x v="0"/>
    <n v="3"/>
    <x v="0"/>
    <x v="3"/>
    <n v="1"/>
    <n v="9"/>
    <x v="1"/>
  </r>
  <r>
    <x v="1458"/>
    <x v="6"/>
    <n v="16"/>
    <n v="91.1"/>
    <n v="1457.6"/>
    <d v="2025-02-24T00:00:00"/>
    <d v="2025-02-25T00:00:00"/>
    <x v="2"/>
    <x v="1"/>
    <n v="5"/>
    <x v="0"/>
    <x v="3"/>
    <n v="1"/>
    <n v="9"/>
    <x v="2"/>
  </r>
  <r>
    <x v="1459"/>
    <x v="1"/>
    <n v="1"/>
    <n v="39.5"/>
    <n v="39.5"/>
    <d v="2025-02-24T00:00:00"/>
    <d v="2025-03-04T00:00:00"/>
    <x v="2"/>
    <x v="0"/>
    <n v="4"/>
    <x v="0"/>
    <x v="3"/>
    <n v="8"/>
    <n v="9"/>
    <x v="2"/>
  </r>
  <r>
    <x v="1460"/>
    <x v="9"/>
    <n v="2"/>
    <n v="21.8"/>
    <n v="43.6"/>
    <d v="2025-02-24T00:00:00"/>
    <d v="2025-02-28T00:00:00"/>
    <x v="1"/>
    <x v="4"/>
    <n v="5"/>
    <x v="0"/>
    <x v="3"/>
    <n v="4"/>
    <n v="9"/>
    <x v="1"/>
  </r>
  <r>
    <x v="1461"/>
    <x v="8"/>
    <n v="2"/>
    <n v="51"/>
    <n v="102"/>
    <d v="2025-02-24T00:00:00"/>
    <d v="2025-02-27T00:00:00"/>
    <x v="1"/>
    <x v="3"/>
    <n v="5"/>
    <x v="0"/>
    <x v="3"/>
    <n v="3"/>
    <n v="9"/>
    <x v="1"/>
  </r>
  <r>
    <x v="1462"/>
    <x v="2"/>
    <n v="1"/>
    <n v="92.6"/>
    <n v="92.6"/>
    <d v="2025-02-24T00:00:00"/>
    <d v="2025-02-27T00:00:00"/>
    <x v="2"/>
    <x v="0"/>
    <n v="5"/>
    <x v="0"/>
    <x v="35"/>
    <n v="3"/>
    <n v="9"/>
    <x v="2"/>
  </r>
  <r>
    <x v="1463"/>
    <x v="9"/>
    <n v="2"/>
    <n v="31.1"/>
    <n v="62.2"/>
    <d v="2025-02-24T00:00:00"/>
    <d v="2025-03-01T00:00:00"/>
    <x v="0"/>
    <x v="1"/>
    <n v="1"/>
    <x v="0"/>
    <x v="23"/>
    <n v="5"/>
    <n v="9"/>
    <x v="0"/>
  </r>
  <r>
    <x v="1464"/>
    <x v="5"/>
    <n v="3"/>
    <n v="56.4"/>
    <n v="169.2"/>
    <d v="2025-02-24T00:00:00"/>
    <d v="2025-02-25T00:00:00"/>
    <x v="0"/>
    <x v="1"/>
    <n v="4"/>
    <x v="0"/>
    <x v="6"/>
    <n v="1"/>
    <n v="9"/>
    <x v="0"/>
  </r>
  <r>
    <x v="1465"/>
    <x v="9"/>
    <n v="1"/>
    <n v="41.9"/>
    <n v="41.9"/>
    <d v="2025-02-24T00:00:00"/>
    <d v="2025-02-24T00:00:00"/>
    <x v="1"/>
    <x v="1"/>
    <n v="4"/>
    <x v="0"/>
    <x v="6"/>
    <n v="0"/>
    <n v="9"/>
    <x v="1"/>
  </r>
  <r>
    <x v="1466"/>
    <x v="10"/>
    <n v="7"/>
    <n v="45.9"/>
    <n v="321.3"/>
    <d v="2025-02-24T00:00:00"/>
    <d v="2025-02-25T00:00:00"/>
    <x v="1"/>
    <x v="3"/>
    <n v="5"/>
    <x v="0"/>
    <x v="8"/>
    <n v="1"/>
    <n v="9"/>
    <x v="1"/>
  </r>
  <r>
    <x v="1467"/>
    <x v="14"/>
    <n v="9"/>
    <n v="24.4"/>
    <n v="219.6"/>
    <d v="2025-02-24T00:00:00"/>
    <d v="2025-02-28T00:00:00"/>
    <x v="1"/>
    <x v="3"/>
    <n v="5"/>
    <x v="0"/>
    <x v="8"/>
    <n v="4"/>
    <n v="9"/>
    <x v="1"/>
  </r>
  <r>
    <x v="1468"/>
    <x v="8"/>
    <n v="1"/>
    <n v="18.2"/>
    <n v="18.2"/>
    <d v="2025-02-24T00:00:00"/>
    <d v="2025-02-25T00:00:00"/>
    <x v="2"/>
    <x v="2"/>
    <n v="5"/>
    <x v="0"/>
    <x v="8"/>
    <n v="1"/>
    <n v="9"/>
    <x v="2"/>
  </r>
  <r>
    <x v="1469"/>
    <x v="8"/>
    <n v="4"/>
    <n v="51.2"/>
    <n v="204.8"/>
    <d v="2025-02-24T00:00:00"/>
    <d v="2025-02-25T00:00:00"/>
    <x v="2"/>
    <x v="0"/>
    <n v="4"/>
    <x v="0"/>
    <x v="8"/>
    <n v="1"/>
    <n v="9"/>
    <x v="2"/>
  </r>
  <r>
    <x v="1470"/>
    <x v="6"/>
    <n v="1"/>
    <n v="59.7"/>
    <n v="59.7"/>
    <d v="2025-02-24T00:00:00"/>
    <d v="2025-02-27T00:00:00"/>
    <x v="1"/>
    <x v="0"/>
    <n v="5"/>
    <x v="0"/>
    <x v="8"/>
    <n v="3"/>
    <n v="9"/>
    <x v="1"/>
  </r>
  <r>
    <x v="1471"/>
    <x v="4"/>
    <n v="2"/>
    <n v="33.6"/>
    <n v="67.2"/>
    <d v="2025-02-24T00:00:00"/>
    <d v="2025-02-26T00:00:00"/>
    <x v="2"/>
    <x v="0"/>
    <n v="4"/>
    <x v="0"/>
    <x v="17"/>
    <n v="2"/>
    <n v="9"/>
    <x v="2"/>
  </r>
  <r>
    <x v="1472"/>
    <x v="12"/>
    <n v="1"/>
    <n v="90.4"/>
    <n v="90.4"/>
    <d v="2025-02-24T00:00:00"/>
    <d v="2025-02-28T00:00:00"/>
    <x v="1"/>
    <x v="1"/>
    <n v="5"/>
    <x v="0"/>
    <x v="10"/>
    <n v="4"/>
    <n v="9"/>
    <x v="1"/>
  </r>
  <r>
    <x v="1473"/>
    <x v="11"/>
    <n v="3"/>
    <n v="70.3"/>
    <n v="210.89999999999998"/>
    <d v="2025-02-24T00:00:00"/>
    <d v="2025-02-24T00:00:00"/>
    <x v="1"/>
    <x v="1"/>
    <n v="5"/>
    <x v="0"/>
    <x v="11"/>
    <n v="0"/>
    <n v="9"/>
    <x v="1"/>
  </r>
  <r>
    <x v="1474"/>
    <x v="4"/>
    <n v="2"/>
    <n v="20.5"/>
    <n v="41"/>
    <d v="2025-02-24T00:00:00"/>
    <d v="2025-02-27T00:00:00"/>
    <x v="2"/>
    <x v="0"/>
    <n v="3"/>
    <x v="0"/>
    <x v="11"/>
    <n v="3"/>
    <n v="9"/>
    <x v="2"/>
  </r>
  <r>
    <x v="1475"/>
    <x v="5"/>
    <n v="11"/>
    <n v="37.6"/>
    <n v="413.6"/>
    <d v="2025-02-24T00:00:00"/>
    <d v="2025-02-25T00:00:00"/>
    <x v="1"/>
    <x v="0"/>
    <n v="4"/>
    <x v="0"/>
    <x v="38"/>
    <n v="1"/>
    <n v="9"/>
    <x v="1"/>
  </r>
  <r>
    <x v="1476"/>
    <x v="5"/>
    <n v="4"/>
    <n v="61.5"/>
    <n v="246"/>
    <d v="2025-02-24T00:00:00"/>
    <d v="2025-03-03T00:00:00"/>
    <x v="2"/>
    <x v="1"/>
    <n v="2"/>
    <x v="0"/>
    <x v="13"/>
    <n v="7"/>
    <n v="9"/>
    <x v="2"/>
  </r>
  <r>
    <x v="1477"/>
    <x v="9"/>
    <n v="1"/>
    <n v="33.5"/>
    <n v="33.5"/>
    <d v="2025-02-25T00:00:00"/>
    <d v="2025-03-01T00:00:00"/>
    <x v="1"/>
    <x v="4"/>
    <n v="3"/>
    <x v="0"/>
    <x v="21"/>
    <n v="4"/>
    <n v="9"/>
    <x v="1"/>
  </r>
  <r>
    <x v="1478"/>
    <x v="4"/>
    <n v="3"/>
    <n v="29.3"/>
    <n v="87.9"/>
    <d v="2025-02-25T00:00:00"/>
    <d v="2025-02-27T00:00:00"/>
    <x v="2"/>
    <x v="1"/>
    <n v="5"/>
    <x v="0"/>
    <x v="1"/>
    <n v="2"/>
    <n v="9"/>
    <x v="2"/>
  </r>
  <r>
    <x v="1479"/>
    <x v="2"/>
    <n v="2"/>
    <n v="125.9"/>
    <n v="251.8"/>
    <d v="2025-02-25T00:00:00"/>
    <d v="2025-03-02T00:00:00"/>
    <x v="2"/>
    <x v="4"/>
    <n v="3"/>
    <x v="0"/>
    <x v="1"/>
    <n v="5"/>
    <n v="9"/>
    <x v="2"/>
  </r>
  <r>
    <x v="1480"/>
    <x v="5"/>
    <n v="5"/>
    <n v="29.3"/>
    <n v="146.5"/>
    <d v="2025-02-25T00:00:00"/>
    <d v="2025-02-25T00:00:00"/>
    <x v="1"/>
    <x v="2"/>
    <n v="4"/>
    <x v="0"/>
    <x v="44"/>
    <n v="0"/>
    <n v="9"/>
    <x v="1"/>
  </r>
  <r>
    <x v="1481"/>
    <x v="9"/>
    <n v="1"/>
    <n v="37.799999999999997"/>
    <n v="37.799999999999997"/>
    <d v="2025-02-25T00:00:00"/>
    <d v="2025-02-28T00:00:00"/>
    <x v="2"/>
    <x v="0"/>
    <n v="5"/>
    <x v="0"/>
    <x v="3"/>
    <n v="3"/>
    <n v="9"/>
    <x v="2"/>
  </r>
  <r>
    <x v="1482"/>
    <x v="0"/>
    <n v="4"/>
    <n v="31.7"/>
    <n v="126.8"/>
    <d v="2025-02-25T00:00:00"/>
    <d v="2025-02-26T00:00:00"/>
    <x v="1"/>
    <x v="2"/>
    <n v="5"/>
    <x v="0"/>
    <x v="3"/>
    <n v="1"/>
    <n v="9"/>
    <x v="1"/>
  </r>
  <r>
    <x v="1483"/>
    <x v="8"/>
    <n v="5"/>
    <n v="26.3"/>
    <n v="131.5"/>
    <d v="2025-02-25T00:00:00"/>
    <d v="2025-02-26T00:00:00"/>
    <x v="2"/>
    <x v="3"/>
    <n v="5"/>
    <x v="0"/>
    <x v="3"/>
    <n v="1"/>
    <n v="9"/>
    <x v="2"/>
  </r>
  <r>
    <x v="1484"/>
    <x v="8"/>
    <n v="3"/>
    <n v="23.1"/>
    <n v="69.300000000000011"/>
    <d v="2025-02-25T00:00:00"/>
    <d v="2025-02-26T00:00:00"/>
    <x v="3"/>
    <x v="2"/>
    <n v="3"/>
    <x v="0"/>
    <x v="3"/>
    <n v="1"/>
    <n v="9"/>
    <x v="3"/>
  </r>
  <r>
    <x v="1485"/>
    <x v="4"/>
    <n v="1"/>
    <n v="22.3"/>
    <n v="22.3"/>
    <d v="2025-02-25T00:00:00"/>
    <d v="2025-02-27T00:00:00"/>
    <x v="2"/>
    <x v="2"/>
    <n v="4"/>
    <x v="0"/>
    <x v="3"/>
    <n v="2"/>
    <n v="9"/>
    <x v="2"/>
  </r>
  <r>
    <x v="1486"/>
    <x v="12"/>
    <n v="2"/>
    <n v="99.5"/>
    <n v="199"/>
    <d v="2025-02-25T00:00:00"/>
    <d v="2025-02-27T00:00:00"/>
    <x v="2"/>
    <x v="2"/>
    <n v="4"/>
    <x v="0"/>
    <x v="3"/>
    <n v="2"/>
    <n v="9"/>
    <x v="2"/>
  </r>
  <r>
    <x v="1487"/>
    <x v="12"/>
    <n v="4"/>
    <n v="47.4"/>
    <n v="189.6"/>
    <d v="2025-02-25T00:00:00"/>
    <d v="2025-02-28T00:00:00"/>
    <x v="2"/>
    <x v="1"/>
    <n v="4"/>
    <x v="0"/>
    <x v="3"/>
    <n v="3"/>
    <n v="9"/>
    <x v="2"/>
  </r>
  <r>
    <x v="1488"/>
    <x v="0"/>
    <n v="11"/>
    <n v="37.5"/>
    <n v="412.5"/>
    <d v="2025-02-25T00:00:00"/>
    <d v="2025-02-27T00:00:00"/>
    <x v="2"/>
    <x v="0"/>
    <n v="1"/>
    <x v="0"/>
    <x v="3"/>
    <n v="2"/>
    <n v="9"/>
    <x v="2"/>
  </r>
  <r>
    <x v="1489"/>
    <x v="10"/>
    <n v="1"/>
    <n v="45.1"/>
    <n v="45.1"/>
    <d v="2025-02-25T00:00:00"/>
    <d v="2025-03-02T00:00:00"/>
    <x v="1"/>
    <x v="3"/>
    <n v="5"/>
    <x v="0"/>
    <x v="24"/>
    <n v="5"/>
    <n v="9"/>
    <x v="1"/>
  </r>
  <r>
    <x v="1490"/>
    <x v="5"/>
    <n v="10"/>
    <n v="34.4"/>
    <n v="344"/>
    <d v="2025-02-25T00:00:00"/>
    <d v="2025-02-28T00:00:00"/>
    <x v="1"/>
    <x v="2"/>
    <n v="4"/>
    <x v="0"/>
    <x v="16"/>
    <n v="3"/>
    <n v="9"/>
    <x v="1"/>
  </r>
  <r>
    <x v="1491"/>
    <x v="4"/>
    <n v="2"/>
    <n v="38"/>
    <n v="76"/>
    <d v="2025-02-25T00:00:00"/>
    <d v="2025-02-27T00:00:00"/>
    <x v="2"/>
    <x v="1"/>
    <n v="4"/>
    <x v="0"/>
    <x v="5"/>
    <n v="2"/>
    <n v="9"/>
    <x v="2"/>
  </r>
  <r>
    <x v="1492"/>
    <x v="3"/>
    <n v="14"/>
    <n v="32.4"/>
    <n v="453.59999999999997"/>
    <d v="2025-02-25T00:00:00"/>
    <d v="2025-02-28T00:00:00"/>
    <x v="1"/>
    <x v="4"/>
    <n v="4"/>
    <x v="0"/>
    <x v="6"/>
    <n v="3"/>
    <n v="9"/>
    <x v="1"/>
  </r>
  <r>
    <x v="1493"/>
    <x v="6"/>
    <n v="3"/>
    <n v="40.9"/>
    <n v="122.69999999999999"/>
    <d v="2025-02-25T00:00:00"/>
    <d v="2025-02-25T00:00:00"/>
    <x v="0"/>
    <x v="1"/>
    <n v="4"/>
    <x v="0"/>
    <x v="8"/>
    <n v="0"/>
    <n v="9"/>
    <x v="0"/>
  </r>
  <r>
    <x v="1494"/>
    <x v="7"/>
    <n v="7"/>
    <n v="76.2"/>
    <n v="533.4"/>
    <d v="2025-02-25T00:00:00"/>
    <d v="2025-02-27T00:00:00"/>
    <x v="2"/>
    <x v="2"/>
    <n v="3"/>
    <x v="0"/>
    <x v="8"/>
    <n v="2"/>
    <n v="9"/>
    <x v="2"/>
  </r>
  <r>
    <x v="1495"/>
    <x v="2"/>
    <n v="1"/>
    <n v="85.6"/>
    <n v="85.6"/>
    <d v="2025-02-25T00:00:00"/>
    <d v="2025-02-27T00:00:00"/>
    <x v="1"/>
    <x v="2"/>
    <n v="4"/>
    <x v="0"/>
    <x v="8"/>
    <n v="2"/>
    <n v="9"/>
    <x v="1"/>
  </r>
  <r>
    <x v="1496"/>
    <x v="4"/>
    <n v="4"/>
    <n v="25"/>
    <n v="100"/>
    <d v="2025-02-25T00:00:00"/>
    <d v="2025-02-27T00:00:00"/>
    <x v="2"/>
    <x v="2"/>
    <n v="5"/>
    <x v="0"/>
    <x v="8"/>
    <n v="2"/>
    <n v="9"/>
    <x v="2"/>
  </r>
  <r>
    <x v="1497"/>
    <x v="2"/>
    <n v="5"/>
    <n v="150.69999999999999"/>
    <n v="753.5"/>
    <d v="2025-02-25T00:00:00"/>
    <d v="2025-02-26T00:00:00"/>
    <x v="0"/>
    <x v="0"/>
    <n v="5"/>
    <x v="0"/>
    <x v="8"/>
    <n v="1"/>
    <n v="9"/>
    <x v="0"/>
  </r>
  <r>
    <x v="1498"/>
    <x v="8"/>
    <n v="1"/>
    <n v="19.600000000000001"/>
    <n v="19.600000000000001"/>
    <d v="2025-02-25T00:00:00"/>
    <d v="2025-02-26T00:00:00"/>
    <x v="1"/>
    <x v="1"/>
    <n v="2"/>
    <x v="0"/>
    <x v="8"/>
    <n v="1"/>
    <n v="9"/>
    <x v="1"/>
  </r>
  <r>
    <x v="1499"/>
    <x v="13"/>
    <n v="2"/>
    <n v="37.5"/>
    <n v="75"/>
    <d v="2025-02-25T00:00:00"/>
    <d v="2025-02-28T00:00:00"/>
    <x v="2"/>
    <x v="1"/>
    <n v="5"/>
    <x v="0"/>
    <x v="17"/>
    <n v="3"/>
    <n v="9"/>
    <x v="2"/>
  </r>
  <r>
    <x v="1500"/>
    <x v="9"/>
    <n v="3"/>
    <n v="51.9"/>
    <n v="155.69999999999999"/>
    <d v="2025-02-25T00:00:00"/>
    <d v="2025-03-03T00:00:00"/>
    <x v="2"/>
    <x v="0"/>
    <n v="2"/>
    <x v="0"/>
    <x v="11"/>
    <n v="6"/>
    <n v="9"/>
    <x v="2"/>
  </r>
  <r>
    <x v="1501"/>
    <x v="1"/>
    <n v="2"/>
    <n v="30.9"/>
    <n v="61.8"/>
    <d v="2025-02-25T00:00:00"/>
    <d v="2025-02-27T00:00:00"/>
    <x v="2"/>
    <x v="1"/>
    <n v="4"/>
    <x v="0"/>
    <x v="18"/>
    <n v="2"/>
    <n v="9"/>
    <x v="2"/>
  </r>
  <r>
    <x v="1502"/>
    <x v="4"/>
    <n v="3"/>
    <n v="21.2"/>
    <n v="63.599999999999994"/>
    <d v="2025-02-25T00:00:00"/>
    <d v="2025-02-28T00:00:00"/>
    <x v="2"/>
    <x v="1"/>
    <n v="4"/>
    <x v="0"/>
    <x v="19"/>
    <n v="3"/>
    <n v="9"/>
    <x v="2"/>
  </r>
  <r>
    <x v="1503"/>
    <x v="13"/>
    <n v="17"/>
    <n v="17.5"/>
    <n v="297.5"/>
    <d v="2025-02-25T00:00:00"/>
    <d v="2025-02-26T00:00:00"/>
    <x v="1"/>
    <x v="1"/>
    <n v="3"/>
    <x v="0"/>
    <x v="13"/>
    <n v="1"/>
    <n v="9"/>
    <x v="1"/>
  </r>
  <r>
    <x v="1504"/>
    <x v="12"/>
    <n v="2"/>
    <n v="53.8"/>
    <n v="107.6"/>
    <d v="2025-02-25T00:00:00"/>
    <d v="2025-03-02T00:00:00"/>
    <x v="2"/>
    <x v="0"/>
    <n v="5"/>
    <x v="0"/>
    <x v="21"/>
    <n v="5"/>
    <n v="9"/>
    <x v="2"/>
  </r>
  <r>
    <x v="1505"/>
    <x v="19"/>
    <n v="2"/>
    <n v="17"/>
    <n v="34"/>
    <d v="2025-02-25T00:00:00"/>
    <d v="2025-02-26T00:00:00"/>
    <x v="1"/>
    <x v="3"/>
    <n v="4"/>
    <x v="0"/>
    <x v="21"/>
    <n v="1"/>
    <n v="9"/>
    <x v="1"/>
  </r>
  <r>
    <x v="1506"/>
    <x v="6"/>
    <n v="1"/>
    <n v="103.2"/>
    <n v="103.2"/>
    <d v="2025-02-25T00:00:00"/>
    <d v="2025-03-05T00:00:00"/>
    <x v="1"/>
    <x v="2"/>
    <n v="3"/>
    <x v="0"/>
    <x v="1"/>
    <n v="8"/>
    <n v="9"/>
    <x v="1"/>
  </r>
  <r>
    <x v="1507"/>
    <x v="6"/>
    <n v="4"/>
    <n v="70.3"/>
    <n v="281.2"/>
    <d v="2025-02-25T00:00:00"/>
    <d v="2025-02-26T00:00:00"/>
    <x v="1"/>
    <x v="0"/>
    <n v="4"/>
    <x v="0"/>
    <x v="3"/>
    <n v="1"/>
    <n v="9"/>
    <x v="1"/>
  </r>
  <r>
    <x v="1508"/>
    <x v="2"/>
    <n v="2"/>
    <n v="73.8"/>
    <n v="147.6"/>
    <d v="2025-02-25T00:00:00"/>
    <d v="2025-02-25T00:00:00"/>
    <x v="1"/>
    <x v="3"/>
    <n v="5"/>
    <x v="0"/>
    <x v="3"/>
    <n v="0"/>
    <n v="9"/>
    <x v="1"/>
  </r>
  <r>
    <x v="1509"/>
    <x v="1"/>
    <n v="12"/>
    <n v="67.7"/>
    <n v="812.40000000000009"/>
    <d v="2025-02-25T00:00:00"/>
    <d v="2025-03-01T00:00:00"/>
    <x v="1"/>
    <x v="1"/>
    <n v="3"/>
    <x v="0"/>
    <x v="3"/>
    <n v="4"/>
    <n v="9"/>
    <x v="1"/>
  </r>
  <r>
    <x v="1510"/>
    <x v="13"/>
    <n v="7"/>
    <n v="43.8"/>
    <n v="306.59999999999997"/>
    <d v="2025-02-25T00:00:00"/>
    <d v="2025-02-27T00:00:00"/>
    <x v="1"/>
    <x v="1"/>
    <n v="4"/>
    <x v="0"/>
    <x v="3"/>
    <n v="2"/>
    <n v="9"/>
    <x v="1"/>
  </r>
  <r>
    <x v="1511"/>
    <x v="17"/>
    <n v="6"/>
    <n v="71.900000000000006"/>
    <n v="431.40000000000003"/>
    <d v="2025-02-25T00:00:00"/>
    <d v="2025-02-26T00:00:00"/>
    <x v="2"/>
    <x v="2"/>
    <n v="4"/>
    <x v="0"/>
    <x v="3"/>
    <n v="1"/>
    <n v="9"/>
    <x v="2"/>
  </r>
  <r>
    <x v="1512"/>
    <x v="8"/>
    <n v="2"/>
    <n v="26.3"/>
    <n v="52.6"/>
    <d v="2025-02-26T00:00:00"/>
    <d v="2025-02-28T00:00:00"/>
    <x v="2"/>
    <x v="0"/>
    <n v="3"/>
    <x v="0"/>
    <x v="3"/>
    <n v="2"/>
    <n v="9"/>
    <x v="2"/>
  </r>
  <r>
    <x v="1513"/>
    <x v="6"/>
    <n v="4"/>
    <n v="52.6"/>
    <n v="210.4"/>
    <d v="2025-02-26T00:00:00"/>
    <d v="2025-02-28T00:00:00"/>
    <x v="2"/>
    <x v="2"/>
    <n v="3"/>
    <x v="0"/>
    <x v="3"/>
    <n v="2"/>
    <n v="9"/>
    <x v="2"/>
  </r>
  <r>
    <x v="1514"/>
    <x v="10"/>
    <n v="1"/>
    <n v="32.700000000000003"/>
    <n v="32.700000000000003"/>
    <d v="2025-02-26T00:00:00"/>
    <d v="2025-03-05T00:00:00"/>
    <x v="2"/>
    <x v="0"/>
    <n v="5"/>
    <x v="0"/>
    <x v="3"/>
    <n v="7"/>
    <n v="9"/>
    <x v="2"/>
  </r>
  <r>
    <x v="1515"/>
    <x v="5"/>
    <n v="4"/>
    <n v="38.9"/>
    <n v="155.6"/>
    <d v="2025-02-26T00:00:00"/>
    <d v="2025-02-27T00:00:00"/>
    <x v="2"/>
    <x v="0"/>
    <n v="4"/>
    <x v="0"/>
    <x v="3"/>
    <n v="1"/>
    <n v="9"/>
    <x v="2"/>
  </r>
  <r>
    <x v="1516"/>
    <x v="9"/>
    <n v="5"/>
    <n v="35"/>
    <n v="175"/>
    <d v="2025-02-26T00:00:00"/>
    <d v="2025-02-28T00:00:00"/>
    <x v="1"/>
    <x v="0"/>
    <n v="4"/>
    <x v="0"/>
    <x v="3"/>
    <n v="2"/>
    <n v="9"/>
    <x v="1"/>
  </r>
  <r>
    <x v="1517"/>
    <x v="2"/>
    <n v="2"/>
    <n v="121"/>
    <n v="242"/>
    <d v="2025-02-26T00:00:00"/>
    <d v="2025-02-27T00:00:00"/>
    <x v="2"/>
    <x v="1"/>
    <n v="3"/>
    <x v="0"/>
    <x v="3"/>
    <n v="1"/>
    <n v="9"/>
    <x v="2"/>
  </r>
  <r>
    <x v="1518"/>
    <x v="6"/>
    <n v="3"/>
    <n v="65.099999999999994"/>
    <n v="195.29999999999998"/>
    <d v="2025-02-26T00:00:00"/>
    <d v="2025-03-02T00:00:00"/>
    <x v="1"/>
    <x v="2"/>
    <n v="4"/>
    <x v="0"/>
    <x v="36"/>
    <n v="4"/>
    <n v="9"/>
    <x v="1"/>
  </r>
  <r>
    <x v="1519"/>
    <x v="1"/>
    <n v="21"/>
    <n v="63.8"/>
    <n v="1339.8"/>
    <d v="2025-02-26T00:00:00"/>
    <d v="2025-02-28T00:00:00"/>
    <x v="2"/>
    <x v="0"/>
    <n v="4"/>
    <x v="0"/>
    <x v="8"/>
    <n v="2"/>
    <n v="9"/>
    <x v="2"/>
  </r>
  <r>
    <x v="1520"/>
    <x v="7"/>
    <n v="1"/>
    <n v="77.7"/>
    <n v="77.7"/>
    <d v="2025-02-26T00:00:00"/>
    <d v="2025-02-28T00:00:00"/>
    <x v="1"/>
    <x v="0"/>
    <n v="4"/>
    <x v="0"/>
    <x v="8"/>
    <n v="2"/>
    <n v="9"/>
    <x v="1"/>
  </r>
  <r>
    <x v="1521"/>
    <x v="5"/>
    <n v="4"/>
    <n v="60.3"/>
    <n v="241.2"/>
    <d v="2025-02-26T00:00:00"/>
    <d v="2025-02-26T00:00:00"/>
    <x v="1"/>
    <x v="0"/>
    <n v="5"/>
    <x v="0"/>
    <x v="8"/>
    <n v="0"/>
    <n v="9"/>
    <x v="1"/>
  </r>
  <r>
    <x v="1522"/>
    <x v="5"/>
    <n v="2"/>
    <n v="124.1"/>
    <n v="248.2"/>
    <d v="2025-02-26T00:00:00"/>
    <d v="2025-03-01T00:00:00"/>
    <x v="2"/>
    <x v="0"/>
    <n v="5"/>
    <x v="0"/>
    <x v="8"/>
    <n v="3"/>
    <n v="9"/>
    <x v="2"/>
  </r>
  <r>
    <x v="1523"/>
    <x v="16"/>
    <n v="7"/>
    <n v="66"/>
    <n v="462"/>
    <d v="2025-02-26T00:00:00"/>
    <d v="2025-02-26T00:00:00"/>
    <x v="0"/>
    <x v="3"/>
    <n v="4"/>
    <x v="0"/>
    <x v="17"/>
    <n v="0"/>
    <n v="9"/>
    <x v="0"/>
  </r>
  <r>
    <x v="1524"/>
    <x v="2"/>
    <n v="63"/>
    <n v="118.2"/>
    <n v="7446.6"/>
    <d v="2025-02-26T00:00:00"/>
    <d v="2025-03-03T00:00:00"/>
    <x v="0"/>
    <x v="0"/>
    <n v="4"/>
    <x v="0"/>
    <x v="17"/>
    <n v="5"/>
    <n v="9"/>
    <x v="0"/>
  </r>
  <r>
    <x v="1525"/>
    <x v="5"/>
    <n v="5"/>
    <n v="64.3"/>
    <n v="321.5"/>
    <d v="2025-02-26T00:00:00"/>
    <d v="2025-02-27T00:00:00"/>
    <x v="1"/>
    <x v="4"/>
    <n v="2"/>
    <x v="0"/>
    <x v="26"/>
    <n v="1"/>
    <n v="9"/>
    <x v="1"/>
  </r>
  <r>
    <x v="1526"/>
    <x v="1"/>
    <n v="2"/>
    <n v="54.8"/>
    <n v="109.6"/>
    <d v="2025-02-26T00:00:00"/>
    <d v="2025-02-26T00:00:00"/>
    <x v="1"/>
    <x v="0"/>
    <n v="3"/>
    <x v="0"/>
    <x v="26"/>
    <n v="0"/>
    <n v="9"/>
    <x v="1"/>
  </r>
  <r>
    <x v="1527"/>
    <x v="7"/>
    <n v="2"/>
    <n v="78.599999999999994"/>
    <n v="157.19999999999999"/>
    <d v="2025-02-26T00:00:00"/>
    <d v="2025-02-27T00:00:00"/>
    <x v="1"/>
    <x v="0"/>
    <n v="5"/>
    <x v="0"/>
    <x v="9"/>
    <n v="1"/>
    <n v="9"/>
    <x v="1"/>
  </r>
  <r>
    <x v="1528"/>
    <x v="2"/>
    <n v="5"/>
    <n v="158.5"/>
    <n v="792.5"/>
    <d v="2025-02-26T00:00:00"/>
    <d v="2025-02-28T00:00:00"/>
    <x v="0"/>
    <x v="2"/>
    <n v="5"/>
    <x v="0"/>
    <x v="9"/>
    <n v="2"/>
    <n v="9"/>
    <x v="0"/>
  </r>
  <r>
    <x v="1529"/>
    <x v="4"/>
    <n v="10"/>
    <n v="23.5"/>
    <n v="235"/>
    <d v="2025-02-26T00:00:00"/>
    <d v="2025-03-01T00:00:00"/>
    <x v="1"/>
    <x v="0"/>
    <n v="2"/>
    <x v="0"/>
    <x v="10"/>
    <n v="3"/>
    <n v="9"/>
    <x v="1"/>
  </r>
  <r>
    <x v="1530"/>
    <x v="5"/>
    <n v="2"/>
    <n v="32.1"/>
    <n v="64.2"/>
    <d v="2025-02-26T00:00:00"/>
    <d v="2025-02-28T00:00:00"/>
    <x v="0"/>
    <x v="3"/>
    <n v="4"/>
    <x v="0"/>
    <x v="10"/>
    <n v="2"/>
    <n v="9"/>
    <x v="0"/>
  </r>
  <r>
    <x v="1531"/>
    <x v="17"/>
    <n v="4"/>
    <n v="71.900000000000006"/>
    <n v="287.60000000000002"/>
    <d v="2025-02-26T00:00:00"/>
    <d v="2025-02-26T00:00:00"/>
    <x v="1"/>
    <x v="2"/>
    <n v="4"/>
    <x v="0"/>
    <x v="19"/>
    <n v="0"/>
    <n v="9"/>
    <x v="1"/>
  </r>
  <r>
    <x v="1532"/>
    <x v="4"/>
    <n v="6"/>
    <n v="22.3"/>
    <n v="133.80000000000001"/>
    <d v="2025-02-26T00:00:00"/>
    <d v="2025-02-27T00:00:00"/>
    <x v="0"/>
    <x v="3"/>
    <n v="5"/>
    <x v="0"/>
    <x v="13"/>
    <n v="1"/>
    <n v="9"/>
    <x v="0"/>
  </r>
  <r>
    <x v="1533"/>
    <x v="11"/>
    <n v="2"/>
    <n v="29.5"/>
    <n v="59"/>
    <d v="2025-02-26T00:00:00"/>
    <d v="2025-02-27T00:00:00"/>
    <x v="2"/>
    <x v="0"/>
    <n v="5"/>
    <x v="0"/>
    <x v="13"/>
    <n v="1"/>
    <n v="9"/>
    <x v="2"/>
  </r>
  <r>
    <x v="1534"/>
    <x v="6"/>
    <n v="4"/>
    <n v="41.9"/>
    <n v="167.6"/>
    <d v="2025-02-26T00:00:00"/>
    <d v="2025-03-02T00:00:00"/>
    <x v="2"/>
    <x v="0"/>
    <n v="3"/>
    <x v="0"/>
    <x v="21"/>
    <n v="4"/>
    <n v="9"/>
    <x v="2"/>
  </r>
  <r>
    <x v="1535"/>
    <x v="6"/>
    <n v="3"/>
    <n v="107.8"/>
    <n v="323.39999999999998"/>
    <d v="2025-02-26T00:00:00"/>
    <d v="2025-02-27T00:00:00"/>
    <x v="1"/>
    <x v="1"/>
    <n v="5"/>
    <x v="0"/>
    <x v="46"/>
    <n v="1"/>
    <n v="9"/>
    <x v="1"/>
  </r>
  <r>
    <x v="1536"/>
    <x v="4"/>
    <n v="5"/>
    <n v="18.100000000000001"/>
    <n v="90.5"/>
    <d v="2025-02-26T00:00:00"/>
    <d v="2025-03-01T00:00:00"/>
    <x v="1"/>
    <x v="0"/>
    <n v="5"/>
    <x v="0"/>
    <x v="2"/>
    <n v="3"/>
    <n v="9"/>
    <x v="1"/>
  </r>
  <r>
    <x v="1537"/>
    <x v="12"/>
    <n v="9"/>
    <n v="79.8"/>
    <n v="718.19999999999993"/>
    <d v="2025-02-26T00:00:00"/>
    <d v="2025-02-27T00:00:00"/>
    <x v="2"/>
    <x v="1"/>
    <n v="3"/>
    <x v="0"/>
    <x v="22"/>
    <n v="1"/>
    <n v="9"/>
    <x v="2"/>
  </r>
  <r>
    <x v="1538"/>
    <x v="0"/>
    <n v="3"/>
    <n v="22.3"/>
    <n v="66.900000000000006"/>
    <d v="2025-02-26T00:00:00"/>
    <d v="2025-03-01T00:00:00"/>
    <x v="2"/>
    <x v="0"/>
    <n v="5"/>
    <x v="0"/>
    <x v="22"/>
    <n v="3"/>
    <n v="9"/>
    <x v="2"/>
  </r>
  <r>
    <x v="1539"/>
    <x v="8"/>
    <n v="1"/>
    <n v="22.9"/>
    <n v="22.9"/>
    <d v="2025-02-26T00:00:00"/>
    <d v="2025-02-26T00:00:00"/>
    <x v="2"/>
    <x v="1"/>
    <n v="4"/>
    <x v="0"/>
    <x v="22"/>
    <n v="0"/>
    <n v="9"/>
    <x v="2"/>
  </r>
  <r>
    <x v="1540"/>
    <x v="0"/>
    <n v="3"/>
    <n v="16.2"/>
    <n v="48.599999999999994"/>
    <d v="2025-02-27T00:00:00"/>
    <d v="2025-02-27T00:00:00"/>
    <x v="1"/>
    <x v="4"/>
    <n v="5"/>
    <x v="0"/>
    <x v="3"/>
    <n v="0"/>
    <n v="9"/>
    <x v="1"/>
  </r>
  <r>
    <x v="1541"/>
    <x v="10"/>
    <n v="4"/>
    <n v="59.5"/>
    <n v="238"/>
    <d v="2025-02-27T00:00:00"/>
    <d v="2025-02-28T00:00:00"/>
    <x v="1"/>
    <x v="1"/>
    <n v="5"/>
    <x v="0"/>
    <x v="3"/>
    <n v="1"/>
    <n v="9"/>
    <x v="1"/>
  </r>
  <r>
    <x v="1542"/>
    <x v="18"/>
    <n v="5"/>
    <n v="26.2"/>
    <n v="131"/>
    <d v="2025-02-27T00:00:00"/>
    <d v="2025-03-02T00:00:00"/>
    <x v="1"/>
    <x v="3"/>
    <n v="2"/>
    <x v="0"/>
    <x v="3"/>
    <n v="3"/>
    <n v="9"/>
    <x v="1"/>
  </r>
  <r>
    <x v="1543"/>
    <x v="3"/>
    <n v="1"/>
    <n v="44.2"/>
    <n v="44.2"/>
    <d v="2025-02-27T00:00:00"/>
    <d v="2025-03-02T00:00:00"/>
    <x v="2"/>
    <x v="1"/>
    <n v="4"/>
    <x v="0"/>
    <x v="3"/>
    <n v="3"/>
    <n v="9"/>
    <x v="2"/>
  </r>
  <r>
    <x v="1544"/>
    <x v="9"/>
    <n v="2"/>
    <n v="59.2"/>
    <n v="118.4"/>
    <d v="2025-02-27T00:00:00"/>
    <d v="2025-02-27T00:00:00"/>
    <x v="2"/>
    <x v="1"/>
    <n v="2"/>
    <x v="0"/>
    <x v="3"/>
    <n v="0"/>
    <n v="9"/>
    <x v="2"/>
  </r>
  <r>
    <x v="1545"/>
    <x v="15"/>
    <n v="4"/>
    <n v="41.5"/>
    <n v="166"/>
    <d v="2025-02-27T00:00:00"/>
    <d v="2025-03-01T00:00:00"/>
    <x v="2"/>
    <x v="0"/>
    <n v="4"/>
    <x v="0"/>
    <x v="16"/>
    <n v="2"/>
    <n v="9"/>
    <x v="2"/>
  </r>
  <r>
    <x v="1546"/>
    <x v="6"/>
    <n v="12"/>
    <n v="67.099999999999994"/>
    <n v="805.19999999999993"/>
    <d v="2025-02-27T00:00:00"/>
    <d v="2025-03-13T00:00:00"/>
    <x v="2"/>
    <x v="0"/>
    <n v="5"/>
    <x v="0"/>
    <x v="23"/>
    <n v="14"/>
    <n v="9"/>
    <x v="2"/>
  </r>
  <r>
    <x v="1547"/>
    <x v="8"/>
    <n v="2"/>
    <n v="28.7"/>
    <n v="57.4"/>
    <d v="2025-02-27T00:00:00"/>
    <d v="2025-03-03T00:00:00"/>
    <x v="2"/>
    <x v="1"/>
    <n v="4"/>
    <x v="0"/>
    <x v="6"/>
    <n v="4"/>
    <n v="9"/>
    <x v="2"/>
  </r>
  <r>
    <x v="1548"/>
    <x v="2"/>
    <n v="4"/>
    <n v="132.1"/>
    <n v="528.4"/>
    <d v="2025-02-27T00:00:00"/>
    <d v="2025-02-28T00:00:00"/>
    <x v="2"/>
    <x v="0"/>
    <n v="3"/>
    <x v="0"/>
    <x v="6"/>
    <n v="1"/>
    <n v="9"/>
    <x v="2"/>
  </r>
  <r>
    <x v="1549"/>
    <x v="18"/>
    <n v="2"/>
    <n v="47"/>
    <n v="94"/>
    <d v="2025-02-27T00:00:00"/>
    <d v="2025-03-01T00:00:00"/>
    <x v="1"/>
    <x v="4"/>
    <n v="4"/>
    <x v="0"/>
    <x v="8"/>
    <n v="2"/>
    <n v="9"/>
    <x v="1"/>
  </r>
  <r>
    <x v="1550"/>
    <x v="8"/>
    <n v="2"/>
    <n v="41.6"/>
    <n v="83.2"/>
    <d v="2025-02-27T00:00:00"/>
    <d v="2025-03-03T00:00:00"/>
    <x v="1"/>
    <x v="1"/>
    <n v="5"/>
    <x v="0"/>
    <x v="8"/>
    <n v="4"/>
    <n v="9"/>
    <x v="1"/>
  </r>
  <r>
    <x v="1551"/>
    <x v="8"/>
    <n v="38"/>
    <n v="17.3"/>
    <n v="657.4"/>
    <d v="2025-02-27T00:00:00"/>
    <d v="2025-03-01T00:00:00"/>
    <x v="1"/>
    <x v="2"/>
    <n v="5"/>
    <x v="0"/>
    <x v="8"/>
    <n v="2"/>
    <n v="9"/>
    <x v="1"/>
  </r>
  <r>
    <x v="1552"/>
    <x v="13"/>
    <n v="3"/>
    <n v="41.8"/>
    <n v="125.39999999999999"/>
    <d v="2025-02-27T00:00:00"/>
    <d v="2025-03-02T00:00:00"/>
    <x v="1"/>
    <x v="0"/>
    <n v="5"/>
    <x v="0"/>
    <x v="8"/>
    <n v="3"/>
    <n v="9"/>
    <x v="1"/>
  </r>
  <r>
    <x v="1553"/>
    <x v="10"/>
    <n v="1"/>
    <n v="24"/>
    <n v="24"/>
    <d v="2025-02-27T00:00:00"/>
    <d v="2025-02-28T00:00:00"/>
    <x v="2"/>
    <x v="0"/>
    <n v="4"/>
    <x v="0"/>
    <x v="17"/>
    <n v="1"/>
    <n v="9"/>
    <x v="2"/>
  </r>
  <r>
    <x v="1554"/>
    <x v="14"/>
    <n v="9"/>
    <n v="18.5"/>
    <n v="166.5"/>
    <d v="2025-02-27T00:00:00"/>
    <d v="2025-03-01T00:00:00"/>
    <x v="2"/>
    <x v="0"/>
    <n v="4"/>
    <x v="0"/>
    <x v="9"/>
    <n v="2"/>
    <n v="9"/>
    <x v="2"/>
  </r>
  <r>
    <x v="1555"/>
    <x v="3"/>
    <n v="12"/>
    <n v="66.7"/>
    <n v="800.40000000000009"/>
    <d v="2025-02-27T00:00:00"/>
    <d v="2025-03-02T00:00:00"/>
    <x v="0"/>
    <x v="0"/>
    <n v="5"/>
    <x v="0"/>
    <x v="11"/>
    <n v="3"/>
    <n v="9"/>
    <x v="0"/>
  </r>
  <r>
    <x v="1556"/>
    <x v="1"/>
    <n v="4"/>
    <n v="33.1"/>
    <n v="132.4"/>
    <d v="2025-02-27T00:00:00"/>
    <d v="2025-03-04T00:00:00"/>
    <x v="1"/>
    <x v="3"/>
    <n v="4"/>
    <x v="0"/>
    <x v="11"/>
    <n v="5"/>
    <n v="9"/>
    <x v="1"/>
  </r>
  <r>
    <x v="1557"/>
    <x v="19"/>
    <n v="9"/>
    <n v="42.1"/>
    <n v="378.90000000000003"/>
    <d v="2025-02-27T00:00:00"/>
    <d v="2025-03-10T00:00:00"/>
    <x v="1"/>
    <x v="1"/>
    <n v="4"/>
    <x v="0"/>
    <x v="18"/>
    <n v="11"/>
    <n v="9"/>
    <x v="1"/>
  </r>
  <r>
    <x v="1558"/>
    <x v="18"/>
    <n v="7"/>
    <n v="58.7"/>
    <n v="410.90000000000003"/>
    <d v="2025-02-27T00:00:00"/>
    <d v="2025-02-27T00:00:00"/>
    <x v="3"/>
    <x v="3"/>
    <n v="4"/>
    <x v="0"/>
    <x v="31"/>
    <n v="0"/>
    <n v="9"/>
    <x v="3"/>
  </r>
  <r>
    <x v="1559"/>
    <x v="6"/>
    <n v="4"/>
    <n v="54"/>
    <n v="216"/>
    <d v="2025-02-27T00:00:00"/>
    <d v="2025-03-01T00:00:00"/>
    <x v="2"/>
    <x v="1"/>
    <n v="4"/>
    <x v="0"/>
    <x v="1"/>
    <n v="2"/>
    <n v="9"/>
    <x v="2"/>
  </r>
  <r>
    <x v="1560"/>
    <x v="8"/>
    <n v="1"/>
    <n v="52.1"/>
    <n v="52.1"/>
    <d v="2025-02-27T00:00:00"/>
    <d v="2025-02-28T00:00:00"/>
    <x v="2"/>
    <x v="2"/>
    <n v="5"/>
    <x v="0"/>
    <x v="2"/>
    <n v="1"/>
    <n v="9"/>
    <x v="2"/>
  </r>
  <r>
    <x v="1561"/>
    <x v="19"/>
    <n v="2"/>
    <n v="27"/>
    <n v="54"/>
    <d v="2025-02-27T00:00:00"/>
    <d v="2025-03-02T00:00:00"/>
    <x v="3"/>
    <x v="2"/>
    <n v="4"/>
    <x v="0"/>
    <x v="22"/>
    <n v="3"/>
    <n v="9"/>
    <x v="3"/>
  </r>
  <r>
    <x v="1562"/>
    <x v="12"/>
    <n v="10"/>
    <n v="31"/>
    <n v="310"/>
    <d v="2025-02-28T00:00:00"/>
    <d v="2025-03-01T00:00:00"/>
    <x v="2"/>
    <x v="3"/>
    <n v="5"/>
    <x v="0"/>
    <x v="22"/>
    <n v="1"/>
    <n v="9"/>
    <x v="2"/>
  </r>
  <r>
    <x v="1563"/>
    <x v="10"/>
    <n v="2"/>
    <n v="46.7"/>
    <n v="93.4"/>
    <d v="2025-02-28T00:00:00"/>
    <d v="2025-02-28T00:00:00"/>
    <x v="2"/>
    <x v="0"/>
    <n v="4"/>
    <x v="0"/>
    <x v="34"/>
    <n v="0"/>
    <n v="9"/>
    <x v="2"/>
  </r>
  <r>
    <x v="1564"/>
    <x v="6"/>
    <n v="1"/>
    <n v="144.69999999999999"/>
    <n v="144.69999999999999"/>
    <d v="2025-02-28T00:00:00"/>
    <d v="2025-03-03T00:00:00"/>
    <x v="1"/>
    <x v="0"/>
    <n v="5"/>
    <x v="0"/>
    <x v="3"/>
    <n v="3"/>
    <n v="9"/>
    <x v="1"/>
  </r>
  <r>
    <x v="1565"/>
    <x v="2"/>
    <n v="9"/>
    <n v="90.9"/>
    <n v="818.1"/>
    <d v="2025-02-28T00:00:00"/>
    <d v="2025-03-01T00:00:00"/>
    <x v="1"/>
    <x v="0"/>
    <n v="5"/>
    <x v="0"/>
    <x v="3"/>
    <n v="1"/>
    <n v="9"/>
    <x v="1"/>
  </r>
  <r>
    <x v="1566"/>
    <x v="1"/>
    <n v="2"/>
    <n v="75.8"/>
    <n v="151.6"/>
    <d v="2025-02-28T00:00:00"/>
    <d v="2025-03-01T00:00:00"/>
    <x v="2"/>
    <x v="2"/>
    <n v="3"/>
    <x v="0"/>
    <x v="3"/>
    <n v="1"/>
    <n v="9"/>
    <x v="2"/>
  </r>
  <r>
    <x v="1567"/>
    <x v="7"/>
    <n v="5"/>
    <n v="57.9"/>
    <n v="289.5"/>
    <d v="2025-02-28T00:00:00"/>
    <d v="2025-03-02T00:00:00"/>
    <x v="1"/>
    <x v="2"/>
    <n v="5"/>
    <x v="0"/>
    <x v="3"/>
    <n v="2"/>
    <n v="9"/>
    <x v="1"/>
  </r>
  <r>
    <x v="1568"/>
    <x v="8"/>
    <n v="5"/>
    <n v="44.8"/>
    <n v="224"/>
    <d v="2025-02-28T00:00:00"/>
    <d v="2025-03-01T00:00:00"/>
    <x v="2"/>
    <x v="3"/>
    <n v="5"/>
    <x v="0"/>
    <x v="3"/>
    <n v="1"/>
    <n v="9"/>
    <x v="2"/>
  </r>
  <r>
    <x v="1569"/>
    <x v="9"/>
    <n v="3"/>
    <n v="44.2"/>
    <n v="132.60000000000002"/>
    <d v="2025-02-28T00:00:00"/>
    <d v="2025-03-04T00:00:00"/>
    <x v="1"/>
    <x v="2"/>
    <n v="5"/>
    <x v="0"/>
    <x v="3"/>
    <n v="4"/>
    <n v="9"/>
    <x v="1"/>
  </r>
  <r>
    <x v="1570"/>
    <x v="5"/>
    <n v="5"/>
    <n v="53.5"/>
    <n v="267.5"/>
    <d v="2025-02-28T00:00:00"/>
    <d v="2025-03-02T00:00:00"/>
    <x v="1"/>
    <x v="0"/>
    <n v="4"/>
    <x v="0"/>
    <x v="37"/>
    <n v="2"/>
    <n v="9"/>
    <x v="1"/>
  </r>
  <r>
    <x v="1571"/>
    <x v="6"/>
    <n v="2"/>
    <n v="72.2"/>
    <n v="144.4"/>
    <d v="2025-02-28T00:00:00"/>
    <d v="2025-03-01T00:00:00"/>
    <x v="1"/>
    <x v="0"/>
    <n v="5"/>
    <x v="0"/>
    <x v="25"/>
    <n v="1"/>
    <n v="9"/>
    <x v="1"/>
  </r>
  <r>
    <x v="1572"/>
    <x v="6"/>
    <n v="4"/>
    <n v="62.4"/>
    <n v="249.6"/>
    <d v="2025-02-28T00:00:00"/>
    <d v="2025-03-03T00:00:00"/>
    <x v="2"/>
    <x v="0"/>
    <n v="3"/>
    <x v="0"/>
    <x v="23"/>
    <n v="3"/>
    <n v="9"/>
    <x v="2"/>
  </r>
  <r>
    <x v="1573"/>
    <x v="10"/>
    <n v="5"/>
    <n v="24.7"/>
    <n v="123.5"/>
    <d v="2025-02-28T00:00:00"/>
    <d v="2025-03-01T00:00:00"/>
    <x v="2"/>
    <x v="0"/>
    <n v="4"/>
    <x v="0"/>
    <x v="6"/>
    <n v="1"/>
    <n v="9"/>
    <x v="2"/>
  </r>
  <r>
    <x v="1574"/>
    <x v="1"/>
    <n v="5"/>
    <n v="61.7"/>
    <n v="308.5"/>
    <d v="2025-02-28T00:00:00"/>
    <d v="2025-03-02T00:00:00"/>
    <x v="2"/>
    <x v="2"/>
    <n v="4"/>
    <x v="0"/>
    <x v="8"/>
    <n v="2"/>
    <n v="9"/>
    <x v="2"/>
  </r>
  <r>
    <x v="1575"/>
    <x v="8"/>
    <n v="5"/>
    <n v="18.2"/>
    <n v="91"/>
    <d v="2025-02-28T00:00:00"/>
    <d v="2025-03-02T00:00:00"/>
    <x v="2"/>
    <x v="3"/>
    <n v="4"/>
    <x v="0"/>
    <x v="8"/>
    <n v="2"/>
    <n v="9"/>
    <x v="2"/>
  </r>
  <r>
    <x v="1576"/>
    <x v="10"/>
    <n v="4"/>
    <n v="37.200000000000003"/>
    <n v="148.80000000000001"/>
    <d v="2025-02-28T00:00:00"/>
    <d v="2025-03-06T00:00:00"/>
    <x v="2"/>
    <x v="0"/>
    <n v="4"/>
    <x v="0"/>
    <x v="8"/>
    <n v="6"/>
    <n v="9"/>
    <x v="2"/>
  </r>
  <r>
    <x v="1577"/>
    <x v="9"/>
    <n v="3"/>
    <n v="53.5"/>
    <n v="160.5"/>
    <d v="2025-02-28T00:00:00"/>
    <d v="2025-03-02T00:00:00"/>
    <x v="2"/>
    <x v="1"/>
    <n v="5"/>
    <x v="0"/>
    <x v="9"/>
    <n v="2"/>
    <n v="9"/>
    <x v="2"/>
  </r>
  <r>
    <x v="1578"/>
    <x v="8"/>
    <n v="3"/>
    <n v="43.6"/>
    <n v="130.80000000000001"/>
    <d v="2025-02-28T00:00:00"/>
    <d v="2025-02-28T00:00:00"/>
    <x v="2"/>
    <x v="0"/>
    <n v="4"/>
    <x v="0"/>
    <x v="9"/>
    <n v="0"/>
    <n v="9"/>
    <x v="2"/>
  </r>
  <r>
    <x v="1579"/>
    <x v="1"/>
    <n v="10"/>
    <n v="135"/>
    <n v="1350"/>
    <d v="2025-02-28T00:00:00"/>
    <d v="2025-03-02T00:00:00"/>
    <x v="2"/>
    <x v="0"/>
    <n v="5"/>
    <x v="0"/>
    <x v="9"/>
    <n v="2"/>
    <n v="9"/>
    <x v="2"/>
  </r>
  <r>
    <x v="1580"/>
    <x v="8"/>
    <n v="5"/>
    <n v="38.5"/>
    <n v="192.5"/>
    <d v="2025-02-28T00:00:00"/>
    <d v="2025-02-28T00:00:00"/>
    <x v="1"/>
    <x v="4"/>
    <n v="5"/>
    <x v="0"/>
    <x v="10"/>
    <n v="0"/>
    <n v="9"/>
    <x v="1"/>
  </r>
  <r>
    <x v="1581"/>
    <x v="9"/>
    <n v="2"/>
    <n v="24"/>
    <n v="48"/>
    <d v="2025-02-28T00:00:00"/>
    <d v="2025-03-05T00:00:00"/>
    <x v="2"/>
    <x v="0"/>
    <n v="4"/>
    <x v="0"/>
    <x v="11"/>
    <n v="5"/>
    <n v="9"/>
    <x v="2"/>
  </r>
  <r>
    <x v="1582"/>
    <x v="4"/>
    <n v="3"/>
    <n v="28.2"/>
    <n v="84.6"/>
    <d v="2025-02-28T00:00:00"/>
    <d v="2025-03-02T00:00:00"/>
    <x v="1"/>
    <x v="0"/>
    <n v="1"/>
    <x v="0"/>
    <x v="18"/>
    <n v="2"/>
    <n v="9"/>
    <x v="1"/>
  </r>
  <r>
    <x v="1583"/>
    <x v="7"/>
    <n v="3"/>
    <n v="37.4"/>
    <n v="112.19999999999999"/>
    <d v="2025-02-28T00:00:00"/>
    <d v="2025-03-01T00:00:00"/>
    <x v="2"/>
    <x v="3"/>
    <n v="4"/>
    <x v="0"/>
    <x v="1"/>
    <n v="1"/>
    <n v="9"/>
    <x v="2"/>
  </r>
  <r>
    <x v="1584"/>
    <x v="6"/>
    <n v="3"/>
    <n v="53.5"/>
    <n v="160.5"/>
    <d v="2025-02-28T00:00:00"/>
    <d v="2025-03-03T00:00:00"/>
    <x v="0"/>
    <x v="4"/>
    <n v="2"/>
    <x v="0"/>
    <x v="1"/>
    <n v="3"/>
    <n v="9"/>
    <x v="0"/>
  </r>
  <r>
    <x v="1585"/>
    <x v="11"/>
    <n v="5"/>
    <n v="36.200000000000003"/>
    <n v="181"/>
    <d v="2025-02-28T00:00:00"/>
    <d v="2025-03-01T00:00:00"/>
    <x v="1"/>
    <x v="1"/>
    <n v="5"/>
    <x v="0"/>
    <x v="33"/>
    <n v="1"/>
    <n v="9"/>
    <x v="1"/>
  </r>
  <r>
    <x v="1586"/>
    <x v="0"/>
    <n v="8"/>
    <n v="31.9"/>
    <n v="255.2"/>
    <d v="2025-02-28T00:00:00"/>
    <d v="2025-03-01T00:00:00"/>
    <x v="2"/>
    <x v="4"/>
    <n v="4"/>
    <x v="0"/>
    <x v="3"/>
    <n v="1"/>
    <n v="9"/>
    <x v="2"/>
  </r>
  <r>
    <x v="1587"/>
    <x v="8"/>
    <n v="3"/>
    <n v="21.3"/>
    <n v="63.900000000000006"/>
    <d v="2025-02-28T00:00:00"/>
    <d v="2025-03-01T00:00:00"/>
    <x v="1"/>
    <x v="0"/>
    <n v="5"/>
    <x v="0"/>
    <x v="3"/>
    <n v="1"/>
    <n v="9"/>
    <x v="1"/>
  </r>
  <r>
    <x v="1588"/>
    <x v="8"/>
    <n v="1"/>
    <n v="36.299999999999997"/>
    <n v="36.299999999999997"/>
    <d v="2025-02-28T00:00:00"/>
    <d v="2025-03-02T00:00:00"/>
    <x v="3"/>
    <x v="4"/>
    <n v="4"/>
    <x v="0"/>
    <x v="3"/>
    <n v="2"/>
    <n v="9"/>
    <x v="3"/>
  </r>
  <r>
    <x v="1589"/>
    <x v="6"/>
    <n v="3"/>
    <n v="110.5"/>
    <n v="331.5"/>
    <d v="2025-02-28T00:00:00"/>
    <d v="2025-03-01T00:00:00"/>
    <x v="2"/>
    <x v="0"/>
    <n v="1"/>
    <x v="0"/>
    <x v="3"/>
    <n v="1"/>
    <n v="9"/>
    <x v="2"/>
  </r>
  <r>
    <x v="1590"/>
    <x v="10"/>
    <n v="7"/>
    <n v="32.6"/>
    <n v="228.20000000000002"/>
    <d v="2025-02-28T00:00:00"/>
    <d v="2025-03-02T00:00:00"/>
    <x v="2"/>
    <x v="0"/>
    <n v="3"/>
    <x v="0"/>
    <x v="3"/>
    <n v="2"/>
    <n v="9"/>
    <x v="2"/>
  </r>
  <r>
    <x v="1591"/>
    <x v="5"/>
    <n v="3"/>
    <n v="55.6"/>
    <n v="166.8"/>
    <d v="2025-03-01T00:00:00"/>
    <d v="2025-03-14T00:00:00"/>
    <x v="2"/>
    <x v="0"/>
    <n v="4"/>
    <x v="0"/>
    <x v="3"/>
    <n v="13"/>
    <n v="9"/>
    <x v="2"/>
  </r>
  <r>
    <x v="1592"/>
    <x v="1"/>
    <n v="4"/>
    <n v="38"/>
    <n v="152"/>
    <d v="2025-03-01T00:00:00"/>
    <d v="2025-03-02T00:00:00"/>
    <x v="2"/>
    <x v="3"/>
    <n v="5"/>
    <x v="0"/>
    <x v="5"/>
    <n v="1"/>
    <n v="9"/>
    <x v="2"/>
  </r>
  <r>
    <x v="1593"/>
    <x v="10"/>
    <n v="2"/>
    <n v="51.8"/>
    <n v="103.6"/>
    <d v="2025-03-01T00:00:00"/>
    <d v="2025-03-07T00:00:00"/>
    <x v="1"/>
    <x v="1"/>
    <n v="2"/>
    <x v="0"/>
    <x v="6"/>
    <n v="6"/>
    <n v="9"/>
    <x v="1"/>
  </r>
  <r>
    <x v="1594"/>
    <x v="11"/>
    <n v="8"/>
    <n v="28.7"/>
    <n v="229.6"/>
    <d v="2025-03-01T00:00:00"/>
    <d v="2025-03-06T00:00:00"/>
    <x v="2"/>
    <x v="0"/>
    <n v="4"/>
    <x v="0"/>
    <x v="6"/>
    <n v="5"/>
    <n v="9"/>
    <x v="2"/>
  </r>
  <r>
    <x v="1595"/>
    <x v="6"/>
    <n v="12"/>
    <n v="52.2"/>
    <n v="626.40000000000009"/>
    <d v="2025-03-01T00:00:00"/>
    <d v="2025-03-01T00:00:00"/>
    <x v="1"/>
    <x v="0"/>
    <n v="3"/>
    <x v="0"/>
    <x v="6"/>
    <n v="0"/>
    <n v="9"/>
    <x v="1"/>
  </r>
  <r>
    <x v="1596"/>
    <x v="1"/>
    <n v="2"/>
    <n v="68.2"/>
    <n v="136.4"/>
    <d v="2025-03-01T00:00:00"/>
    <d v="2025-03-02T00:00:00"/>
    <x v="0"/>
    <x v="2"/>
    <n v="4"/>
    <x v="0"/>
    <x v="7"/>
    <n v="1"/>
    <n v="9"/>
    <x v="0"/>
  </r>
  <r>
    <x v="1597"/>
    <x v="0"/>
    <n v="3"/>
    <n v="34"/>
    <n v="102"/>
    <d v="2025-03-01T00:00:00"/>
    <d v="2025-03-05T00:00:00"/>
    <x v="2"/>
    <x v="0"/>
    <n v="4"/>
    <x v="0"/>
    <x v="8"/>
    <n v="4"/>
    <n v="9"/>
    <x v="2"/>
  </r>
  <r>
    <x v="1598"/>
    <x v="8"/>
    <n v="3"/>
    <n v="19.100000000000001"/>
    <n v="57.300000000000004"/>
    <d v="2025-03-01T00:00:00"/>
    <d v="2025-03-02T00:00:00"/>
    <x v="2"/>
    <x v="4"/>
    <n v="4"/>
    <x v="0"/>
    <x v="8"/>
    <n v="1"/>
    <n v="9"/>
    <x v="2"/>
  </r>
  <r>
    <x v="1599"/>
    <x v="5"/>
    <n v="8"/>
    <n v="34"/>
    <n v="272"/>
    <d v="2025-03-01T00:00:00"/>
    <d v="2025-03-09T00:00:00"/>
    <x v="2"/>
    <x v="4"/>
    <n v="4"/>
    <x v="0"/>
    <x v="8"/>
    <n v="8"/>
    <n v="9"/>
    <x v="2"/>
  </r>
  <r>
    <x v="1600"/>
    <x v="12"/>
    <n v="2"/>
    <n v="109.1"/>
    <n v="218.2"/>
    <d v="2025-03-01T00:00:00"/>
    <d v="2025-03-03T00:00:00"/>
    <x v="1"/>
    <x v="0"/>
    <n v="5"/>
    <x v="0"/>
    <x v="8"/>
    <n v="2"/>
    <n v="9"/>
    <x v="1"/>
  </r>
  <r>
    <x v="1601"/>
    <x v="18"/>
    <n v="2"/>
    <n v="64.8"/>
    <n v="129.6"/>
    <d v="2025-03-01T00:00:00"/>
    <d v="2025-03-03T00:00:00"/>
    <x v="1"/>
    <x v="0"/>
    <n v="5"/>
    <x v="0"/>
    <x v="8"/>
    <n v="2"/>
    <n v="9"/>
    <x v="1"/>
  </r>
  <r>
    <x v="1602"/>
    <x v="10"/>
    <n v="2"/>
    <n v="21.1"/>
    <n v="42.2"/>
    <d v="2025-03-01T00:00:00"/>
    <d v="2025-03-01T00:00:00"/>
    <x v="2"/>
    <x v="1"/>
    <n v="4"/>
    <x v="0"/>
    <x v="11"/>
    <n v="0"/>
    <n v="9"/>
    <x v="2"/>
  </r>
  <r>
    <x v="1603"/>
    <x v="0"/>
    <n v="8"/>
    <n v="21.3"/>
    <n v="170.4"/>
    <d v="2025-03-01T00:00:00"/>
    <d v="2025-03-03T00:00:00"/>
    <x v="1"/>
    <x v="3"/>
    <n v="3"/>
    <x v="0"/>
    <x v="18"/>
    <n v="2"/>
    <n v="9"/>
    <x v="1"/>
  </r>
  <r>
    <x v="1604"/>
    <x v="9"/>
    <n v="3"/>
    <n v="24.3"/>
    <n v="72.900000000000006"/>
    <d v="2025-03-01T00:00:00"/>
    <d v="2025-03-02T00:00:00"/>
    <x v="1"/>
    <x v="1"/>
    <n v="4"/>
    <x v="0"/>
    <x v="19"/>
    <n v="1"/>
    <n v="9"/>
    <x v="1"/>
  </r>
  <r>
    <x v="1605"/>
    <x v="8"/>
    <n v="1"/>
    <n v="43.3"/>
    <n v="43.3"/>
    <d v="2025-03-01T00:00:00"/>
    <d v="2025-03-05T00:00:00"/>
    <x v="1"/>
    <x v="1"/>
    <n v="3"/>
    <x v="0"/>
    <x v="13"/>
    <n v="4"/>
    <n v="9"/>
    <x v="1"/>
  </r>
  <r>
    <x v="1606"/>
    <x v="9"/>
    <n v="3"/>
    <n v="41"/>
    <n v="123"/>
    <d v="2025-03-01T00:00:00"/>
    <d v="2025-03-02T00:00:00"/>
    <x v="2"/>
    <x v="3"/>
    <n v="2"/>
    <x v="0"/>
    <x v="21"/>
    <n v="1"/>
    <n v="9"/>
    <x v="2"/>
  </r>
  <r>
    <x v="1607"/>
    <x v="16"/>
    <n v="3"/>
    <n v="54.1"/>
    <n v="162.30000000000001"/>
    <d v="2025-03-01T00:00:00"/>
    <d v="2025-03-03T00:00:00"/>
    <x v="2"/>
    <x v="4"/>
    <n v="4"/>
    <x v="0"/>
    <x v="21"/>
    <n v="2"/>
    <n v="9"/>
    <x v="2"/>
  </r>
  <r>
    <x v="1608"/>
    <x v="11"/>
    <n v="2"/>
    <n v="39"/>
    <n v="78"/>
    <d v="2025-03-01T00:00:00"/>
    <d v="2025-03-02T00:00:00"/>
    <x v="1"/>
    <x v="1"/>
    <n v="5"/>
    <x v="0"/>
    <x v="1"/>
    <n v="1"/>
    <n v="9"/>
    <x v="1"/>
  </r>
  <r>
    <x v="1609"/>
    <x v="8"/>
    <n v="2"/>
    <n v="40.299999999999997"/>
    <n v="80.599999999999994"/>
    <d v="2025-03-01T00:00:00"/>
    <d v="2025-03-03T00:00:00"/>
    <x v="1"/>
    <x v="3"/>
    <n v="4"/>
    <x v="0"/>
    <x v="27"/>
    <n v="2"/>
    <n v="9"/>
    <x v="1"/>
  </r>
  <r>
    <x v="1610"/>
    <x v="8"/>
    <n v="3"/>
    <n v="24.1"/>
    <n v="72.300000000000011"/>
    <d v="2025-03-01T00:00:00"/>
    <d v="2025-03-02T00:00:00"/>
    <x v="1"/>
    <x v="0"/>
    <n v="5"/>
    <x v="0"/>
    <x v="34"/>
    <n v="1"/>
    <n v="9"/>
    <x v="1"/>
  </r>
  <r>
    <x v="1611"/>
    <x v="6"/>
    <n v="5"/>
    <n v="52.3"/>
    <n v="261.5"/>
    <d v="2025-03-01T00:00:00"/>
    <d v="2025-03-02T00:00:00"/>
    <x v="1"/>
    <x v="2"/>
    <n v="4"/>
    <x v="0"/>
    <x v="3"/>
    <n v="1"/>
    <n v="9"/>
    <x v="1"/>
  </r>
  <r>
    <x v="1612"/>
    <x v="12"/>
    <n v="4"/>
    <n v="68.8"/>
    <n v="275.2"/>
    <d v="2025-03-01T00:00:00"/>
    <d v="2025-03-05T00:00:00"/>
    <x v="2"/>
    <x v="4"/>
    <n v="5"/>
    <x v="0"/>
    <x v="3"/>
    <n v="4"/>
    <n v="9"/>
    <x v="2"/>
  </r>
  <r>
    <x v="1613"/>
    <x v="2"/>
    <n v="2"/>
    <n v="128.80000000000001"/>
    <n v="257.60000000000002"/>
    <d v="2025-03-02T00:00:00"/>
    <d v="2025-03-05T00:00:00"/>
    <x v="2"/>
    <x v="1"/>
    <n v="3"/>
    <x v="0"/>
    <x v="3"/>
    <n v="3"/>
    <n v="10"/>
    <x v="2"/>
  </r>
  <r>
    <x v="1614"/>
    <x v="15"/>
    <n v="5"/>
    <n v="48.2"/>
    <n v="241"/>
    <d v="2025-03-02T00:00:00"/>
    <d v="2025-03-04T00:00:00"/>
    <x v="2"/>
    <x v="3"/>
    <n v="4"/>
    <x v="0"/>
    <x v="3"/>
    <n v="2"/>
    <n v="10"/>
    <x v="2"/>
  </r>
  <r>
    <x v="1615"/>
    <x v="10"/>
    <n v="1"/>
    <n v="39.700000000000003"/>
    <n v="39.700000000000003"/>
    <d v="2025-03-02T00:00:00"/>
    <d v="2025-03-04T00:00:00"/>
    <x v="2"/>
    <x v="0"/>
    <n v="3"/>
    <x v="0"/>
    <x v="3"/>
    <n v="2"/>
    <n v="10"/>
    <x v="2"/>
  </r>
  <r>
    <x v="1616"/>
    <x v="9"/>
    <n v="1"/>
    <n v="59.7"/>
    <n v="59.7"/>
    <d v="2025-03-02T00:00:00"/>
    <d v="2025-03-05T00:00:00"/>
    <x v="2"/>
    <x v="4"/>
    <n v="4"/>
    <x v="0"/>
    <x v="3"/>
    <n v="3"/>
    <n v="10"/>
    <x v="2"/>
  </r>
  <r>
    <x v="1617"/>
    <x v="6"/>
    <n v="1"/>
    <n v="48.3"/>
    <n v="48.3"/>
    <d v="2025-03-02T00:00:00"/>
    <d v="2025-03-16T00:00:00"/>
    <x v="3"/>
    <x v="0"/>
    <n v="5"/>
    <x v="0"/>
    <x v="3"/>
    <n v="14"/>
    <n v="10"/>
    <x v="3"/>
  </r>
  <r>
    <x v="1618"/>
    <x v="8"/>
    <n v="3"/>
    <n v="45.5"/>
    <n v="136.5"/>
    <d v="2025-03-02T00:00:00"/>
    <d v="2025-03-04T00:00:00"/>
    <x v="1"/>
    <x v="2"/>
    <n v="3"/>
    <x v="0"/>
    <x v="3"/>
    <n v="2"/>
    <n v="10"/>
    <x v="1"/>
  </r>
  <r>
    <x v="1619"/>
    <x v="9"/>
    <n v="27"/>
    <n v="51"/>
    <n v="1377"/>
    <d v="2025-03-02T00:00:00"/>
    <d v="2025-03-02T00:00:00"/>
    <x v="2"/>
    <x v="2"/>
    <n v="4"/>
    <x v="0"/>
    <x v="3"/>
    <n v="0"/>
    <n v="10"/>
    <x v="2"/>
  </r>
  <r>
    <x v="1620"/>
    <x v="4"/>
    <n v="6"/>
    <n v="20.399999999999999"/>
    <n v="122.39999999999999"/>
    <d v="2025-03-02T00:00:00"/>
    <d v="2025-03-03T00:00:00"/>
    <x v="1"/>
    <x v="2"/>
    <n v="4"/>
    <x v="0"/>
    <x v="3"/>
    <n v="1"/>
    <n v="10"/>
    <x v="1"/>
  </r>
  <r>
    <x v="1621"/>
    <x v="10"/>
    <n v="2"/>
    <n v="30.4"/>
    <n v="60.8"/>
    <d v="2025-03-02T00:00:00"/>
    <d v="2025-03-04T00:00:00"/>
    <x v="1"/>
    <x v="2"/>
    <n v="4"/>
    <x v="0"/>
    <x v="3"/>
    <n v="2"/>
    <n v="10"/>
    <x v="1"/>
  </r>
  <r>
    <x v="1622"/>
    <x v="7"/>
    <n v="2"/>
    <n v="71.5"/>
    <n v="143"/>
    <d v="2025-03-02T00:00:00"/>
    <d v="2025-03-06T00:00:00"/>
    <x v="2"/>
    <x v="0"/>
    <n v="4"/>
    <x v="0"/>
    <x v="3"/>
    <n v="4"/>
    <n v="10"/>
    <x v="2"/>
  </r>
  <r>
    <x v="1623"/>
    <x v="8"/>
    <n v="6"/>
    <n v="18"/>
    <n v="108"/>
    <d v="2025-03-02T00:00:00"/>
    <d v="2025-03-03T00:00:00"/>
    <x v="3"/>
    <x v="1"/>
    <n v="5"/>
    <x v="0"/>
    <x v="6"/>
    <n v="1"/>
    <n v="10"/>
    <x v="3"/>
  </r>
  <r>
    <x v="1624"/>
    <x v="15"/>
    <n v="11"/>
    <n v="45.6"/>
    <n v="501.6"/>
    <d v="2025-03-02T00:00:00"/>
    <d v="2025-03-03T00:00:00"/>
    <x v="3"/>
    <x v="1"/>
    <n v="3"/>
    <x v="0"/>
    <x v="7"/>
    <n v="1"/>
    <n v="10"/>
    <x v="3"/>
  </r>
  <r>
    <x v="1625"/>
    <x v="9"/>
    <n v="1"/>
    <n v="31.8"/>
    <n v="31.8"/>
    <d v="2025-03-02T00:00:00"/>
    <d v="2025-03-06T00:00:00"/>
    <x v="2"/>
    <x v="0"/>
    <n v="5"/>
    <x v="0"/>
    <x v="7"/>
    <n v="4"/>
    <n v="10"/>
    <x v="2"/>
  </r>
  <r>
    <x v="1626"/>
    <x v="8"/>
    <n v="5"/>
    <n v="19.899999999999999"/>
    <n v="99.5"/>
    <d v="2025-03-02T00:00:00"/>
    <d v="2025-03-03T00:00:00"/>
    <x v="2"/>
    <x v="1"/>
    <n v="4"/>
    <x v="0"/>
    <x v="7"/>
    <n v="1"/>
    <n v="10"/>
    <x v="2"/>
  </r>
  <r>
    <x v="1627"/>
    <x v="12"/>
    <n v="9"/>
    <n v="52.1"/>
    <n v="468.90000000000003"/>
    <d v="2025-03-02T00:00:00"/>
    <d v="2025-03-04T00:00:00"/>
    <x v="1"/>
    <x v="0"/>
    <n v="4"/>
    <x v="0"/>
    <x v="8"/>
    <n v="2"/>
    <n v="10"/>
    <x v="1"/>
  </r>
  <r>
    <x v="1628"/>
    <x v="1"/>
    <n v="7"/>
    <n v="45.9"/>
    <n v="321.3"/>
    <d v="2025-03-02T00:00:00"/>
    <d v="2025-03-03T00:00:00"/>
    <x v="1"/>
    <x v="0"/>
    <n v="3"/>
    <x v="0"/>
    <x v="8"/>
    <n v="1"/>
    <n v="10"/>
    <x v="1"/>
  </r>
  <r>
    <x v="1629"/>
    <x v="1"/>
    <n v="10"/>
    <n v="115.9"/>
    <n v="1159"/>
    <d v="2025-03-02T00:00:00"/>
    <d v="2025-03-05T00:00:00"/>
    <x v="2"/>
    <x v="1"/>
    <n v="4"/>
    <x v="0"/>
    <x v="8"/>
    <n v="3"/>
    <n v="10"/>
    <x v="2"/>
  </r>
  <r>
    <x v="1630"/>
    <x v="6"/>
    <n v="9"/>
    <n v="86"/>
    <n v="774"/>
    <d v="2025-03-02T00:00:00"/>
    <d v="2025-03-07T00:00:00"/>
    <x v="2"/>
    <x v="0"/>
    <n v="3"/>
    <x v="0"/>
    <x v="8"/>
    <n v="5"/>
    <n v="10"/>
    <x v="2"/>
  </r>
  <r>
    <x v="1631"/>
    <x v="7"/>
    <n v="7"/>
    <n v="73.599999999999994"/>
    <n v="515.19999999999993"/>
    <d v="2025-03-02T00:00:00"/>
    <d v="2025-03-04T00:00:00"/>
    <x v="2"/>
    <x v="0"/>
    <n v="4"/>
    <x v="0"/>
    <x v="17"/>
    <n v="2"/>
    <n v="10"/>
    <x v="2"/>
  </r>
  <r>
    <x v="1632"/>
    <x v="10"/>
    <n v="3"/>
    <n v="26.7"/>
    <n v="80.099999999999994"/>
    <d v="2025-03-02T00:00:00"/>
    <d v="2025-03-06T00:00:00"/>
    <x v="2"/>
    <x v="0"/>
    <n v="4"/>
    <x v="0"/>
    <x v="11"/>
    <n v="4"/>
    <n v="10"/>
    <x v="2"/>
  </r>
  <r>
    <x v="1633"/>
    <x v="8"/>
    <n v="7"/>
    <n v="46.6"/>
    <n v="326.2"/>
    <d v="2025-03-02T00:00:00"/>
    <d v="2025-03-04T00:00:00"/>
    <x v="0"/>
    <x v="3"/>
    <n v="4"/>
    <x v="0"/>
    <x v="11"/>
    <n v="2"/>
    <n v="10"/>
    <x v="0"/>
  </r>
  <r>
    <x v="1634"/>
    <x v="3"/>
    <n v="3"/>
    <n v="84.6"/>
    <n v="253.79999999999998"/>
    <d v="2025-03-02T00:00:00"/>
    <d v="2025-03-04T00:00:00"/>
    <x v="1"/>
    <x v="4"/>
    <n v="4"/>
    <x v="0"/>
    <x v="11"/>
    <n v="2"/>
    <n v="10"/>
    <x v="1"/>
  </r>
  <r>
    <x v="1635"/>
    <x v="7"/>
    <n v="14"/>
    <n v="41.5"/>
    <n v="581"/>
    <d v="2025-03-02T00:00:00"/>
    <d v="2025-03-16T00:00:00"/>
    <x v="1"/>
    <x v="1"/>
    <n v="4"/>
    <x v="0"/>
    <x v="53"/>
    <n v="14"/>
    <n v="10"/>
    <x v="1"/>
  </r>
  <r>
    <x v="1636"/>
    <x v="8"/>
    <n v="1"/>
    <n v="32.799999999999997"/>
    <n v="32.799999999999997"/>
    <d v="2025-03-02T00:00:00"/>
    <d v="2025-03-05T00:00:00"/>
    <x v="1"/>
    <x v="0"/>
    <n v="5"/>
    <x v="0"/>
    <x v="30"/>
    <n v="3"/>
    <n v="10"/>
    <x v="1"/>
  </r>
  <r>
    <x v="1637"/>
    <x v="4"/>
    <n v="7"/>
    <n v="46.7"/>
    <n v="326.90000000000003"/>
    <d v="2025-03-02T00:00:00"/>
    <d v="2025-03-04T00:00:00"/>
    <x v="3"/>
    <x v="0"/>
    <n v="5"/>
    <x v="0"/>
    <x v="18"/>
    <n v="2"/>
    <n v="10"/>
    <x v="3"/>
  </r>
  <r>
    <x v="1638"/>
    <x v="15"/>
    <n v="7"/>
    <n v="21"/>
    <n v="147"/>
    <d v="2025-03-02T00:00:00"/>
    <d v="2025-03-05T00:00:00"/>
    <x v="1"/>
    <x v="2"/>
    <n v="3"/>
    <x v="0"/>
    <x v="21"/>
    <n v="3"/>
    <n v="10"/>
    <x v="1"/>
  </r>
  <r>
    <x v="1639"/>
    <x v="5"/>
    <n v="7"/>
    <n v="29.4"/>
    <n v="205.79999999999998"/>
    <d v="2025-03-02T00:00:00"/>
    <d v="2025-03-02T00:00:00"/>
    <x v="1"/>
    <x v="3"/>
    <n v="5"/>
    <x v="0"/>
    <x v="21"/>
    <n v="0"/>
    <n v="10"/>
    <x v="1"/>
  </r>
  <r>
    <x v="1640"/>
    <x v="15"/>
    <n v="2"/>
    <n v="32.299999999999997"/>
    <n v="64.599999999999994"/>
    <d v="2025-03-02T00:00:00"/>
    <d v="2025-03-03T00:00:00"/>
    <x v="1"/>
    <x v="0"/>
    <n v="5"/>
    <x v="0"/>
    <x v="21"/>
    <n v="1"/>
    <n v="10"/>
    <x v="1"/>
  </r>
  <r>
    <x v="1641"/>
    <x v="6"/>
    <n v="1"/>
    <n v="42.2"/>
    <n v="42.2"/>
    <d v="2025-03-03T00:00:00"/>
    <d v="2025-03-05T00:00:00"/>
    <x v="2"/>
    <x v="0"/>
    <n v="5"/>
    <x v="0"/>
    <x v="21"/>
    <n v="2"/>
    <n v="10"/>
    <x v="2"/>
  </r>
  <r>
    <x v="1642"/>
    <x v="6"/>
    <n v="1"/>
    <n v="53.7"/>
    <n v="53.7"/>
    <d v="2025-03-03T00:00:00"/>
    <d v="2025-03-05T00:00:00"/>
    <x v="1"/>
    <x v="1"/>
    <n v="3"/>
    <x v="0"/>
    <x v="1"/>
    <n v="2"/>
    <n v="10"/>
    <x v="1"/>
  </r>
  <r>
    <x v="1643"/>
    <x v="2"/>
    <n v="2"/>
    <n v="123.9"/>
    <n v="247.8"/>
    <d v="2025-03-03T00:00:00"/>
    <d v="2025-03-06T00:00:00"/>
    <x v="1"/>
    <x v="2"/>
    <n v="4"/>
    <x v="0"/>
    <x v="1"/>
    <n v="3"/>
    <n v="10"/>
    <x v="1"/>
  </r>
  <r>
    <x v="1644"/>
    <x v="4"/>
    <n v="3"/>
    <n v="35.9"/>
    <n v="107.69999999999999"/>
    <d v="2025-03-03T00:00:00"/>
    <d v="2025-03-05T00:00:00"/>
    <x v="1"/>
    <x v="2"/>
    <n v="4"/>
    <x v="0"/>
    <x v="22"/>
    <n v="2"/>
    <n v="10"/>
    <x v="1"/>
  </r>
  <r>
    <x v="1645"/>
    <x v="4"/>
    <n v="2"/>
    <n v="23.6"/>
    <n v="47.2"/>
    <d v="2025-03-03T00:00:00"/>
    <d v="2025-03-06T00:00:00"/>
    <x v="1"/>
    <x v="0"/>
    <n v="5"/>
    <x v="0"/>
    <x v="3"/>
    <n v="3"/>
    <n v="10"/>
    <x v="1"/>
  </r>
  <r>
    <x v="1646"/>
    <x v="15"/>
    <n v="35"/>
    <n v="45.7"/>
    <n v="1599.5"/>
    <d v="2025-03-03T00:00:00"/>
    <d v="2025-03-04T00:00:00"/>
    <x v="1"/>
    <x v="0"/>
    <n v="3"/>
    <x v="0"/>
    <x v="3"/>
    <n v="1"/>
    <n v="10"/>
    <x v="1"/>
  </r>
  <r>
    <x v="1647"/>
    <x v="6"/>
    <n v="11"/>
    <n v="118.3"/>
    <n v="1301.3"/>
    <d v="2025-03-03T00:00:00"/>
    <d v="2025-03-05T00:00:00"/>
    <x v="1"/>
    <x v="4"/>
    <n v="5"/>
    <x v="0"/>
    <x v="3"/>
    <n v="2"/>
    <n v="10"/>
    <x v="1"/>
  </r>
  <r>
    <x v="1648"/>
    <x v="19"/>
    <n v="1"/>
    <n v="36"/>
    <n v="36"/>
    <d v="2025-03-03T00:00:00"/>
    <d v="2025-03-04T00:00:00"/>
    <x v="2"/>
    <x v="0"/>
    <n v="3"/>
    <x v="0"/>
    <x v="3"/>
    <n v="1"/>
    <n v="10"/>
    <x v="2"/>
  </r>
  <r>
    <x v="1649"/>
    <x v="8"/>
    <n v="2"/>
    <n v="37.1"/>
    <n v="74.2"/>
    <d v="2025-03-03T00:00:00"/>
    <d v="2025-03-06T00:00:00"/>
    <x v="2"/>
    <x v="2"/>
    <n v="4"/>
    <x v="0"/>
    <x v="3"/>
    <n v="3"/>
    <n v="10"/>
    <x v="2"/>
  </r>
  <r>
    <x v="1650"/>
    <x v="18"/>
    <n v="3"/>
    <n v="45.1"/>
    <n v="135.30000000000001"/>
    <d v="2025-03-03T00:00:00"/>
    <d v="2025-03-05T00:00:00"/>
    <x v="2"/>
    <x v="1"/>
    <n v="5"/>
    <x v="0"/>
    <x v="3"/>
    <n v="2"/>
    <n v="10"/>
    <x v="2"/>
  </r>
  <r>
    <x v="1651"/>
    <x v="5"/>
    <n v="16"/>
    <n v="37.9"/>
    <n v="606.4"/>
    <d v="2025-03-03T00:00:00"/>
    <d v="2025-03-04T00:00:00"/>
    <x v="2"/>
    <x v="3"/>
    <n v="5"/>
    <x v="0"/>
    <x v="3"/>
    <n v="1"/>
    <n v="10"/>
    <x v="2"/>
  </r>
  <r>
    <x v="1652"/>
    <x v="2"/>
    <n v="2"/>
    <n v="121.6"/>
    <n v="243.2"/>
    <d v="2025-03-03T00:00:00"/>
    <d v="2025-03-06T00:00:00"/>
    <x v="1"/>
    <x v="3"/>
    <n v="5"/>
    <x v="0"/>
    <x v="3"/>
    <n v="3"/>
    <n v="10"/>
    <x v="1"/>
  </r>
  <r>
    <x v="1653"/>
    <x v="5"/>
    <n v="7"/>
    <n v="38.200000000000003"/>
    <n v="267.40000000000003"/>
    <d v="2025-03-03T00:00:00"/>
    <d v="2025-03-06T00:00:00"/>
    <x v="2"/>
    <x v="0"/>
    <n v="4"/>
    <x v="0"/>
    <x v="3"/>
    <n v="3"/>
    <n v="10"/>
    <x v="2"/>
  </r>
  <r>
    <x v="1654"/>
    <x v="17"/>
    <n v="2"/>
    <n v="37.200000000000003"/>
    <n v="74.400000000000006"/>
    <d v="2025-03-03T00:00:00"/>
    <d v="2025-03-06T00:00:00"/>
    <x v="1"/>
    <x v="4"/>
    <n v="4"/>
    <x v="0"/>
    <x v="3"/>
    <n v="3"/>
    <n v="10"/>
    <x v="1"/>
  </r>
  <r>
    <x v="1655"/>
    <x v="2"/>
    <n v="4"/>
    <n v="115.7"/>
    <n v="462.8"/>
    <d v="2025-03-03T00:00:00"/>
    <d v="2025-03-06T00:00:00"/>
    <x v="2"/>
    <x v="1"/>
    <n v="4"/>
    <x v="0"/>
    <x v="3"/>
    <n v="3"/>
    <n v="10"/>
    <x v="2"/>
  </r>
  <r>
    <x v="1656"/>
    <x v="2"/>
    <n v="6"/>
    <n v="99.4"/>
    <n v="596.40000000000009"/>
    <d v="2025-03-03T00:00:00"/>
    <d v="2025-03-06T00:00:00"/>
    <x v="1"/>
    <x v="0"/>
    <n v="5"/>
    <x v="0"/>
    <x v="3"/>
    <n v="3"/>
    <n v="10"/>
    <x v="1"/>
  </r>
  <r>
    <x v="1657"/>
    <x v="11"/>
    <n v="1"/>
    <n v="38.700000000000003"/>
    <n v="38.700000000000003"/>
    <d v="2025-03-03T00:00:00"/>
    <d v="2025-03-04T00:00:00"/>
    <x v="2"/>
    <x v="2"/>
    <n v="4"/>
    <x v="0"/>
    <x v="25"/>
    <n v="1"/>
    <n v="10"/>
    <x v="2"/>
  </r>
  <r>
    <x v="1658"/>
    <x v="4"/>
    <n v="2"/>
    <n v="35.5"/>
    <n v="71"/>
    <d v="2025-03-03T00:00:00"/>
    <d v="2025-03-06T00:00:00"/>
    <x v="1"/>
    <x v="0"/>
    <n v="5"/>
    <x v="0"/>
    <x v="25"/>
    <n v="3"/>
    <n v="10"/>
    <x v="1"/>
  </r>
  <r>
    <x v="1659"/>
    <x v="2"/>
    <n v="4"/>
    <n v="93.3"/>
    <n v="373.2"/>
    <d v="2025-03-03T00:00:00"/>
    <d v="2025-03-06T00:00:00"/>
    <x v="2"/>
    <x v="0"/>
    <n v="5"/>
    <x v="0"/>
    <x v="6"/>
    <n v="3"/>
    <n v="10"/>
    <x v="2"/>
  </r>
  <r>
    <x v="1660"/>
    <x v="16"/>
    <n v="1"/>
    <n v="31.4"/>
    <n v="31.4"/>
    <d v="2025-03-03T00:00:00"/>
    <d v="2025-03-08T00:00:00"/>
    <x v="2"/>
    <x v="2"/>
    <n v="5"/>
    <x v="0"/>
    <x v="6"/>
    <n v="5"/>
    <n v="10"/>
    <x v="2"/>
  </r>
  <r>
    <x v="1661"/>
    <x v="1"/>
    <n v="1"/>
    <n v="85.9"/>
    <n v="85.9"/>
    <d v="2025-03-03T00:00:00"/>
    <d v="2025-03-06T00:00:00"/>
    <x v="1"/>
    <x v="1"/>
    <n v="4"/>
    <x v="0"/>
    <x v="6"/>
    <n v="3"/>
    <n v="10"/>
    <x v="1"/>
  </r>
  <r>
    <x v="1662"/>
    <x v="6"/>
    <n v="8"/>
    <n v="41.7"/>
    <n v="333.6"/>
    <d v="2025-03-03T00:00:00"/>
    <d v="2025-03-11T00:00:00"/>
    <x v="1"/>
    <x v="0"/>
    <n v="5"/>
    <x v="0"/>
    <x v="7"/>
    <n v="8"/>
    <n v="10"/>
    <x v="1"/>
  </r>
  <r>
    <x v="1663"/>
    <x v="8"/>
    <n v="4"/>
    <n v="31.5"/>
    <n v="126"/>
    <d v="2025-03-03T00:00:00"/>
    <d v="2025-03-04T00:00:00"/>
    <x v="2"/>
    <x v="0"/>
    <n v="4"/>
    <x v="0"/>
    <x v="7"/>
    <n v="1"/>
    <n v="10"/>
    <x v="2"/>
  </r>
  <r>
    <x v="1664"/>
    <x v="8"/>
    <n v="2"/>
    <n v="36.299999999999997"/>
    <n v="72.599999999999994"/>
    <d v="2025-03-03T00:00:00"/>
    <d v="2025-03-04T00:00:00"/>
    <x v="2"/>
    <x v="0"/>
    <n v="2"/>
    <x v="0"/>
    <x v="8"/>
    <n v="1"/>
    <n v="10"/>
    <x v="2"/>
  </r>
  <r>
    <x v="1665"/>
    <x v="8"/>
    <n v="3"/>
    <n v="33.4"/>
    <n v="100.19999999999999"/>
    <d v="2025-03-03T00:00:00"/>
    <d v="2025-03-04T00:00:00"/>
    <x v="2"/>
    <x v="3"/>
    <n v="4"/>
    <x v="0"/>
    <x v="17"/>
    <n v="1"/>
    <n v="10"/>
    <x v="2"/>
  </r>
  <r>
    <x v="1666"/>
    <x v="2"/>
    <n v="3"/>
    <n v="65.2"/>
    <n v="195.60000000000002"/>
    <d v="2025-03-03T00:00:00"/>
    <d v="2025-03-04T00:00:00"/>
    <x v="2"/>
    <x v="2"/>
    <n v="5"/>
    <x v="0"/>
    <x v="26"/>
    <n v="1"/>
    <n v="10"/>
    <x v="2"/>
  </r>
  <r>
    <x v="1667"/>
    <x v="8"/>
    <n v="9"/>
    <n v="65.5"/>
    <n v="589.5"/>
    <d v="2025-03-03T00:00:00"/>
    <d v="2025-03-06T00:00:00"/>
    <x v="2"/>
    <x v="0"/>
    <n v="5"/>
    <x v="0"/>
    <x v="9"/>
    <n v="3"/>
    <n v="10"/>
    <x v="2"/>
  </r>
  <r>
    <x v="1668"/>
    <x v="6"/>
    <n v="3"/>
    <n v="52.8"/>
    <n v="158.39999999999998"/>
    <d v="2025-03-03T00:00:00"/>
    <d v="2025-03-06T00:00:00"/>
    <x v="1"/>
    <x v="2"/>
    <n v="4"/>
    <x v="0"/>
    <x v="9"/>
    <n v="3"/>
    <n v="10"/>
    <x v="1"/>
  </r>
  <r>
    <x v="1669"/>
    <x v="9"/>
    <n v="5"/>
    <n v="24"/>
    <n v="120"/>
    <d v="2025-03-03T00:00:00"/>
    <d v="2025-03-07T00:00:00"/>
    <x v="1"/>
    <x v="0"/>
    <n v="3"/>
    <x v="0"/>
    <x v="11"/>
    <n v="4"/>
    <n v="10"/>
    <x v="1"/>
  </r>
  <r>
    <x v="1670"/>
    <x v="3"/>
    <n v="3"/>
    <n v="51.2"/>
    <n v="153.60000000000002"/>
    <d v="2025-03-03T00:00:00"/>
    <d v="2025-03-04T00:00:00"/>
    <x v="2"/>
    <x v="0"/>
    <n v="4"/>
    <x v="0"/>
    <x v="32"/>
    <n v="1"/>
    <n v="10"/>
    <x v="2"/>
  </r>
  <r>
    <x v="1671"/>
    <x v="5"/>
    <n v="3"/>
    <n v="28.3"/>
    <n v="84.9"/>
    <d v="2025-03-03T00:00:00"/>
    <d v="2025-03-05T00:00:00"/>
    <x v="1"/>
    <x v="4"/>
    <n v="4"/>
    <x v="0"/>
    <x v="19"/>
    <n v="2"/>
    <n v="10"/>
    <x v="1"/>
  </r>
  <r>
    <x v="1672"/>
    <x v="6"/>
    <n v="3"/>
    <n v="42.3"/>
    <n v="126.89999999999999"/>
    <d v="2025-03-03T00:00:00"/>
    <d v="2025-03-03T00:00:00"/>
    <x v="2"/>
    <x v="2"/>
    <n v="3"/>
    <x v="0"/>
    <x v="19"/>
    <n v="0"/>
    <n v="10"/>
    <x v="2"/>
  </r>
  <r>
    <x v="1673"/>
    <x v="2"/>
    <n v="8"/>
    <n v="163.30000000000001"/>
    <n v="1306.4000000000001"/>
    <d v="2025-03-04T00:00:00"/>
    <d v="2025-03-05T00:00:00"/>
    <x v="2"/>
    <x v="1"/>
    <n v="4"/>
    <x v="0"/>
    <x v="13"/>
    <n v="1"/>
    <n v="10"/>
    <x v="2"/>
  </r>
  <r>
    <x v="1674"/>
    <x v="6"/>
    <n v="7"/>
    <n v="47.3"/>
    <n v="331.09999999999997"/>
    <d v="2025-03-04T00:00:00"/>
    <d v="2025-03-07T00:00:00"/>
    <x v="2"/>
    <x v="4"/>
    <n v="3"/>
    <x v="0"/>
    <x v="21"/>
    <n v="3"/>
    <n v="10"/>
    <x v="2"/>
  </r>
  <r>
    <x v="1675"/>
    <x v="8"/>
    <n v="16"/>
    <n v="27.3"/>
    <n v="436.8"/>
    <d v="2025-03-04T00:00:00"/>
    <d v="2025-03-05T00:00:00"/>
    <x v="2"/>
    <x v="2"/>
    <n v="4"/>
    <x v="0"/>
    <x v="21"/>
    <n v="1"/>
    <n v="10"/>
    <x v="2"/>
  </r>
  <r>
    <x v="1676"/>
    <x v="10"/>
    <n v="6"/>
    <n v="34.9"/>
    <n v="209.39999999999998"/>
    <d v="2025-03-04T00:00:00"/>
    <d v="2025-03-15T00:00:00"/>
    <x v="2"/>
    <x v="0"/>
    <n v="4"/>
    <x v="0"/>
    <x v="21"/>
    <n v="11"/>
    <n v="10"/>
    <x v="2"/>
  </r>
  <r>
    <x v="1677"/>
    <x v="6"/>
    <n v="2"/>
    <n v="53.9"/>
    <n v="107.8"/>
    <d v="2025-03-04T00:00:00"/>
    <d v="2025-03-07T00:00:00"/>
    <x v="3"/>
    <x v="0"/>
    <n v="2"/>
    <x v="0"/>
    <x v="1"/>
    <n v="3"/>
    <n v="10"/>
    <x v="3"/>
  </r>
  <r>
    <x v="1678"/>
    <x v="2"/>
    <n v="2"/>
    <n v="87.2"/>
    <n v="174.4"/>
    <d v="2025-03-04T00:00:00"/>
    <d v="2025-03-05T00:00:00"/>
    <x v="2"/>
    <x v="0"/>
    <n v="3"/>
    <x v="0"/>
    <x v="1"/>
    <n v="1"/>
    <n v="10"/>
    <x v="2"/>
  </r>
  <r>
    <x v="1679"/>
    <x v="15"/>
    <n v="1"/>
    <n v="58.8"/>
    <n v="58.8"/>
    <d v="2025-03-04T00:00:00"/>
    <d v="2025-03-06T00:00:00"/>
    <x v="2"/>
    <x v="2"/>
    <n v="4"/>
    <x v="0"/>
    <x v="44"/>
    <n v="2"/>
    <n v="10"/>
    <x v="2"/>
  </r>
  <r>
    <x v="1680"/>
    <x v="2"/>
    <n v="7"/>
    <n v="125.5"/>
    <n v="878.5"/>
    <d v="2025-03-04T00:00:00"/>
    <d v="2025-03-05T00:00:00"/>
    <x v="1"/>
    <x v="2"/>
    <n v="2"/>
    <x v="0"/>
    <x v="22"/>
    <n v="1"/>
    <n v="10"/>
    <x v="1"/>
  </r>
  <r>
    <x v="1681"/>
    <x v="1"/>
    <n v="4"/>
    <n v="124.6"/>
    <n v="498.4"/>
    <d v="2025-03-04T00:00:00"/>
    <d v="2025-03-06T00:00:00"/>
    <x v="2"/>
    <x v="0"/>
    <n v="3"/>
    <x v="0"/>
    <x v="22"/>
    <n v="2"/>
    <n v="10"/>
    <x v="2"/>
  </r>
  <r>
    <x v="1682"/>
    <x v="1"/>
    <n v="7"/>
    <n v="39.9"/>
    <n v="279.3"/>
    <d v="2025-03-04T00:00:00"/>
    <d v="2025-03-05T00:00:00"/>
    <x v="1"/>
    <x v="2"/>
    <n v="3"/>
    <x v="0"/>
    <x v="3"/>
    <n v="1"/>
    <n v="10"/>
    <x v="1"/>
  </r>
  <r>
    <x v="1683"/>
    <x v="6"/>
    <n v="1"/>
    <n v="94.6"/>
    <n v="94.6"/>
    <d v="2025-03-04T00:00:00"/>
    <d v="2025-03-18T00:00:00"/>
    <x v="2"/>
    <x v="0"/>
    <n v="3"/>
    <x v="0"/>
    <x v="3"/>
    <n v="14"/>
    <n v="10"/>
    <x v="2"/>
  </r>
  <r>
    <x v="1684"/>
    <x v="2"/>
    <n v="2"/>
    <n v="149.6"/>
    <n v="299.2"/>
    <d v="2025-03-04T00:00:00"/>
    <d v="2025-03-05T00:00:00"/>
    <x v="2"/>
    <x v="0"/>
    <n v="4"/>
    <x v="0"/>
    <x v="3"/>
    <n v="1"/>
    <n v="10"/>
    <x v="2"/>
  </r>
  <r>
    <x v="1685"/>
    <x v="8"/>
    <n v="1"/>
    <n v="52.2"/>
    <n v="52.2"/>
    <d v="2025-03-04T00:00:00"/>
    <d v="2025-03-05T00:00:00"/>
    <x v="0"/>
    <x v="1"/>
    <n v="4"/>
    <x v="0"/>
    <x v="3"/>
    <n v="1"/>
    <n v="10"/>
    <x v="0"/>
  </r>
  <r>
    <x v="1686"/>
    <x v="6"/>
    <n v="2"/>
    <n v="96.5"/>
    <n v="193"/>
    <d v="2025-03-04T00:00:00"/>
    <d v="2025-03-05T00:00:00"/>
    <x v="2"/>
    <x v="1"/>
    <n v="3"/>
    <x v="0"/>
    <x v="3"/>
    <n v="1"/>
    <n v="10"/>
    <x v="2"/>
  </r>
  <r>
    <x v="1687"/>
    <x v="8"/>
    <n v="2"/>
    <n v="79.8"/>
    <n v="159.6"/>
    <d v="2025-03-04T00:00:00"/>
    <d v="2025-03-06T00:00:00"/>
    <x v="2"/>
    <x v="0"/>
    <n v="3"/>
    <x v="0"/>
    <x v="3"/>
    <n v="2"/>
    <n v="10"/>
    <x v="2"/>
  </r>
  <r>
    <x v="1688"/>
    <x v="8"/>
    <n v="3"/>
    <n v="35.6"/>
    <n v="106.80000000000001"/>
    <d v="2025-03-04T00:00:00"/>
    <d v="2025-03-05T00:00:00"/>
    <x v="2"/>
    <x v="2"/>
    <n v="4"/>
    <x v="0"/>
    <x v="3"/>
    <n v="1"/>
    <n v="10"/>
    <x v="2"/>
  </r>
  <r>
    <x v="1689"/>
    <x v="16"/>
    <n v="1"/>
    <n v="50.2"/>
    <n v="50.2"/>
    <d v="2025-03-04T00:00:00"/>
    <d v="2025-03-05T00:00:00"/>
    <x v="2"/>
    <x v="1"/>
    <n v="5"/>
    <x v="0"/>
    <x v="3"/>
    <n v="1"/>
    <n v="10"/>
    <x v="2"/>
  </r>
  <r>
    <x v="1690"/>
    <x v="1"/>
    <n v="3"/>
    <n v="55.3"/>
    <n v="165.89999999999998"/>
    <d v="2025-03-04T00:00:00"/>
    <d v="2025-03-07T00:00:00"/>
    <x v="2"/>
    <x v="0"/>
    <n v="2"/>
    <x v="0"/>
    <x v="40"/>
    <n v="3"/>
    <n v="10"/>
    <x v="2"/>
  </r>
  <r>
    <x v="1691"/>
    <x v="6"/>
    <n v="7"/>
    <n v="104.5"/>
    <n v="731.5"/>
    <d v="2025-03-04T00:00:00"/>
    <d v="2025-03-08T00:00:00"/>
    <x v="2"/>
    <x v="1"/>
    <n v="4"/>
    <x v="0"/>
    <x v="7"/>
    <n v="4"/>
    <n v="10"/>
    <x v="2"/>
  </r>
  <r>
    <x v="1692"/>
    <x v="6"/>
    <n v="4"/>
    <n v="66.5"/>
    <n v="266"/>
    <d v="2025-03-04T00:00:00"/>
    <d v="2025-03-06T00:00:00"/>
    <x v="1"/>
    <x v="1"/>
    <n v="4"/>
    <x v="0"/>
    <x v="7"/>
    <n v="2"/>
    <n v="10"/>
    <x v="1"/>
  </r>
  <r>
    <x v="1693"/>
    <x v="10"/>
    <n v="8"/>
    <n v="38.299999999999997"/>
    <n v="306.39999999999998"/>
    <d v="2025-03-04T00:00:00"/>
    <d v="2025-03-05T00:00:00"/>
    <x v="2"/>
    <x v="0"/>
    <n v="4"/>
    <x v="0"/>
    <x v="7"/>
    <n v="1"/>
    <n v="10"/>
    <x v="2"/>
  </r>
  <r>
    <x v="1694"/>
    <x v="6"/>
    <n v="3"/>
    <n v="63.8"/>
    <n v="191.39999999999998"/>
    <d v="2025-03-04T00:00:00"/>
    <d v="2025-03-07T00:00:00"/>
    <x v="2"/>
    <x v="1"/>
    <n v="4"/>
    <x v="0"/>
    <x v="8"/>
    <n v="3"/>
    <n v="10"/>
    <x v="2"/>
  </r>
  <r>
    <x v="1695"/>
    <x v="15"/>
    <n v="1"/>
    <n v="21.4"/>
    <n v="21.4"/>
    <d v="2025-03-04T00:00:00"/>
    <d v="2025-03-04T00:00:00"/>
    <x v="1"/>
    <x v="4"/>
    <n v="4"/>
    <x v="0"/>
    <x v="8"/>
    <n v="0"/>
    <n v="10"/>
    <x v="1"/>
  </r>
  <r>
    <x v="1696"/>
    <x v="8"/>
    <n v="4"/>
    <n v="44.1"/>
    <n v="176.4"/>
    <d v="2025-03-04T00:00:00"/>
    <d v="2025-03-06T00:00:00"/>
    <x v="2"/>
    <x v="2"/>
    <n v="4"/>
    <x v="0"/>
    <x v="8"/>
    <n v="2"/>
    <n v="10"/>
    <x v="2"/>
  </r>
  <r>
    <x v="1697"/>
    <x v="5"/>
    <n v="8"/>
    <n v="57.6"/>
    <n v="460.8"/>
    <d v="2025-03-04T00:00:00"/>
    <d v="2025-03-06T00:00:00"/>
    <x v="1"/>
    <x v="1"/>
    <n v="5"/>
    <x v="0"/>
    <x v="8"/>
    <n v="2"/>
    <n v="10"/>
    <x v="1"/>
  </r>
  <r>
    <x v="1698"/>
    <x v="9"/>
    <n v="2"/>
    <n v="20.3"/>
    <n v="40.6"/>
    <d v="2025-03-04T00:00:00"/>
    <d v="2025-03-10T00:00:00"/>
    <x v="2"/>
    <x v="3"/>
    <n v="4"/>
    <x v="0"/>
    <x v="8"/>
    <n v="6"/>
    <n v="10"/>
    <x v="2"/>
  </r>
  <r>
    <x v="1699"/>
    <x v="8"/>
    <n v="1"/>
    <n v="22.9"/>
    <n v="22.9"/>
    <d v="2025-03-04T00:00:00"/>
    <d v="2025-03-06T00:00:00"/>
    <x v="2"/>
    <x v="2"/>
    <n v="5"/>
    <x v="0"/>
    <x v="8"/>
    <n v="2"/>
    <n v="10"/>
    <x v="2"/>
  </r>
  <r>
    <x v="1700"/>
    <x v="6"/>
    <n v="4"/>
    <n v="105.9"/>
    <n v="423.6"/>
    <d v="2025-03-04T00:00:00"/>
    <d v="2025-03-05T00:00:00"/>
    <x v="2"/>
    <x v="1"/>
    <n v="5"/>
    <x v="0"/>
    <x v="17"/>
    <n v="1"/>
    <n v="10"/>
    <x v="2"/>
  </r>
  <r>
    <x v="1701"/>
    <x v="1"/>
    <n v="9"/>
    <n v="37.4"/>
    <n v="336.59999999999997"/>
    <d v="2025-03-04T00:00:00"/>
    <d v="2025-03-08T00:00:00"/>
    <x v="1"/>
    <x v="1"/>
    <n v="4"/>
    <x v="0"/>
    <x v="11"/>
    <n v="4"/>
    <n v="10"/>
    <x v="1"/>
  </r>
  <r>
    <x v="1702"/>
    <x v="18"/>
    <n v="2"/>
    <n v="79"/>
    <n v="158"/>
    <d v="2025-03-04T00:00:00"/>
    <d v="2025-03-05T00:00:00"/>
    <x v="1"/>
    <x v="2"/>
    <n v="4"/>
    <x v="0"/>
    <x v="28"/>
    <n v="1"/>
    <n v="10"/>
    <x v="1"/>
  </r>
  <r>
    <x v="1703"/>
    <x v="0"/>
    <n v="3"/>
    <n v="19.3"/>
    <n v="57.900000000000006"/>
    <d v="2025-03-04T00:00:00"/>
    <d v="2025-03-05T00:00:00"/>
    <x v="2"/>
    <x v="4"/>
    <n v="4"/>
    <x v="0"/>
    <x v="21"/>
    <n v="1"/>
    <n v="10"/>
    <x v="2"/>
  </r>
  <r>
    <x v="1704"/>
    <x v="0"/>
    <n v="1"/>
    <n v="24"/>
    <n v="24"/>
    <d v="2025-03-04T00:00:00"/>
    <d v="2025-03-05T00:00:00"/>
    <x v="2"/>
    <x v="1"/>
    <n v="4"/>
    <x v="0"/>
    <x v="1"/>
    <n v="1"/>
    <n v="10"/>
    <x v="2"/>
  </r>
  <r>
    <x v="1705"/>
    <x v="6"/>
    <n v="5"/>
    <n v="71.3"/>
    <n v="356.5"/>
    <d v="2025-03-04T00:00:00"/>
    <d v="2025-03-07T00:00:00"/>
    <x v="2"/>
    <x v="2"/>
    <n v="4"/>
    <x v="0"/>
    <x v="2"/>
    <n v="3"/>
    <n v="10"/>
    <x v="2"/>
  </r>
  <r>
    <x v="1706"/>
    <x v="5"/>
    <n v="2"/>
    <n v="166.2"/>
    <n v="332.4"/>
    <d v="2025-03-04T00:00:00"/>
    <d v="2025-03-05T00:00:00"/>
    <x v="1"/>
    <x v="0"/>
    <n v="5"/>
    <x v="0"/>
    <x v="50"/>
    <n v="1"/>
    <n v="10"/>
    <x v="1"/>
  </r>
  <r>
    <x v="1707"/>
    <x v="6"/>
    <n v="1"/>
    <n v="81"/>
    <n v="81"/>
    <d v="2025-03-04T00:00:00"/>
    <d v="2025-03-05T00:00:00"/>
    <x v="2"/>
    <x v="2"/>
    <n v="3"/>
    <x v="0"/>
    <x v="3"/>
    <n v="1"/>
    <n v="10"/>
    <x v="2"/>
  </r>
  <r>
    <x v="1708"/>
    <x v="10"/>
    <n v="6"/>
    <n v="38.5"/>
    <n v="231"/>
    <d v="2025-03-04T00:00:00"/>
    <d v="2025-03-08T00:00:00"/>
    <x v="2"/>
    <x v="0"/>
    <n v="4"/>
    <x v="0"/>
    <x v="3"/>
    <n v="4"/>
    <n v="10"/>
    <x v="2"/>
  </r>
  <r>
    <x v="1709"/>
    <x v="6"/>
    <n v="1"/>
    <n v="86.1"/>
    <n v="86.1"/>
    <d v="2025-03-04T00:00:00"/>
    <d v="2025-03-06T00:00:00"/>
    <x v="2"/>
    <x v="3"/>
    <n v="4"/>
    <x v="0"/>
    <x v="3"/>
    <n v="2"/>
    <n v="10"/>
    <x v="2"/>
  </r>
  <r>
    <x v="1710"/>
    <x v="2"/>
    <n v="5"/>
    <n v="51"/>
    <n v="255"/>
    <d v="2025-03-04T00:00:00"/>
    <d v="2025-03-05T00:00:00"/>
    <x v="1"/>
    <x v="0"/>
    <n v="3"/>
    <x v="0"/>
    <x v="3"/>
    <n v="1"/>
    <n v="10"/>
    <x v="1"/>
  </r>
  <r>
    <x v="1711"/>
    <x v="3"/>
    <n v="5"/>
    <n v="115.4"/>
    <n v="577"/>
    <d v="2025-03-04T00:00:00"/>
    <d v="2025-03-05T00:00:00"/>
    <x v="1"/>
    <x v="0"/>
    <n v="4"/>
    <x v="0"/>
    <x v="3"/>
    <n v="1"/>
    <n v="10"/>
    <x v="1"/>
  </r>
  <r>
    <x v="1712"/>
    <x v="6"/>
    <n v="4"/>
    <n v="176.5"/>
    <n v="706"/>
    <d v="2025-03-04T00:00:00"/>
    <d v="2025-03-05T00:00:00"/>
    <x v="2"/>
    <x v="2"/>
    <n v="5"/>
    <x v="0"/>
    <x v="3"/>
    <n v="1"/>
    <n v="10"/>
    <x v="2"/>
  </r>
  <r>
    <x v="1713"/>
    <x v="7"/>
    <n v="3"/>
    <n v="48.9"/>
    <n v="146.69999999999999"/>
    <d v="2025-03-04T00:00:00"/>
    <d v="2025-03-05T00:00:00"/>
    <x v="1"/>
    <x v="4"/>
    <n v="4"/>
    <x v="0"/>
    <x v="3"/>
    <n v="1"/>
    <n v="10"/>
    <x v="1"/>
  </r>
  <r>
    <x v="1714"/>
    <x v="8"/>
    <n v="3"/>
    <n v="18.100000000000001"/>
    <n v="54.300000000000004"/>
    <d v="2025-03-04T00:00:00"/>
    <d v="2025-03-11T00:00:00"/>
    <x v="2"/>
    <x v="1"/>
    <n v="5"/>
    <x v="0"/>
    <x v="29"/>
    <n v="7"/>
    <n v="10"/>
    <x v="2"/>
  </r>
  <r>
    <x v="1715"/>
    <x v="2"/>
    <n v="2"/>
    <n v="118.5"/>
    <n v="237"/>
    <d v="2025-03-04T00:00:00"/>
    <d v="2025-03-07T00:00:00"/>
    <x v="1"/>
    <x v="1"/>
    <n v="5"/>
    <x v="0"/>
    <x v="16"/>
    <n v="3"/>
    <n v="10"/>
    <x v="1"/>
  </r>
  <r>
    <x v="1716"/>
    <x v="15"/>
    <n v="7"/>
    <n v="59.1"/>
    <n v="413.7"/>
    <d v="2025-03-04T00:00:00"/>
    <d v="2025-03-05T00:00:00"/>
    <x v="2"/>
    <x v="3"/>
    <n v="4"/>
    <x v="0"/>
    <x v="25"/>
    <n v="1"/>
    <n v="10"/>
    <x v="2"/>
  </r>
  <r>
    <x v="1717"/>
    <x v="4"/>
    <n v="1"/>
    <n v="21.2"/>
    <n v="21.2"/>
    <d v="2025-03-04T00:00:00"/>
    <d v="2025-03-05T00:00:00"/>
    <x v="2"/>
    <x v="0"/>
    <n v="3"/>
    <x v="0"/>
    <x v="6"/>
    <n v="1"/>
    <n v="10"/>
    <x v="2"/>
  </r>
  <r>
    <x v="1718"/>
    <x v="6"/>
    <n v="2"/>
    <n v="68.8"/>
    <n v="137.6"/>
    <d v="2025-03-04T00:00:00"/>
    <d v="2025-03-09T00:00:00"/>
    <x v="2"/>
    <x v="3"/>
    <n v="5"/>
    <x v="0"/>
    <x v="6"/>
    <n v="5"/>
    <n v="10"/>
    <x v="2"/>
  </r>
  <r>
    <x v="1719"/>
    <x v="6"/>
    <n v="2"/>
    <n v="65.400000000000006"/>
    <n v="130.80000000000001"/>
    <d v="2025-03-04T00:00:00"/>
    <d v="2025-03-08T00:00:00"/>
    <x v="2"/>
    <x v="0"/>
    <n v="4"/>
    <x v="0"/>
    <x v="6"/>
    <n v="4"/>
    <n v="10"/>
    <x v="2"/>
  </r>
  <r>
    <x v="1720"/>
    <x v="12"/>
    <n v="5"/>
    <n v="66.3"/>
    <n v="331.5"/>
    <d v="2025-03-05T00:00:00"/>
    <d v="2025-03-08T00:00:00"/>
    <x v="2"/>
    <x v="4"/>
    <n v="4"/>
    <x v="0"/>
    <x v="6"/>
    <n v="3"/>
    <n v="10"/>
    <x v="2"/>
  </r>
  <r>
    <x v="1721"/>
    <x v="6"/>
    <n v="3"/>
    <n v="97.5"/>
    <n v="292.5"/>
    <d v="2025-03-05T00:00:00"/>
    <d v="2025-03-05T00:00:00"/>
    <x v="1"/>
    <x v="3"/>
    <n v="4"/>
    <x v="0"/>
    <x v="8"/>
    <n v="0"/>
    <n v="10"/>
    <x v="1"/>
  </r>
  <r>
    <x v="1722"/>
    <x v="1"/>
    <n v="2"/>
    <n v="44"/>
    <n v="88"/>
    <d v="2025-03-05T00:00:00"/>
    <d v="2025-03-08T00:00:00"/>
    <x v="2"/>
    <x v="1"/>
    <n v="5"/>
    <x v="0"/>
    <x v="8"/>
    <n v="3"/>
    <n v="10"/>
    <x v="2"/>
  </r>
  <r>
    <x v="1723"/>
    <x v="0"/>
    <n v="1"/>
    <n v="21.9"/>
    <n v="21.9"/>
    <d v="2025-03-05T00:00:00"/>
    <d v="2025-03-06T00:00:00"/>
    <x v="1"/>
    <x v="0"/>
    <n v="4"/>
    <x v="0"/>
    <x v="8"/>
    <n v="1"/>
    <n v="10"/>
    <x v="1"/>
  </r>
  <r>
    <x v="1724"/>
    <x v="4"/>
    <n v="7"/>
    <n v="21.5"/>
    <n v="150.5"/>
    <d v="2025-03-05T00:00:00"/>
    <d v="2025-03-07T00:00:00"/>
    <x v="2"/>
    <x v="1"/>
    <n v="5"/>
    <x v="0"/>
    <x v="9"/>
    <n v="2"/>
    <n v="10"/>
    <x v="2"/>
  </r>
  <r>
    <x v="1725"/>
    <x v="12"/>
    <n v="6"/>
    <n v="133"/>
    <n v="798"/>
    <d v="2025-03-05T00:00:00"/>
    <d v="2025-03-06T00:00:00"/>
    <x v="3"/>
    <x v="0"/>
    <n v="5"/>
    <x v="0"/>
    <x v="10"/>
    <n v="1"/>
    <n v="10"/>
    <x v="3"/>
  </r>
  <r>
    <x v="1726"/>
    <x v="8"/>
    <n v="2"/>
    <n v="47.7"/>
    <n v="95.4"/>
    <d v="2025-03-05T00:00:00"/>
    <d v="2025-03-09T00:00:00"/>
    <x v="1"/>
    <x v="0"/>
    <n v="5"/>
    <x v="0"/>
    <x v="10"/>
    <n v="4"/>
    <n v="10"/>
    <x v="1"/>
  </r>
  <r>
    <x v="1727"/>
    <x v="16"/>
    <n v="3"/>
    <n v="58.1"/>
    <n v="174.3"/>
    <d v="2025-03-05T00:00:00"/>
    <d v="2025-03-06T00:00:00"/>
    <x v="2"/>
    <x v="0"/>
    <n v="4"/>
    <x v="0"/>
    <x v="11"/>
    <n v="1"/>
    <n v="10"/>
    <x v="2"/>
  </r>
  <r>
    <x v="1728"/>
    <x v="12"/>
    <n v="4"/>
    <n v="66.599999999999994"/>
    <n v="266.39999999999998"/>
    <d v="2025-03-05T00:00:00"/>
    <d v="2025-03-06T00:00:00"/>
    <x v="0"/>
    <x v="0"/>
    <n v="4"/>
    <x v="0"/>
    <x v="11"/>
    <n v="1"/>
    <n v="10"/>
    <x v="0"/>
  </r>
  <r>
    <x v="1729"/>
    <x v="9"/>
    <n v="1"/>
    <n v="24.1"/>
    <n v="24.1"/>
    <d v="2025-03-05T00:00:00"/>
    <d v="2025-03-08T00:00:00"/>
    <x v="1"/>
    <x v="2"/>
    <n v="3"/>
    <x v="0"/>
    <x v="19"/>
    <n v="3"/>
    <n v="10"/>
    <x v="1"/>
  </r>
  <r>
    <x v="1730"/>
    <x v="10"/>
    <n v="5"/>
    <n v="51.5"/>
    <n v="257.5"/>
    <d v="2025-03-05T00:00:00"/>
    <d v="2025-03-10T00:00:00"/>
    <x v="2"/>
    <x v="0"/>
    <n v="4"/>
    <x v="0"/>
    <x v="13"/>
    <n v="5"/>
    <n v="10"/>
    <x v="2"/>
  </r>
  <r>
    <x v="1731"/>
    <x v="0"/>
    <n v="11"/>
    <n v="25.8"/>
    <n v="283.8"/>
    <d v="2025-03-05T00:00:00"/>
    <d v="2025-03-09T00:00:00"/>
    <x v="2"/>
    <x v="3"/>
    <n v="2"/>
    <x v="0"/>
    <x v="21"/>
    <n v="4"/>
    <n v="10"/>
    <x v="2"/>
  </r>
  <r>
    <x v="1732"/>
    <x v="9"/>
    <n v="4"/>
    <n v="47.7"/>
    <n v="190.8"/>
    <d v="2025-03-05T00:00:00"/>
    <d v="2025-03-05T00:00:00"/>
    <x v="2"/>
    <x v="0"/>
    <n v="3"/>
    <x v="0"/>
    <x v="21"/>
    <n v="0"/>
    <n v="10"/>
    <x v="2"/>
  </r>
  <r>
    <x v="1733"/>
    <x v="7"/>
    <n v="5"/>
    <n v="73.599999999999994"/>
    <n v="368"/>
    <d v="2025-03-05T00:00:00"/>
    <d v="2025-03-09T00:00:00"/>
    <x v="1"/>
    <x v="1"/>
    <n v="4"/>
    <x v="0"/>
    <x v="21"/>
    <n v="4"/>
    <n v="10"/>
    <x v="1"/>
  </r>
  <r>
    <x v="1734"/>
    <x v="5"/>
    <n v="7"/>
    <n v="91.2"/>
    <n v="638.4"/>
    <d v="2025-03-05T00:00:00"/>
    <d v="2025-03-06T00:00:00"/>
    <x v="1"/>
    <x v="1"/>
    <n v="5"/>
    <x v="0"/>
    <x v="21"/>
    <n v="1"/>
    <n v="10"/>
    <x v="1"/>
  </r>
  <r>
    <x v="1735"/>
    <x v="1"/>
    <n v="8"/>
    <n v="36.200000000000003"/>
    <n v="289.60000000000002"/>
    <d v="2025-03-05T00:00:00"/>
    <d v="2025-03-05T00:00:00"/>
    <x v="1"/>
    <x v="2"/>
    <n v="5"/>
    <x v="0"/>
    <x v="1"/>
    <n v="0"/>
    <n v="10"/>
    <x v="1"/>
  </r>
  <r>
    <x v="1736"/>
    <x v="9"/>
    <n v="8"/>
    <n v="98"/>
    <n v="784"/>
    <d v="2025-03-05T00:00:00"/>
    <d v="2025-03-09T00:00:00"/>
    <x v="2"/>
    <x v="2"/>
    <n v="4"/>
    <x v="0"/>
    <x v="2"/>
    <n v="4"/>
    <n v="10"/>
    <x v="2"/>
  </r>
  <r>
    <x v="1737"/>
    <x v="1"/>
    <n v="8"/>
    <n v="43.6"/>
    <n v="348.8"/>
    <d v="2025-03-05T00:00:00"/>
    <d v="2025-03-06T00:00:00"/>
    <x v="2"/>
    <x v="2"/>
    <n v="4"/>
    <x v="0"/>
    <x v="22"/>
    <n v="1"/>
    <n v="10"/>
    <x v="2"/>
  </r>
  <r>
    <x v="1738"/>
    <x v="8"/>
    <n v="10"/>
    <n v="37.799999999999997"/>
    <n v="378"/>
    <d v="2025-03-05T00:00:00"/>
    <d v="2025-03-05T00:00:00"/>
    <x v="3"/>
    <x v="0"/>
    <n v="4"/>
    <x v="0"/>
    <x v="50"/>
    <n v="0"/>
    <n v="10"/>
    <x v="3"/>
  </r>
  <r>
    <x v="1739"/>
    <x v="17"/>
    <n v="5"/>
    <n v="63.7"/>
    <n v="318.5"/>
    <d v="2025-03-05T00:00:00"/>
    <d v="2025-03-08T00:00:00"/>
    <x v="2"/>
    <x v="2"/>
    <n v="3"/>
    <x v="0"/>
    <x v="3"/>
    <n v="3"/>
    <n v="10"/>
    <x v="2"/>
  </r>
  <r>
    <x v="1740"/>
    <x v="5"/>
    <n v="9"/>
    <n v="62.9"/>
    <n v="566.1"/>
    <d v="2025-03-05T00:00:00"/>
    <d v="2025-03-10T00:00:00"/>
    <x v="1"/>
    <x v="3"/>
    <n v="5"/>
    <x v="0"/>
    <x v="3"/>
    <n v="5"/>
    <n v="10"/>
    <x v="1"/>
  </r>
  <r>
    <x v="1741"/>
    <x v="6"/>
    <n v="7"/>
    <n v="61.7"/>
    <n v="431.90000000000003"/>
    <d v="2025-03-05T00:00:00"/>
    <d v="2025-03-08T00:00:00"/>
    <x v="2"/>
    <x v="2"/>
    <n v="5"/>
    <x v="0"/>
    <x v="3"/>
    <n v="3"/>
    <n v="10"/>
    <x v="2"/>
  </r>
  <r>
    <x v="1742"/>
    <x v="18"/>
    <n v="14"/>
    <n v="36.5"/>
    <n v="511"/>
    <d v="2025-03-05T00:00:00"/>
    <d v="2025-03-06T00:00:00"/>
    <x v="1"/>
    <x v="0"/>
    <n v="5"/>
    <x v="0"/>
    <x v="3"/>
    <n v="1"/>
    <n v="10"/>
    <x v="1"/>
  </r>
  <r>
    <x v="1743"/>
    <x v="11"/>
    <n v="3"/>
    <n v="98.6"/>
    <n v="295.79999999999995"/>
    <d v="2025-03-05T00:00:00"/>
    <d v="2025-03-08T00:00:00"/>
    <x v="3"/>
    <x v="0"/>
    <n v="2"/>
    <x v="0"/>
    <x v="3"/>
    <n v="3"/>
    <n v="10"/>
    <x v="3"/>
  </r>
  <r>
    <x v="1744"/>
    <x v="8"/>
    <n v="2"/>
    <n v="19.2"/>
    <n v="38.4"/>
    <d v="2025-03-05T00:00:00"/>
    <d v="2025-03-15T00:00:00"/>
    <x v="1"/>
    <x v="0"/>
    <n v="4"/>
    <x v="0"/>
    <x v="3"/>
    <n v="10"/>
    <n v="10"/>
    <x v="1"/>
  </r>
  <r>
    <x v="1745"/>
    <x v="3"/>
    <n v="6"/>
    <n v="55.6"/>
    <n v="333.6"/>
    <d v="2025-03-05T00:00:00"/>
    <d v="2025-03-09T00:00:00"/>
    <x v="2"/>
    <x v="0"/>
    <n v="5"/>
    <x v="0"/>
    <x v="3"/>
    <n v="4"/>
    <n v="10"/>
    <x v="2"/>
  </r>
  <r>
    <x v="1746"/>
    <x v="5"/>
    <n v="6"/>
    <n v="56.4"/>
    <n v="338.4"/>
    <d v="2025-03-05T00:00:00"/>
    <d v="2025-03-06T00:00:00"/>
    <x v="2"/>
    <x v="1"/>
    <n v="4"/>
    <x v="0"/>
    <x v="3"/>
    <n v="1"/>
    <n v="10"/>
    <x v="2"/>
  </r>
  <r>
    <x v="1747"/>
    <x v="4"/>
    <n v="8"/>
    <n v="43.1"/>
    <n v="344.8"/>
    <d v="2025-03-05T00:00:00"/>
    <d v="2025-03-09T00:00:00"/>
    <x v="2"/>
    <x v="4"/>
    <n v="4"/>
    <x v="0"/>
    <x v="3"/>
    <n v="4"/>
    <n v="10"/>
    <x v="2"/>
  </r>
  <r>
    <x v="1748"/>
    <x v="1"/>
    <n v="2"/>
    <n v="77.3"/>
    <n v="154.6"/>
    <d v="2025-03-05T00:00:00"/>
    <d v="2025-03-07T00:00:00"/>
    <x v="1"/>
    <x v="0"/>
    <n v="4"/>
    <x v="0"/>
    <x v="6"/>
    <n v="2"/>
    <n v="10"/>
    <x v="1"/>
  </r>
  <r>
    <x v="1749"/>
    <x v="9"/>
    <n v="8"/>
    <n v="38.299999999999997"/>
    <n v="306.39999999999998"/>
    <d v="2025-03-05T00:00:00"/>
    <d v="2025-03-06T00:00:00"/>
    <x v="1"/>
    <x v="0"/>
    <n v="4"/>
    <x v="0"/>
    <x v="7"/>
    <n v="1"/>
    <n v="10"/>
    <x v="1"/>
  </r>
  <r>
    <x v="1750"/>
    <x v="0"/>
    <n v="7"/>
    <n v="16.8"/>
    <n v="117.60000000000001"/>
    <d v="2025-03-05T00:00:00"/>
    <d v="2025-03-08T00:00:00"/>
    <x v="1"/>
    <x v="2"/>
    <n v="3"/>
    <x v="0"/>
    <x v="8"/>
    <n v="3"/>
    <n v="10"/>
    <x v="1"/>
  </r>
  <r>
    <x v="1751"/>
    <x v="2"/>
    <n v="3"/>
    <n v="63.2"/>
    <n v="189.60000000000002"/>
    <d v="2025-03-05T00:00:00"/>
    <d v="2025-03-06T00:00:00"/>
    <x v="2"/>
    <x v="0"/>
    <n v="5"/>
    <x v="0"/>
    <x v="8"/>
    <n v="1"/>
    <n v="10"/>
    <x v="2"/>
  </r>
  <r>
    <x v="1752"/>
    <x v="14"/>
    <n v="23"/>
    <n v="39.700000000000003"/>
    <n v="913.1"/>
    <d v="2025-03-05T00:00:00"/>
    <d v="2025-03-06T00:00:00"/>
    <x v="1"/>
    <x v="0"/>
    <n v="4"/>
    <x v="0"/>
    <x v="8"/>
    <n v="1"/>
    <n v="10"/>
    <x v="1"/>
  </r>
  <r>
    <x v="1753"/>
    <x v="10"/>
    <n v="3"/>
    <n v="45.8"/>
    <n v="137.39999999999998"/>
    <d v="2025-03-05T00:00:00"/>
    <d v="2025-03-06T00:00:00"/>
    <x v="2"/>
    <x v="1"/>
    <n v="5"/>
    <x v="0"/>
    <x v="8"/>
    <n v="1"/>
    <n v="10"/>
    <x v="2"/>
  </r>
  <r>
    <x v="1754"/>
    <x v="0"/>
    <n v="6"/>
    <n v="12.4"/>
    <n v="74.400000000000006"/>
    <d v="2025-03-05T00:00:00"/>
    <d v="2025-03-08T00:00:00"/>
    <x v="1"/>
    <x v="0"/>
    <n v="4"/>
    <x v="0"/>
    <x v="8"/>
    <n v="3"/>
    <n v="10"/>
    <x v="1"/>
  </r>
  <r>
    <x v="1755"/>
    <x v="14"/>
    <n v="3"/>
    <n v="50.8"/>
    <n v="152.39999999999998"/>
    <d v="2025-03-06T00:00:00"/>
    <d v="2025-03-06T00:00:00"/>
    <x v="2"/>
    <x v="4"/>
    <n v="4"/>
    <x v="0"/>
    <x v="17"/>
    <n v="0"/>
    <n v="10"/>
    <x v="2"/>
  </r>
  <r>
    <x v="1756"/>
    <x v="9"/>
    <n v="1"/>
    <n v="76"/>
    <n v="76"/>
    <d v="2025-03-06T00:00:00"/>
    <d v="2025-03-10T00:00:00"/>
    <x v="3"/>
    <x v="2"/>
    <n v="5"/>
    <x v="0"/>
    <x v="17"/>
    <n v="4"/>
    <n v="10"/>
    <x v="3"/>
  </r>
  <r>
    <x v="1757"/>
    <x v="1"/>
    <n v="2"/>
    <n v="51.9"/>
    <n v="103.8"/>
    <d v="2025-03-06T00:00:00"/>
    <d v="2025-03-07T00:00:00"/>
    <x v="1"/>
    <x v="1"/>
    <n v="5"/>
    <x v="0"/>
    <x v="26"/>
    <n v="1"/>
    <n v="10"/>
    <x v="1"/>
  </r>
  <r>
    <x v="1758"/>
    <x v="2"/>
    <n v="2"/>
    <n v="93.4"/>
    <n v="186.8"/>
    <d v="2025-03-06T00:00:00"/>
    <d v="2025-03-13T00:00:00"/>
    <x v="1"/>
    <x v="0"/>
    <n v="1"/>
    <x v="0"/>
    <x v="11"/>
    <n v="7"/>
    <n v="10"/>
    <x v="1"/>
  </r>
  <r>
    <x v="1759"/>
    <x v="7"/>
    <n v="6"/>
    <n v="30.8"/>
    <n v="184.8"/>
    <d v="2025-03-06T00:00:00"/>
    <d v="2025-03-09T00:00:00"/>
    <x v="2"/>
    <x v="1"/>
    <n v="4"/>
    <x v="0"/>
    <x v="11"/>
    <n v="3"/>
    <n v="10"/>
    <x v="2"/>
  </r>
  <r>
    <x v="1760"/>
    <x v="2"/>
    <n v="1"/>
    <n v="143.19999999999999"/>
    <n v="143.19999999999999"/>
    <d v="2025-03-06T00:00:00"/>
    <d v="2025-03-09T00:00:00"/>
    <x v="1"/>
    <x v="2"/>
    <n v="4"/>
    <x v="0"/>
    <x v="11"/>
    <n v="3"/>
    <n v="10"/>
    <x v="1"/>
  </r>
  <r>
    <x v="1761"/>
    <x v="6"/>
    <n v="11"/>
    <n v="40.4"/>
    <n v="444.4"/>
    <d v="2025-03-06T00:00:00"/>
    <d v="2025-03-08T00:00:00"/>
    <x v="1"/>
    <x v="2"/>
    <n v="5"/>
    <x v="0"/>
    <x v="18"/>
    <n v="2"/>
    <n v="10"/>
    <x v="1"/>
  </r>
  <r>
    <x v="1762"/>
    <x v="2"/>
    <n v="19"/>
    <n v="131.5"/>
    <n v="2498.5"/>
    <d v="2025-03-06T00:00:00"/>
    <d v="2025-03-08T00:00:00"/>
    <x v="1"/>
    <x v="1"/>
    <n v="3"/>
    <x v="0"/>
    <x v="18"/>
    <n v="2"/>
    <n v="10"/>
    <x v="1"/>
  </r>
  <r>
    <x v="1763"/>
    <x v="18"/>
    <n v="7"/>
    <n v="61.6"/>
    <n v="431.2"/>
    <d v="2025-03-06T00:00:00"/>
    <d v="2025-03-07T00:00:00"/>
    <x v="1"/>
    <x v="2"/>
    <n v="4"/>
    <x v="0"/>
    <x v="21"/>
    <n v="1"/>
    <n v="10"/>
    <x v="1"/>
  </r>
  <r>
    <x v="1764"/>
    <x v="9"/>
    <n v="5"/>
    <n v="32.700000000000003"/>
    <n v="163.5"/>
    <d v="2025-03-06T00:00:00"/>
    <d v="2025-03-08T00:00:00"/>
    <x v="1"/>
    <x v="2"/>
    <n v="4"/>
    <x v="0"/>
    <x v="1"/>
    <n v="2"/>
    <n v="10"/>
    <x v="1"/>
  </r>
  <r>
    <x v="1765"/>
    <x v="0"/>
    <n v="10"/>
    <n v="13.7"/>
    <n v="137"/>
    <d v="2025-03-06T00:00:00"/>
    <d v="2025-03-07T00:00:00"/>
    <x v="1"/>
    <x v="0"/>
    <n v="5"/>
    <x v="0"/>
    <x v="3"/>
    <n v="1"/>
    <n v="10"/>
    <x v="1"/>
  </r>
  <r>
    <x v="1766"/>
    <x v="0"/>
    <n v="4"/>
    <n v="32.1"/>
    <n v="128.4"/>
    <d v="2025-03-06T00:00:00"/>
    <d v="2025-03-07T00:00:00"/>
    <x v="1"/>
    <x v="4"/>
    <n v="3"/>
    <x v="0"/>
    <x v="3"/>
    <n v="1"/>
    <n v="10"/>
    <x v="1"/>
  </r>
  <r>
    <x v="1767"/>
    <x v="14"/>
    <n v="8"/>
    <n v="12"/>
    <n v="96"/>
    <d v="2025-03-06T00:00:00"/>
    <d v="2025-03-07T00:00:00"/>
    <x v="1"/>
    <x v="1"/>
    <n v="4"/>
    <x v="0"/>
    <x v="24"/>
    <n v="1"/>
    <n v="10"/>
    <x v="1"/>
  </r>
  <r>
    <x v="1768"/>
    <x v="12"/>
    <n v="1"/>
    <n v="64.3"/>
    <n v="64.3"/>
    <d v="2025-03-06T00:00:00"/>
    <d v="2025-03-08T00:00:00"/>
    <x v="2"/>
    <x v="2"/>
    <n v="5"/>
    <x v="0"/>
    <x v="6"/>
    <n v="2"/>
    <n v="10"/>
    <x v="2"/>
  </r>
  <r>
    <x v="1769"/>
    <x v="1"/>
    <n v="3"/>
    <n v="58.2"/>
    <n v="174.60000000000002"/>
    <d v="2025-03-06T00:00:00"/>
    <d v="2025-03-08T00:00:00"/>
    <x v="2"/>
    <x v="1"/>
    <n v="5"/>
    <x v="0"/>
    <x v="6"/>
    <n v="2"/>
    <n v="10"/>
    <x v="2"/>
  </r>
  <r>
    <x v="1770"/>
    <x v="6"/>
    <n v="4"/>
    <n v="59.2"/>
    <n v="236.8"/>
    <d v="2025-03-06T00:00:00"/>
    <d v="2025-03-06T00:00:00"/>
    <x v="1"/>
    <x v="1"/>
    <n v="5"/>
    <x v="0"/>
    <x v="6"/>
    <n v="0"/>
    <n v="10"/>
    <x v="1"/>
  </r>
  <r>
    <x v="1771"/>
    <x v="10"/>
    <n v="11"/>
    <n v="35.6"/>
    <n v="391.6"/>
    <d v="2025-03-06T00:00:00"/>
    <d v="2025-03-13T00:00:00"/>
    <x v="1"/>
    <x v="0"/>
    <n v="5"/>
    <x v="0"/>
    <x v="8"/>
    <n v="7"/>
    <n v="10"/>
    <x v="1"/>
  </r>
  <r>
    <x v="1772"/>
    <x v="16"/>
    <n v="8"/>
    <n v="37"/>
    <n v="296"/>
    <d v="2025-03-06T00:00:00"/>
    <d v="2025-03-10T00:00:00"/>
    <x v="2"/>
    <x v="2"/>
    <n v="3"/>
    <x v="0"/>
    <x v="8"/>
    <n v="4"/>
    <n v="10"/>
    <x v="2"/>
  </r>
  <r>
    <x v="1773"/>
    <x v="1"/>
    <n v="13"/>
    <n v="80.8"/>
    <n v="1050.3999999999999"/>
    <d v="2025-03-06T00:00:00"/>
    <d v="2025-03-08T00:00:00"/>
    <x v="2"/>
    <x v="0"/>
    <n v="4"/>
    <x v="0"/>
    <x v="8"/>
    <n v="2"/>
    <n v="10"/>
    <x v="2"/>
  </r>
  <r>
    <x v="1774"/>
    <x v="8"/>
    <n v="2"/>
    <n v="63.2"/>
    <n v="126.4"/>
    <d v="2025-03-06T00:00:00"/>
    <d v="2025-03-07T00:00:00"/>
    <x v="1"/>
    <x v="0"/>
    <n v="3"/>
    <x v="0"/>
    <x v="8"/>
    <n v="1"/>
    <n v="10"/>
    <x v="1"/>
  </r>
  <r>
    <x v="1775"/>
    <x v="3"/>
    <n v="2"/>
    <n v="40.799999999999997"/>
    <n v="81.599999999999994"/>
    <d v="2025-03-06T00:00:00"/>
    <d v="2025-03-08T00:00:00"/>
    <x v="1"/>
    <x v="0"/>
    <n v="3"/>
    <x v="0"/>
    <x v="17"/>
    <n v="2"/>
    <n v="10"/>
    <x v="1"/>
  </r>
  <r>
    <x v="1776"/>
    <x v="13"/>
    <n v="6"/>
    <n v="25.7"/>
    <n v="154.19999999999999"/>
    <d v="2025-03-06T00:00:00"/>
    <d v="2025-03-08T00:00:00"/>
    <x v="1"/>
    <x v="4"/>
    <n v="4"/>
    <x v="0"/>
    <x v="18"/>
    <n v="2"/>
    <n v="10"/>
    <x v="1"/>
  </r>
  <r>
    <x v="1777"/>
    <x v="16"/>
    <n v="2"/>
    <n v="49.9"/>
    <n v="99.8"/>
    <d v="2025-03-06T00:00:00"/>
    <d v="2025-03-09T00:00:00"/>
    <x v="1"/>
    <x v="0"/>
    <n v="4"/>
    <x v="0"/>
    <x v="20"/>
    <n v="3"/>
    <n v="10"/>
    <x v="1"/>
  </r>
  <r>
    <x v="1778"/>
    <x v="8"/>
    <n v="2"/>
    <n v="20.2"/>
    <n v="40.4"/>
    <d v="2025-03-06T00:00:00"/>
    <d v="2025-03-08T00:00:00"/>
    <x v="2"/>
    <x v="3"/>
    <n v="4"/>
    <x v="0"/>
    <x v="21"/>
    <n v="2"/>
    <n v="10"/>
    <x v="2"/>
  </r>
  <r>
    <x v="1779"/>
    <x v="6"/>
    <n v="3"/>
    <n v="48.4"/>
    <n v="145.19999999999999"/>
    <d v="2025-03-06T00:00:00"/>
    <d v="2025-03-11T00:00:00"/>
    <x v="2"/>
    <x v="0"/>
    <n v="5"/>
    <x v="0"/>
    <x v="21"/>
    <n v="5"/>
    <n v="10"/>
    <x v="2"/>
  </r>
  <r>
    <x v="1780"/>
    <x v="6"/>
    <n v="2"/>
    <n v="81"/>
    <n v="162"/>
    <d v="2025-03-06T00:00:00"/>
    <d v="2025-03-07T00:00:00"/>
    <x v="2"/>
    <x v="1"/>
    <n v="5"/>
    <x v="0"/>
    <x v="21"/>
    <n v="1"/>
    <n v="10"/>
    <x v="2"/>
  </r>
  <r>
    <x v="1781"/>
    <x v="8"/>
    <n v="6"/>
    <n v="19.899999999999999"/>
    <n v="119.39999999999999"/>
    <d v="2025-03-06T00:00:00"/>
    <d v="2025-03-09T00:00:00"/>
    <x v="2"/>
    <x v="0"/>
    <n v="3"/>
    <x v="0"/>
    <x v="22"/>
    <n v="3"/>
    <n v="10"/>
    <x v="2"/>
  </r>
  <r>
    <x v="1782"/>
    <x v="4"/>
    <n v="4"/>
    <n v="32.200000000000003"/>
    <n v="128.80000000000001"/>
    <d v="2025-03-06T00:00:00"/>
    <d v="2025-03-16T00:00:00"/>
    <x v="1"/>
    <x v="0"/>
    <n v="4"/>
    <x v="0"/>
    <x v="22"/>
    <n v="10"/>
    <n v="10"/>
    <x v="1"/>
  </r>
  <r>
    <x v="1783"/>
    <x v="5"/>
    <n v="3"/>
    <n v="76.8"/>
    <n v="230.39999999999998"/>
    <d v="2025-03-06T00:00:00"/>
    <d v="2025-03-07T00:00:00"/>
    <x v="2"/>
    <x v="0"/>
    <n v="3"/>
    <x v="0"/>
    <x v="3"/>
    <n v="1"/>
    <n v="10"/>
    <x v="2"/>
  </r>
  <r>
    <x v="1784"/>
    <x v="6"/>
    <n v="2"/>
    <n v="41.9"/>
    <n v="83.8"/>
    <d v="2025-03-06T00:00:00"/>
    <d v="2025-03-08T00:00:00"/>
    <x v="2"/>
    <x v="0"/>
    <n v="4"/>
    <x v="0"/>
    <x v="3"/>
    <n v="2"/>
    <n v="10"/>
    <x v="2"/>
  </r>
  <r>
    <x v="1785"/>
    <x v="0"/>
    <n v="7"/>
    <n v="34"/>
    <n v="238"/>
    <d v="2025-03-06T00:00:00"/>
    <d v="2025-03-08T00:00:00"/>
    <x v="2"/>
    <x v="1"/>
    <n v="5"/>
    <x v="0"/>
    <x v="3"/>
    <n v="2"/>
    <n v="10"/>
    <x v="2"/>
  </r>
  <r>
    <x v="1786"/>
    <x v="7"/>
    <n v="7"/>
    <n v="61.3"/>
    <n v="429.09999999999997"/>
    <d v="2025-03-06T00:00:00"/>
    <d v="2025-03-06T00:00:00"/>
    <x v="2"/>
    <x v="4"/>
    <n v="5"/>
    <x v="0"/>
    <x v="3"/>
    <n v="0"/>
    <n v="10"/>
    <x v="2"/>
  </r>
  <r>
    <x v="1787"/>
    <x v="9"/>
    <n v="1"/>
    <n v="54.7"/>
    <n v="54.7"/>
    <d v="2025-03-07T00:00:00"/>
    <d v="2025-03-08T00:00:00"/>
    <x v="1"/>
    <x v="0"/>
    <n v="3"/>
    <x v="0"/>
    <x v="3"/>
    <n v="1"/>
    <n v="10"/>
    <x v="1"/>
  </r>
  <r>
    <x v="1788"/>
    <x v="6"/>
    <n v="10"/>
    <n v="84.7"/>
    <n v="847"/>
    <d v="2025-03-07T00:00:00"/>
    <d v="2025-03-11T00:00:00"/>
    <x v="2"/>
    <x v="0"/>
    <n v="4"/>
    <x v="0"/>
    <x v="3"/>
    <n v="4"/>
    <n v="10"/>
    <x v="2"/>
  </r>
  <r>
    <x v="1789"/>
    <x v="1"/>
    <n v="3"/>
    <n v="93.4"/>
    <n v="280.20000000000005"/>
    <d v="2025-03-07T00:00:00"/>
    <d v="2025-03-11T00:00:00"/>
    <x v="2"/>
    <x v="3"/>
    <n v="4"/>
    <x v="0"/>
    <x v="3"/>
    <n v="4"/>
    <n v="10"/>
    <x v="2"/>
  </r>
  <r>
    <x v="1790"/>
    <x v="8"/>
    <n v="5"/>
    <n v="27"/>
    <n v="135"/>
    <d v="2025-03-07T00:00:00"/>
    <d v="2025-03-10T00:00:00"/>
    <x v="1"/>
    <x v="0"/>
    <n v="3"/>
    <x v="0"/>
    <x v="3"/>
    <n v="3"/>
    <n v="10"/>
    <x v="1"/>
  </r>
  <r>
    <x v="1791"/>
    <x v="0"/>
    <n v="4"/>
    <n v="10.9"/>
    <n v="43.6"/>
    <d v="2025-03-07T00:00:00"/>
    <d v="2025-03-08T00:00:00"/>
    <x v="1"/>
    <x v="2"/>
    <n v="4"/>
    <x v="0"/>
    <x v="3"/>
    <n v="1"/>
    <n v="10"/>
    <x v="1"/>
  </r>
  <r>
    <x v="1792"/>
    <x v="16"/>
    <n v="3"/>
    <n v="48"/>
    <n v="144"/>
    <d v="2025-03-07T00:00:00"/>
    <d v="2025-03-12T00:00:00"/>
    <x v="2"/>
    <x v="4"/>
    <n v="4"/>
    <x v="0"/>
    <x v="3"/>
    <n v="5"/>
    <n v="10"/>
    <x v="2"/>
  </r>
  <r>
    <x v="1793"/>
    <x v="5"/>
    <n v="2"/>
    <n v="67.900000000000006"/>
    <n v="135.80000000000001"/>
    <d v="2025-03-07T00:00:00"/>
    <d v="2025-03-08T00:00:00"/>
    <x v="1"/>
    <x v="0"/>
    <n v="5"/>
    <x v="0"/>
    <x v="23"/>
    <n v="1"/>
    <n v="10"/>
    <x v="1"/>
  </r>
  <r>
    <x v="1794"/>
    <x v="4"/>
    <n v="3"/>
    <n v="36"/>
    <n v="108"/>
    <d v="2025-03-07T00:00:00"/>
    <d v="2025-03-08T00:00:00"/>
    <x v="1"/>
    <x v="1"/>
    <n v="4"/>
    <x v="0"/>
    <x v="6"/>
    <n v="1"/>
    <n v="10"/>
    <x v="1"/>
  </r>
  <r>
    <x v="1795"/>
    <x v="2"/>
    <n v="1"/>
    <n v="128.80000000000001"/>
    <n v="128.80000000000001"/>
    <d v="2025-03-07T00:00:00"/>
    <d v="2025-03-08T00:00:00"/>
    <x v="1"/>
    <x v="4"/>
    <n v="5"/>
    <x v="0"/>
    <x v="6"/>
    <n v="1"/>
    <n v="10"/>
    <x v="1"/>
  </r>
  <r>
    <x v="1796"/>
    <x v="18"/>
    <n v="7"/>
    <n v="33.299999999999997"/>
    <n v="233.09999999999997"/>
    <d v="2025-03-07T00:00:00"/>
    <d v="2025-03-08T00:00:00"/>
    <x v="2"/>
    <x v="3"/>
    <n v="4"/>
    <x v="0"/>
    <x v="8"/>
    <n v="1"/>
    <n v="10"/>
    <x v="2"/>
  </r>
  <r>
    <x v="1797"/>
    <x v="10"/>
    <n v="3"/>
    <n v="37.799999999999997"/>
    <n v="113.39999999999999"/>
    <d v="2025-03-07T00:00:00"/>
    <d v="2025-03-09T00:00:00"/>
    <x v="1"/>
    <x v="1"/>
    <n v="5"/>
    <x v="0"/>
    <x v="8"/>
    <n v="2"/>
    <n v="10"/>
    <x v="1"/>
  </r>
  <r>
    <x v="1798"/>
    <x v="5"/>
    <n v="3"/>
    <n v="26"/>
    <n v="78"/>
    <d v="2025-03-07T00:00:00"/>
    <d v="2025-03-12T00:00:00"/>
    <x v="2"/>
    <x v="0"/>
    <n v="4"/>
    <x v="0"/>
    <x v="8"/>
    <n v="5"/>
    <n v="10"/>
    <x v="2"/>
  </r>
  <r>
    <x v="1799"/>
    <x v="8"/>
    <n v="19"/>
    <n v="28.3"/>
    <n v="537.70000000000005"/>
    <d v="2025-03-07T00:00:00"/>
    <d v="2025-03-08T00:00:00"/>
    <x v="2"/>
    <x v="3"/>
    <n v="2"/>
    <x v="0"/>
    <x v="8"/>
    <n v="1"/>
    <n v="10"/>
    <x v="2"/>
  </r>
  <r>
    <x v="1800"/>
    <x v="8"/>
    <n v="4"/>
    <n v="31.3"/>
    <n v="125.2"/>
    <d v="2025-03-07T00:00:00"/>
    <d v="2025-03-07T00:00:00"/>
    <x v="2"/>
    <x v="0"/>
    <n v="4"/>
    <x v="0"/>
    <x v="8"/>
    <n v="0"/>
    <n v="10"/>
    <x v="2"/>
  </r>
  <r>
    <x v="1801"/>
    <x v="7"/>
    <n v="3"/>
    <n v="69.5"/>
    <n v="208.5"/>
    <d v="2025-03-07T00:00:00"/>
    <d v="2025-03-08T00:00:00"/>
    <x v="2"/>
    <x v="3"/>
    <n v="5"/>
    <x v="0"/>
    <x v="8"/>
    <n v="1"/>
    <n v="10"/>
    <x v="2"/>
  </r>
  <r>
    <x v="1802"/>
    <x v="0"/>
    <n v="2"/>
    <n v="16.7"/>
    <n v="33.4"/>
    <d v="2025-03-07T00:00:00"/>
    <d v="2025-03-08T00:00:00"/>
    <x v="2"/>
    <x v="3"/>
    <n v="3"/>
    <x v="0"/>
    <x v="8"/>
    <n v="1"/>
    <n v="10"/>
    <x v="2"/>
  </r>
  <r>
    <x v="1803"/>
    <x v="9"/>
    <n v="2"/>
    <n v="62.6"/>
    <n v="125.2"/>
    <d v="2025-03-07T00:00:00"/>
    <d v="2025-03-08T00:00:00"/>
    <x v="1"/>
    <x v="2"/>
    <n v="5"/>
    <x v="0"/>
    <x v="9"/>
    <n v="1"/>
    <n v="10"/>
    <x v="1"/>
  </r>
  <r>
    <x v="1804"/>
    <x v="7"/>
    <n v="1"/>
    <n v="81.2"/>
    <n v="81.2"/>
    <d v="2025-03-07T00:00:00"/>
    <d v="2025-03-13T00:00:00"/>
    <x v="1"/>
    <x v="4"/>
    <n v="2"/>
    <x v="0"/>
    <x v="9"/>
    <n v="6"/>
    <n v="10"/>
    <x v="1"/>
  </r>
  <r>
    <x v="1805"/>
    <x v="0"/>
    <n v="10"/>
    <n v="12.7"/>
    <n v="127"/>
    <d v="2025-03-07T00:00:00"/>
    <d v="2025-03-08T00:00:00"/>
    <x v="2"/>
    <x v="0"/>
    <n v="5"/>
    <x v="0"/>
    <x v="9"/>
    <n v="1"/>
    <n v="10"/>
    <x v="2"/>
  </r>
  <r>
    <x v="1806"/>
    <x v="7"/>
    <n v="4"/>
    <n v="77.7"/>
    <n v="310.8"/>
    <d v="2025-03-08T00:00:00"/>
    <d v="2025-03-12T00:00:00"/>
    <x v="1"/>
    <x v="1"/>
    <n v="4"/>
    <x v="0"/>
    <x v="11"/>
    <n v="4"/>
    <n v="10"/>
    <x v="1"/>
  </r>
  <r>
    <x v="1807"/>
    <x v="5"/>
    <n v="2"/>
    <n v="37.299999999999997"/>
    <n v="74.599999999999994"/>
    <d v="2025-03-08T00:00:00"/>
    <d v="2025-03-09T00:00:00"/>
    <x v="2"/>
    <x v="0"/>
    <n v="5"/>
    <x v="0"/>
    <x v="18"/>
    <n v="1"/>
    <n v="10"/>
    <x v="2"/>
  </r>
  <r>
    <x v="1808"/>
    <x v="10"/>
    <n v="4"/>
    <n v="35.6"/>
    <n v="142.4"/>
    <d v="2025-03-08T00:00:00"/>
    <d v="2025-03-10T00:00:00"/>
    <x v="2"/>
    <x v="1"/>
    <n v="3"/>
    <x v="0"/>
    <x v="19"/>
    <n v="2"/>
    <n v="10"/>
    <x v="2"/>
  </r>
  <r>
    <x v="1809"/>
    <x v="2"/>
    <n v="3"/>
    <n v="95"/>
    <n v="285"/>
    <d v="2025-03-08T00:00:00"/>
    <d v="2025-03-12T00:00:00"/>
    <x v="2"/>
    <x v="2"/>
    <n v="5"/>
    <x v="0"/>
    <x v="56"/>
    <n v="4"/>
    <n v="10"/>
    <x v="2"/>
  </r>
  <r>
    <x v="1810"/>
    <x v="2"/>
    <n v="4"/>
    <n v="172.1"/>
    <n v="688.4"/>
    <d v="2025-03-08T00:00:00"/>
    <d v="2025-03-12T00:00:00"/>
    <x v="3"/>
    <x v="2"/>
    <n v="5"/>
    <x v="0"/>
    <x v="21"/>
    <n v="4"/>
    <n v="10"/>
    <x v="3"/>
  </r>
  <r>
    <x v="1811"/>
    <x v="2"/>
    <n v="2"/>
    <n v="233"/>
    <n v="466"/>
    <d v="2025-03-08T00:00:00"/>
    <d v="2025-03-11T00:00:00"/>
    <x v="2"/>
    <x v="1"/>
    <n v="4"/>
    <x v="0"/>
    <x v="21"/>
    <n v="3"/>
    <n v="10"/>
    <x v="2"/>
  </r>
  <r>
    <x v="1812"/>
    <x v="0"/>
    <n v="1"/>
    <n v="43.5"/>
    <n v="43.5"/>
    <d v="2025-03-08T00:00:00"/>
    <d v="2025-03-09T00:00:00"/>
    <x v="2"/>
    <x v="2"/>
    <n v="5"/>
    <x v="0"/>
    <x v="21"/>
    <n v="1"/>
    <n v="10"/>
    <x v="2"/>
  </r>
  <r>
    <x v="1813"/>
    <x v="9"/>
    <n v="2"/>
    <n v="47.8"/>
    <n v="95.6"/>
    <d v="2025-03-08T00:00:00"/>
    <d v="2025-03-11T00:00:00"/>
    <x v="1"/>
    <x v="4"/>
    <n v="5"/>
    <x v="0"/>
    <x v="1"/>
    <n v="3"/>
    <n v="10"/>
    <x v="1"/>
  </r>
  <r>
    <x v="1814"/>
    <x v="12"/>
    <n v="2"/>
    <n v="65.8"/>
    <n v="131.6"/>
    <d v="2025-03-08T00:00:00"/>
    <d v="2025-03-10T00:00:00"/>
    <x v="2"/>
    <x v="0"/>
    <n v="1"/>
    <x v="0"/>
    <x v="33"/>
    <n v="2"/>
    <n v="10"/>
    <x v="2"/>
  </r>
  <r>
    <x v="1815"/>
    <x v="15"/>
    <n v="11"/>
    <n v="38.700000000000003"/>
    <n v="425.70000000000005"/>
    <d v="2025-03-08T00:00:00"/>
    <d v="2025-03-08T00:00:00"/>
    <x v="1"/>
    <x v="0"/>
    <n v="4"/>
    <x v="0"/>
    <x v="22"/>
    <n v="0"/>
    <n v="10"/>
    <x v="1"/>
  </r>
  <r>
    <x v="1816"/>
    <x v="3"/>
    <n v="4"/>
    <n v="55.7"/>
    <n v="222.8"/>
    <d v="2025-03-08T00:00:00"/>
    <d v="2025-03-10T00:00:00"/>
    <x v="3"/>
    <x v="0"/>
    <n v="3"/>
    <x v="0"/>
    <x v="22"/>
    <n v="2"/>
    <n v="10"/>
    <x v="3"/>
  </r>
  <r>
    <x v="1817"/>
    <x v="7"/>
    <n v="2"/>
    <n v="102.4"/>
    <n v="204.8"/>
    <d v="2025-03-08T00:00:00"/>
    <d v="2025-03-08T00:00:00"/>
    <x v="2"/>
    <x v="1"/>
    <n v="4"/>
    <x v="0"/>
    <x v="3"/>
    <n v="0"/>
    <n v="10"/>
    <x v="2"/>
  </r>
  <r>
    <x v="1818"/>
    <x v="1"/>
    <n v="1"/>
    <n v="92"/>
    <n v="92"/>
    <d v="2025-03-08T00:00:00"/>
    <d v="2025-03-12T00:00:00"/>
    <x v="0"/>
    <x v="2"/>
    <n v="4"/>
    <x v="0"/>
    <x v="3"/>
    <n v="4"/>
    <n v="10"/>
    <x v="0"/>
  </r>
  <r>
    <x v="1819"/>
    <x v="6"/>
    <n v="4"/>
    <n v="75.900000000000006"/>
    <n v="303.60000000000002"/>
    <d v="2025-03-08T00:00:00"/>
    <d v="2025-03-10T00:00:00"/>
    <x v="2"/>
    <x v="1"/>
    <n v="4"/>
    <x v="0"/>
    <x v="3"/>
    <n v="2"/>
    <n v="10"/>
    <x v="2"/>
  </r>
  <r>
    <x v="1820"/>
    <x v="1"/>
    <n v="4"/>
    <n v="36.200000000000003"/>
    <n v="144.80000000000001"/>
    <d v="2025-03-08T00:00:00"/>
    <d v="2025-03-09T00:00:00"/>
    <x v="2"/>
    <x v="1"/>
    <n v="4"/>
    <x v="0"/>
    <x v="3"/>
    <n v="1"/>
    <n v="10"/>
    <x v="2"/>
  </r>
  <r>
    <x v="1821"/>
    <x v="6"/>
    <n v="87"/>
    <n v="83.5"/>
    <n v="7264.5"/>
    <d v="2025-03-08T00:00:00"/>
    <d v="2025-03-10T00:00:00"/>
    <x v="0"/>
    <x v="3"/>
    <n v="4"/>
    <x v="0"/>
    <x v="3"/>
    <n v="2"/>
    <n v="10"/>
    <x v="0"/>
  </r>
  <r>
    <x v="1822"/>
    <x v="19"/>
    <n v="12"/>
    <n v="52.4"/>
    <n v="628.79999999999995"/>
    <d v="2025-03-08T00:00:00"/>
    <d v="2025-03-08T00:00:00"/>
    <x v="1"/>
    <x v="2"/>
    <n v="4"/>
    <x v="0"/>
    <x v="3"/>
    <n v="0"/>
    <n v="10"/>
    <x v="1"/>
  </r>
  <r>
    <x v="1823"/>
    <x v="12"/>
    <n v="3"/>
    <n v="69.5"/>
    <n v="208.5"/>
    <d v="2025-03-08T00:00:00"/>
    <d v="2025-03-09T00:00:00"/>
    <x v="3"/>
    <x v="4"/>
    <n v="4"/>
    <x v="0"/>
    <x v="3"/>
    <n v="1"/>
    <n v="10"/>
    <x v="3"/>
  </r>
  <r>
    <x v="1824"/>
    <x v="0"/>
    <n v="1"/>
    <n v="15.5"/>
    <n v="15.5"/>
    <d v="2025-03-08T00:00:00"/>
    <d v="2025-03-10T00:00:00"/>
    <x v="1"/>
    <x v="0"/>
    <n v="4"/>
    <x v="0"/>
    <x v="3"/>
    <n v="2"/>
    <n v="10"/>
    <x v="1"/>
  </r>
  <r>
    <x v="1825"/>
    <x v="4"/>
    <n v="4"/>
    <n v="35.200000000000003"/>
    <n v="140.80000000000001"/>
    <d v="2025-03-08T00:00:00"/>
    <d v="2025-03-09T00:00:00"/>
    <x v="2"/>
    <x v="2"/>
    <n v="5"/>
    <x v="0"/>
    <x v="3"/>
    <n v="1"/>
    <n v="10"/>
    <x v="2"/>
  </r>
  <r>
    <x v="1826"/>
    <x v="8"/>
    <n v="6"/>
    <n v="34.6"/>
    <n v="207.60000000000002"/>
    <d v="2025-03-08T00:00:00"/>
    <d v="2025-03-09T00:00:00"/>
    <x v="0"/>
    <x v="0"/>
    <n v="3"/>
    <x v="0"/>
    <x v="3"/>
    <n v="1"/>
    <n v="10"/>
    <x v="0"/>
  </r>
  <r>
    <x v="1827"/>
    <x v="4"/>
    <n v="1"/>
    <n v="21.3"/>
    <n v="21.3"/>
    <d v="2025-03-09T00:00:00"/>
    <d v="2025-03-10T00:00:00"/>
    <x v="1"/>
    <x v="2"/>
    <n v="3"/>
    <x v="0"/>
    <x v="3"/>
    <n v="1"/>
    <n v="11"/>
    <x v="1"/>
  </r>
  <r>
    <x v="1828"/>
    <x v="6"/>
    <n v="2"/>
    <n v="136.5"/>
    <n v="273"/>
    <d v="2025-03-09T00:00:00"/>
    <d v="2025-03-15T00:00:00"/>
    <x v="2"/>
    <x v="0"/>
    <n v="4"/>
    <x v="0"/>
    <x v="37"/>
    <n v="6"/>
    <n v="11"/>
    <x v="2"/>
  </r>
  <r>
    <x v="1829"/>
    <x v="9"/>
    <n v="7"/>
    <n v="30.7"/>
    <n v="214.9"/>
    <d v="2025-03-09T00:00:00"/>
    <d v="2025-03-10T00:00:00"/>
    <x v="1"/>
    <x v="2"/>
    <n v="5"/>
    <x v="0"/>
    <x v="25"/>
    <n v="1"/>
    <n v="11"/>
    <x v="1"/>
  </r>
  <r>
    <x v="1830"/>
    <x v="1"/>
    <n v="2"/>
    <n v="61.6"/>
    <n v="123.2"/>
    <d v="2025-03-09T00:00:00"/>
    <d v="2025-03-10T00:00:00"/>
    <x v="2"/>
    <x v="2"/>
    <n v="5"/>
    <x v="0"/>
    <x v="23"/>
    <n v="1"/>
    <n v="11"/>
    <x v="2"/>
  </r>
  <r>
    <x v="1831"/>
    <x v="6"/>
    <n v="4"/>
    <n v="54.3"/>
    <n v="217.2"/>
    <d v="2025-03-09T00:00:00"/>
    <d v="2025-03-11T00:00:00"/>
    <x v="0"/>
    <x v="4"/>
    <n v="4"/>
    <x v="0"/>
    <x v="7"/>
    <n v="2"/>
    <n v="11"/>
    <x v="0"/>
  </r>
  <r>
    <x v="1832"/>
    <x v="1"/>
    <n v="2"/>
    <n v="44.1"/>
    <n v="88.2"/>
    <d v="2025-03-09T00:00:00"/>
    <d v="2025-03-21T00:00:00"/>
    <x v="2"/>
    <x v="0"/>
    <n v="5"/>
    <x v="0"/>
    <x v="8"/>
    <n v="12"/>
    <n v="11"/>
    <x v="2"/>
  </r>
  <r>
    <x v="1833"/>
    <x v="8"/>
    <n v="4"/>
    <n v="43.5"/>
    <n v="174"/>
    <d v="2025-03-09T00:00:00"/>
    <d v="2025-03-15T00:00:00"/>
    <x v="1"/>
    <x v="3"/>
    <n v="4"/>
    <x v="0"/>
    <x v="8"/>
    <n v="6"/>
    <n v="11"/>
    <x v="1"/>
  </r>
  <r>
    <x v="1834"/>
    <x v="8"/>
    <n v="3"/>
    <n v="48.2"/>
    <n v="144.60000000000002"/>
    <d v="2025-03-09T00:00:00"/>
    <d v="2025-03-13T00:00:00"/>
    <x v="1"/>
    <x v="3"/>
    <n v="3"/>
    <x v="0"/>
    <x v="8"/>
    <n v="4"/>
    <n v="11"/>
    <x v="1"/>
  </r>
  <r>
    <x v="1835"/>
    <x v="19"/>
    <n v="1"/>
    <n v="13.7"/>
    <n v="13.7"/>
    <d v="2025-03-09T00:00:00"/>
    <d v="2025-03-10T00:00:00"/>
    <x v="2"/>
    <x v="2"/>
    <n v="5"/>
    <x v="0"/>
    <x v="8"/>
    <n v="1"/>
    <n v="11"/>
    <x v="2"/>
  </r>
  <r>
    <x v="1836"/>
    <x v="2"/>
    <n v="2"/>
    <n v="110.5"/>
    <n v="221"/>
    <d v="2025-03-09T00:00:00"/>
    <d v="2025-03-10T00:00:00"/>
    <x v="2"/>
    <x v="0"/>
    <n v="3"/>
    <x v="0"/>
    <x v="8"/>
    <n v="1"/>
    <n v="11"/>
    <x v="2"/>
  </r>
  <r>
    <x v="1837"/>
    <x v="8"/>
    <n v="3"/>
    <n v="26"/>
    <n v="78"/>
    <d v="2025-03-09T00:00:00"/>
    <d v="2025-03-14T00:00:00"/>
    <x v="2"/>
    <x v="1"/>
    <n v="3"/>
    <x v="0"/>
    <x v="8"/>
    <n v="5"/>
    <n v="11"/>
    <x v="2"/>
  </r>
  <r>
    <x v="1838"/>
    <x v="2"/>
    <n v="10"/>
    <n v="140.69999999999999"/>
    <n v="1407"/>
    <d v="2025-03-09T00:00:00"/>
    <d v="2025-03-15T00:00:00"/>
    <x v="1"/>
    <x v="3"/>
    <n v="3"/>
    <x v="0"/>
    <x v="8"/>
    <n v="6"/>
    <n v="11"/>
    <x v="1"/>
  </r>
  <r>
    <x v="1839"/>
    <x v="17"/>
    <n v="2"/>
    <n v="41.7"/>
    <n v="83.4"/>
    <d v="2025-03-09T00:00:00"/>
    <d v="2025-03-17T00:00:00"/>
    <x v="2"/>
    <x v="0"/>
    <n v="2"/>
    <x v="0"/>
    <x v="8"/>
    <n v="8"/>
    <n v="11"/>
    <x v="2"/>
  </r>
  <r>
    <x v="1840"/>
    <x v="2"/>
    <n v="2"/>
    <n v="135.1"/>
    <n v="270.2"/>
    <d v="2025-03-09T00:00:00"/>
    <d v="2025-03-10T00:00:00"/>
    <x v="1"/>
    <x v="0"/>
    <n v="5"/>
    <x v="0"/>
    <x v="17"/>
    <n v="1"/>
    <n v="11"/>
    <x v="1"/>
  </r>
  <r>
    <x v="1841"/>
    <x v="12"/>
    <n v="22"/>
    <n v="95.5"/>
    <n v="2101"/>
    <d v="2025-03-09T00:00:00"/>
    <d v="2025-03-10T00:00:00"/>
    <x v="2"/>
    <x v="4"/>
    <n v="2"/>
    <x v="0"/>
    <x v="26"/>
    <n v="1"/>
    <n v="11"/>
    <x v="2"/>
  </r>
  <r>
    <x v="1842"/>
    <x v="15"/>
    <n v="1"/>
    <n v="25.5"/>
    <n v="25.5"/>
    <d v="2025-03-09T00:00:00"/>
    <d v="2025-03-12T00:00:00"/>
    <x v="0"/>
    <x v="2"/>
    <n v="5"/>
    <x v="0"/>
    <x v="11"/>
    <n v="3"/>
    <n v="11"/>
    <x v="0"/>
  </r>
  <r>
    <x v="1843"/>
    <x v="1"/>
    <n v="1"/>
    <n v="42.6"/>
    <n v="42.6"/>
    <d v="2025-03-09T00:00:00"/>
    <d v="2025-03-13T00:00:00"/>
    <x v="2"/>
    <x v="0"/>
    <n v="4"/>
    <x v="0"/>
    <x v="11"/>
    <n v="4"/>
    <n v="11"/>
    <x v="2"/>
  </r>
  <r>
    <x v="1844"/>
    <x v="8"/>
    <n v="15"/>
    <n v="32.4"/>
    <n v="486"/>
    <d v="2025-03-09T00:00:00"/>
    <d v="2025-03-10T00:00:00"/>
    <x v="1"/>
    <x v="1"/>
    <n v="3"/>
    <x v="0"/>
    <x v="11"/>
    <n v="1"/>
    <n v="11"/>
    <x v="1"/>
  </r>
  <r>
    <x v="1845"/>
    <x v="4"/>
    <n v="4"/>
    <n v="20.2"/>
    <n v="80.8"/>
    <d v="2025-03-09T00:00:00"/>
    <d v="2025-03-10T00:00:00"/>
    <x v="3"/>
    <x v="2"/>
    <n v="4"/>
    <x v="0"/>
    <x v="11"/>
    <n v="1"/>
    <n v="11"/>
    <x v="3"/>
  </r>
  <r>
    <x v="1846"/>
    <x v="16"/>
    <n v="3"/>
    <n v="52.5"/>
    <n v="157.5"/>
    <d v="2025-03-09T00:00:00"/>
    <d v="2025-03-14T00:00:00"/>
    <x v="2"/>
    <x v="4"/>
    <n v="4"/>
    <x v="0"/>
    <x v="18"/>
    <n v="5"/>
    <n v="11"/>
    <x v="2"/>
  </r>
  <r>
    <x v="1847"/>
    <x v="2"/>
    <n v="5"/>
    <n v="59.9"/>
    <n v="299.5"/>
    <d v="2025-03-09T00:00:00"/>
    <d v="2025-03-11T00:00:00"/>
    <x v="2"/>
    <x v="2"/>
    <n v="4"/>
    <x v="0"/>
    <x v="19"/>
    <n v="2"/>
    <n v="11"/>
    <x v="2"/>
  </r>
  <r>
    <x v="1848"/>
    <x v="4"/>
    <n v="2"/>
    <n v="53.2"/>
    <n v="106.4"/>
    <d v="2025-03-09T00:00:00"/>
    <d v="2025-03-10T00:00:00"/>
    <x v="2"/>
    <x v="1"/>
    <n v="1"/>
    <x v="0"/>
    <x v="20"/>
    <n v="1"/>
    <n v="11"/>
    <x v="2"/>
  </r>
  <r>
    <x v="1849"/>
    <x v="2"/>
    <n v="2"/>
    <n v="60"/>
    <n v="120"/>
    <d v="2025-03-09T00:00:00"/>
    <d v="2025-03-15T00:00:00"/>
    <x v="1"/>
    <x v="1"/>
    <n v="5"/>
    <x v="0"/>
    <x v="20"/>
    <n v="6"/>
    <n v="11"/>
    <x v="1"/>
  </r>
  <r>
    <x v="1850"/>
    <x v="8"/>
    <n v="3"/>
    <n v="29.3"/>
    <n v="87.9"/>
    <d v="2025-03-09T00:00:00"/>
    <d v="2025-03-10T00:00:00"/>
    <x v="2"/>
    <x v="4"/>
    <n v="4"/>
    <x v="0"/>
    <x v="13"/>
    <n v="1"/>
    <n v="11"/>
    <x v="2"/>
  </r>
  <r>
    <x v="1851"/>
    <x v="12"/>
    <n v="2"/>
    <n v="55.4"/>
    <n v="110.8"/>
    <d v="2025-03-09T00:00:00"/>
    <d v="2025-03-10T00:00:00"/>
    <x v="2"/>
    <x v="0"/>
    <n v="5"/>
    <x v="0"/>
    <x v="21"/>
    <n v="1"/>
    <n v="11"/>
    <x v="2"/>
  </r>
  <r>
    <x v="1852"/>
    <x v="0"/>
    <n v="5"/>
    <n v="20.100000000000001"/>
    <n v="100.5"/>
    <d v="2025-03-09T00:00:00"/>
    <d v="2025-03-11T00:00:00"/>
    <x v="2"/>
    <x v="1"/>
    <n v="5"/>
    <x v="0"/>
    <x v="21"/>
    <n v="2"/>
    <n v="11"/>
    <x v="2"/>
  </r>
  <r>
    <x v="1853"/>
    <x v="14"/>
    <n v="5"/>
    <n v="24"/>
    <n v="120"/>
    <d v="2025-03-09T00:00:00"/>
    <d v="2025-03-12T00:00:00"/>
    <x v="1"/>
    <x v="2"/>
    <n v="4"/>
    <x v="0"/>
    <x v="1"/>
    <n v="3"/>
    <n v="11"/>
    <x v="1"/>
  </r>
  <r>
    <x v="1854"/>
    <x v="8"/>
    <n v="2"/>
    <n v="30.6"/>
    <n v="61.2"/>
    <d v="2025-03-10T00:00:00"/>
    <d v="2025-03-12T00:00:00"/>
    <x v="2"/>
    <x v="0"/>
    <n v="4"/>
    <x v="0"/>
    <x v="1"/>
    <n v="2"/>
    <n v="11"/>
    <x v="2"/>
  </r>
  <r>
    <x v="1855"/>
    <x v="10"/>
    <n v="5"/>
    <n v="33"/>
    <n v="165"/>
    <d v="2025-03-10T00:00:00"/>
    <d v="2025-03-11T00:00:00"/>
    <x v="1"/>
    <x v="1"/>
    <n v="3"/>
    <x v="0"/>
    <x v="27"/>
    <n v="1"/>
    <n v="11"/>
    <x v="1"/>
  </r>
  <r>
    <x v="1856"/>
    <x v="17"/>
    <n v="9"/>
    <n v="42.1"/>
    <n v="378.90000000000003"/>
    <d v="2025-03-10T00:00:00"/>
    <d v="2025-03-16T00:00:00"/>
    <x v="2"/>
    <x v="2"/>
    <n v="4"/>
    <x v="0"/>
    <x v="44"/>
    <n v="6"/>
    <n v="11"/>
    <x v="2"/>
  </r>
  <r>
    <x v="1857"/>
    <x v="6"/>
    <n v="7"/>
    <n v="77.7"/>
    <n v="543.9"/>
    <d v="2025-03-10T00:00:00"/>
    <d v="2025-03-15T00:00:00"/>
    <x v="2"/>
    <x v="1"/>
    <n v="5"/>
    <x v="0"/>
    <x v="50"/>
    <n v="5"/>
    <n v="11"/>
    <x v="2"/>
  </r>
  <r>
    <x v="1858"/>
    <x v="17"/>
    <n v="6"/>
    <n v="22.7"/>
    <n v="136.19999999999999"/>
    <d v="2025-03-10T00:00:00"/>
    <d v="2025-03-13T00:00:00"/>
    <x v="2"/>
    <x v="2"/>
    <n v="4"/>
    <x v="0"/>
    <x v="3"/>
    <n v="3"/>
    <n v="11"/>
    <x v="2"/>
  </r>
  <r>
    <x v="1859"/>
    <x v="2"/>
    <n v="2"/>
    <n v="133"/>
    <n v="266"/>
    <d v="2025-03-10T00:00:00"/>
    <d v="2025-03-10T00:00:00"/>
    <x v="1"/>
    <x v="2"/>
    <n v="5"/>
    <x v="0"/>
    <x v="3"/>
    <n v="0"/>
    <n v="11"/>
    <x v="1"/>
  </r>
  <r>
    <x v="1860"/>
    <x v="0"/>
    <n v="2"/>
    <n v="23.3"/>
    <n v="46.6"/>
    <d v="2025-03-10T00:00:00"/>
    <d v="2025-03-11T00:00:00"/>
    <x v="1"/>
    <x v="1"/>
    <n v="5"/>
    <x v="0"/>
    <x v="3"/>
    <n v="1"/>
    <n v="11"/>
    <x v="1"/>
  </r>
  <r>
    <x v="1861"/>
    <x v="8"/>
    <n v="3"/>
    <n v="20.7"/>
    <n v="62.099999999999994"/>
    <d v="2025-03-10T00:00:00"/>
    <d v="2025-03-12T00:00:00"/>
    <x v="3"/>
    <x v="0"/>
    <n v="5"/>
    <x v="0"/>
    <x v="3"/>
    <n v="2"/>
    <n v="11"/>
    <x v="3"/>
  </r>
  <r>
    <x v="1862"/>
    <x v="12"/>
    <n v="2"/>
    <n v="47"/>
    <n v="94"/>
    <d v="2025-03-10T00:00:00"/>
    <d v="2025-03-11T00:00:00"/>
    <x v="1"/>
    <x v="1"/>
    <n v="5"/>
    <x v="0"/>
    <x v="3"/>
    <n v="1"/>
    <n v="11"/>
    <x v="1"/>
  </r>
  <r>
    <x v="1863"/>
    <x v="12"/>
    <n v="3"/>
    <n v="38.200000000000003"/>
    <n v="114.60000000000001"/>
    <d v="2025-03-10T00:00:00"/>
    <d v="2025-03-12T00:00:00"/>
    <x v="2"/>
    <x v="2"/>
    <n v="2"/>
    <x v="0"/>
    <x v="3"/>
    <n v="2"/>
    <n v="11"/>
    <x v="2"/>
  </r>
  <r>
    <x v="1864"/>
    <x v="9"/>
    <n v="1"/>
    <n v="39.1"/>
    <n v="39.1"/>
    <d v="2025-03-10T00:00:00"/>
    <d v="2025-03-12T00:00:00"/>
    <x v="2"/>
    <x v="0"/>
    <n v="4"/>
    <x v="0"/>
    <x v="3"/>
    <n v="2"/>
    <n v="11"/>
    <x v="2"/>
  </r>
  <r>
    <x v="1865"/>
    <x v="7"/>
    <n v="25"/>
    <n v="55.6"/>
    <n v="1390"/>
    <d v="2025-03-10T00:00:00"/>
    <d v="2025-03-12T00:00:00"/>
    <x v="1"/>
    <x v="0"/>
    <n v="5"/>
    <x v="0"/>
    <x v="3"/>
    <n v="2"/>
    <n v="11"/>
    <x v="1"/>
  </r>
  <r>
    <x v="1866"/>
    <x v="15"/>
    <n v="1"/>
    <n v="43.1"/>
    <n v="43.1"/>
    <d v="2025-03-10T00:00:00"/>
    <d v="2025-03-10T00:00:00"/>
    <x v="3"/>
    <x v="1"/>
    <n v="5"/>
    <x v="0"/>
    <x v="3"/>
    <n v="0"/>
    <n v="11"/>
    <x v="3"/>
  </r>
  <r>
    <x v="1867"/>
    <x v="6"/>
    <n v="4"/>
    <n v="48.1"/>
    <n v="192.4"/>
    <d v="2025-03-10T00:00:00"/>
    <d v="2025-03-11T00:00:00"/>
    <x v="2"/>
    <x v="4"/>
    <n v="5"/>
    <x v="0"/>
    <x v="3"/>
    <n v="1"/>
    <n v="11"/>
    <x v="2"/>
  </r>
  <r>
    <x v="1868"/>
    <x v="4"/>
    <n v="1"/>
    <n v="42"/>
    <n v="42"/>
    <d v="2025-03-10T00:00:00"/>
    <d v="2025-03-11T00:00:00"/>
    <x v="3"/>
    <x v="0"/>
    <n v="4"/>
    <x v="0"/>
    <x v="3"/>
    <n v="1"/>
    <n v="11"/>
    <x v="3"/>
  </r>
  <r>
    <x v="1869"/>
    <x v="8"/>
    <n v="5"/>
    <n v="18.3"/>
    <n v="91.5"/>
    <d v="2025-03-10T00:00:00"/>
    <d v="2025-03-10T00:00:00"/>
    <x v="2"/>
    <x v="2"/>
    <n v="4"/>
    <x v="0"/>
    <x v="3"/>
    <n v="0"/>
    <n v="11"/>
    <x v="2"/>
  </r>
  <r>
    <x v="1870"/>
    <x v="10"/>
    <n v="4"/>
    <n v="45.3"/>
    <n v="181.2"/>
    <d v="2025-03-10T00:00:00"/>
    <d v="2025-03-13T00:00:00"/>
    <x v="2"/>
    <x v="0"/>
    <n v="5"/>
    <x v="0"/>
    <x v="3"/>
    <n v="3"/>
    <n v="11"/>
    <x v="2"/>
  </r>
  <r>
    <x v="1871"/>
    <x v="0"/>
    <n v="2"/>
    <n v="27.6"/>
    <n v="55.2"/>
    <d v="2025-03-10T00:00:00"/>
    <d v="2025-03-12T00:00:00"/>
    <x v="1"/>
    <x v="0"/>
    <n v="5"/>
    <x v="0"/>
    <x v="37"/>
    <n v="2"/>
    <n v="11"/>
    <x v="1"/>
  </r>
  <r>
    <x v="1872"/>
    <x v="4"/>
    <n v="5"/>
    <n v="26.9"/>
    <n v="134.5"/>
    <d v="2025-03-10T00:00:00"/>
    <d v="2025-03-11T00:00:00"/>
    <x v="2"/>
    <x v="2"/>
    <n v="4"/>
    <x v="0"/>
    <x v="25"/>
    <n v="1"/>
    <n v="11"/>
    <x v="2"/>
  </r>
  <r>
    <x v="1873"/>
    <x v="2"/>
    <n v="9"/>
    <n v="82.4"/>
    <n v="741.6"/>
    <d v="2025-03-10T00:00:00"/>
    <d v="2025-03-12T00:00:00"/>
    <x v="3"/>
    <x v="2"/>
    <n v="4"/>
    <x v="0"/>
    <x v="5"/>
    <n v="2"/>
    <n v="11"/>
    <x v="3"/>
  </r>
  <r>
    <x v="1874"/>
    <x v="6"/>
    <n v="1"/>
    <n v="103.7"/>
    <n v="103.7"/>
    <d v="2025-03-10T00:00:00"/>
    <d v="2025-03-12T00:00:00"/>
    <x v="2"/>
    <x v="1"/>
    <n v="4"/>
    <x v="0"/>
    <x v="5"/>
    <n v="2"/>
    <n v="11"/>
    <x v="2"/>
  </r>
  <r>
    <x v="1875"/>
    <x v="2"/>
    <n v="2"/>
    <n v="58.8"/>
    <n v="117.6"/>
    <d v="2025-03-10T00:00:00"/>
    <d v="2025-03-15T00:00:00"/>
    <x v="2"/>
    <x v="1"/>
    <n v="5"/>
    <x v="0"/>
    <x v="6"/>
    <n v="5"/>
    <n v="11"/>
    <x v="2"/>
  </r>
  <r>
    <x v="1876"/>
    <x v="13"/>
    <n v="1"/>
    <n v="31.5"/>
    <n v="31.5"/>
    <d v="2025-03-10T00:00:00"/>
    <d v="2025-03-11T00:00:00"/>
    <x v="2"/>
    <x v="1"/>
    <n v="3"/>
    <x v="0"/>
    <x v="6"/>
    <n v="1"/>
    <n v="11"/>
    <x v="2"/>
  </r>
  <r>
    <x v="1877"/>
    <x v="7"/>
    <n v="5"/>
    <n v="36.799999999999997"/>
    <n v="184"/>
    <d v="2025-03-10T00:00:00"/>
    <d v="2025-03-12T00:00:00"/>
    <x v="2"/>
    <x v="0"/>
    <n v="4"/>
    <x v="0"/>
    <x v="8"/>
    <n v="2"/>
    <n v="11"/>
    <x v="2"/>
  </r>
  <r>
    <x v="1878"/>
    <x v="3"/>
    <n v="1"/>
    <n v="84.4"/>
    <n v="84.4"/>
    <d v="2025-03-10T00:00:00"/>
    <d v="2025-03-11T00:00:00"/>
    <x v="2"/>
    <x v="0"/>
    <n v="4"/>
    <x v="0"/>
    <x v="8"/>
    <n v="1"/>
    <n v="11"/>
    <x v="2"/>
  </r>
  <r>
    <x v="1879"/>
    <x v="14"/>
    <n v="1"/>
    <n v="44.7"/>
    <n v="44.7"/>
    <d v="2025-03-10T00:00:00"/>
    <d v="2025-03-11T00:00:00"/>
    <x v="1"/>
    <x v="0"/>
    <n v="3"/>
    <x v="0"/>
    <x v="8"/>
    <n v="1"/>
    <n v="11"/>
    <x v="1"/>
  </r>
  <r>
    <x v="1880"/>
    <x v="9"/>
    <n v="8"/>
    <n v="39.4"/>
    <n v="315.2"/>
    <d v="2025-03-10T00:00:00"/>
    <d v="2025-03-11T00:00:00"/>
    <x v="2"/>
    <x v="1"/>
    <n v="5"/>
    <x v="0"/>
    <x v="8"/>
    <n v="1"/>
    <n v="11"/>
    <x v="2"/>
  </r>
  <r>
    <x v="1881"/>
    <x v="11"/>
    <n v="4"/>
    <n v="34.9"/>
    <n v="139.6"/>
    <d v="2025-03-10T00:00:00"/>
    <d v="2025-03-12T00:00:00"/>
    <x v="2"/>
    <x v="0"/>
    <n v="5"/>
    <x v="0"/>
    <x v="8"/>
    <n v="2"/>
    <n v="11"/>
    <x v="2"/>
  </r>
  <r>
    <x v="1882"/>
    <x v="1"/>
    <n v="3"/>
    <n v="62.3"/>
    <n v="186.89999999999998"/>
    <d v="2025-03-10T00:00:00"/>
    <d v="2025-03-12T00:00:00"/>
    <x v="1"/>
    <x v="4"/>
    <n v="5"/>
    <x v="0"/>
    <x v="8"/>
    <n v="2"/>
    <n v="11"/>
    <x v="1"/>
  </r>
  <r>
    <x v="1883"/>
    <x v="8"/>
    <n v="4"/>
    <n v="21.1"/>
    <n v="84.4"/>
    <d v="2025-03-10T00:00:00"/>
    <d v="2025-03-13T00:00:00"/>
    <x v="1"/>
    <x v="3"/>
    <n v="4"/>
    <x v="0"/>
    <x v="8"/>
    <n v="3"/>
    <n v="11"/>
    <x v="1"/>
  </r>
  <r>
    <x v="1884"/>
    <x v="8"/>
    <n v="3"/>
    <n v="33.200000000000003"/>
    <n v="99.600000000000009"/>
    <d v="2025-03-10T00:00:00"/>
    <d v="2025-03-24T00:00:00"/>
    <x v="0"/>
    <x v="0"/>
    <n v="2"/>
    <x v="0"/>
    <x v="8"/>
    <n v="14"/>
    <n v="11"/>
    <x v="0"/>
  </r>
  <r>
    <x v="1885"/>
    <x v="1"/>
    <n v="4"/>
    <n v="74.5"/>
    <n v="298"/>
    <d v="2025-03-10T00:00:00"/>
    <d v="2025-03-11T00:00:00"/>
    <x v="1"/>
    <x v="4"/>
    <n v="4"/>
    <x v="0"/>
    <x v="8"/>
    <n v="1"/>
    <n v="11"/>
    <x v="1"/>
  </r>
  <r>
    <x v="1886"/>
    <x v="10"/>
    <n v="12"/>
    <n v="68.599999999999994"/>
    <n v="823.19999999999993"/>
    <d v="2025-03-10T00:00:00"/>
    <d v="2025-03-13T00:00:00"/>
    <x v="2"/>
    <x v="0"/>
    <n v="5"/>
    <x v="0"/>
    <x v="8"/>
    <n v="3"/>
    <n v="11"/>
    <x v="2"/>
  </r>
  <r>
    <x v="1887"/>
    <x v="5"/>
    <n v="14"/>
    <n v="36.4"/>
    <n v="509.59999999999997"/>
    <d v="2025-03-10T00:00:00"/>
    <d v="2025-03-12T00:00:00"/>
    <x v="2"/>
    <x v="0"/>
    <n v="3"/>
    <x v="0"/>
    <x v="9"/>
    <n v="2"/>
    <n v="11"/>
    <x v="2"/>
  </r>
  <r>
    <x v="1888"/>
    <x v="16"/>
    <n v="5"/>
    <n v="67.599999999999994"/>
    <n v="338"/>
    <d v="2025-03-11T00:00:00"/>
    <d v="2025-03-14T00:00:00"/>
    <x v="2"/>
    <x v="4"/>
    <n v="3"/>
    <x v="0"/>
    <x v="9"/>
    <n v="3"/>
    <n v="11"/>
    <x v="2"/>
  </r>
  <r>
    <x v="1889"/>
    <x v="15"/>
    <n v="1"/>
    <n v="46.3"/>
    <n v="46.3"/>
    <d v="2025-03-11T00:00:00"/>
    <d v="2025-03-12T00:00:00"/>
    <x v="1"/>
    <x v="2"/>
    <n v="4"/>
    <x v="0"/>
    <x v="9"/>
    <n v="1"/>
    <n v="11"/>
    <x v="1"/>
  </r>
  <r>
    <x v="1890"/>
    <x v="1"/>
    <n v="3"/>
    <n v="124.2"/>
    <n v="372.6"/>
    <d v="2025-03-11T00:00:00"/>
    <d v="2025-03-13T00:00:00"/>
    <x v="2"/>
    <x v="1"/>
    <n v="5"/>
    <x v="0"/>
    <x v="11"/>
    <n v="2"/>
    <n v="11"/>
    <x v="2"/>
  </r>
  <r>
    <x v="1891"/>
    <x v="10"/>
    <n v="2"/>
    <n v="37"/>
    <n v="74"/>
    <d v="2025-03-11T00:00:00"/>
    <d v="2025-03-17T00:00:00"/>
    <x v="1"/>
    <x v="0"/>
    <n v="4"/>
    <x v="0"/>
    <x v="11"/>
    <n v="6"/>
    <n v="11"/>
    <x v="1"/>
  </r>
  <r>
    <x v="1892"/>
    <x v="5"/>
    <n v="1"/>
    <n v="41.8"/>
    <n v="41.8"/>
    <d v="2025-03-11T00:00:00"/>
    <d v="2025-03-12T00:00:00"/>
    <x v="1"/>
    <x v="2"/>
    <n v="4"/>
    <x v="0"/>
    <x v="31"/>
    <n v="1"/>
    <n v="11"/>
    <x v="1"/>
  </r>
  <r>
    <x v="1893"/>
    <x v="9"/>
    <n v="2"/>
    <n v="57.2"/>
    <n v="114.4"/>
    <d v="2025-03-11T00:00:00"/>
    <d v="2025-03-13T00:00:00"/>
    <x v="1"/>
    <x v="2"/>
    <n v="3"/>
    <x v="0"/>
    <x v="20"/>
    <n v="2"/>
    <n v="11"/>
    <x v="1"/>
  </r>
  <r>
    <x v="1894"/>
    <x v="6"/>
    <n v="2"/>
    <n v="47.1"/>
    <n v="94.2"/>
    <d v="2025-03-11T00:00:00"/>
    <d v="2025-03-13T00:00:00"/>
    <x v="2"/>
    <x v="0"/>
    <n v="2"/>
    <x v="0"/>
    <x v="20"/>
    <n v="2"/>
    <n v="11"/>
    <x v="2"/>
  </r>
  <r>
    <x v="1895"/>
    <x v="5"/>
    <n v="3"/>
    <n v="86.4"/>
    <n v="259.20000000000005"/>
    <d v="2025-03-11T00:00:00"/>
    <d v="2025-03-12T00:00:00"/>
    <x v="1"/>
    <x v="2"/>
    <n v="3"/>
    <x v="0"/>
    <x v="52"/>
    <n v="1"/>
    <n v="11"/>
    <x v="1"/>
  </r>
  <r>
    <x v="1896"/>
    <x v="6"/>
    <n v="5"/>
    <n v="105"/>
    <n v="525"/>
    <d v="2025-03-11T00:00:00"/>
    <d v="2025-03-14T00:00:00"/>
    <x v="1"/>
    <x v="0"/>
    <n v="4"/>
    <x v="0"/>
    <x v="13"/>
    <n v="3"/>
    <n v="11"/>
    <x v="1"/>
  </r>
  <r>
    <x v="1897"/>
    <x v="18"/>
    <n v="1"/>
    <n v="33"/>
    <n v="33"/>
    <d v="2025-03-11T00:00:00"/>
    <d v="2025-03-14T00:00:00"/>
    <x v="1"/>
    <x v="4"/>
    <n v="4"/>
    <x v="0"/>
    <x v="21"/>
    <n v="3"/>
    <n v="11"/>
    <x v="1"/>
  </r>
  <r>
    <x v="1898"/>
    <x v="6"/>
    <n v="5"/>
    <n v="106.6"/>
    <n v="533"/>
    <d v="2025-03-11T00:00:00"/>
    <d v="2025-03-24T00:00:00"/>
    <x v="2"/>
    <x v="2"/>
    <n v="4"/>
    <x v="0"/>
    <x v="1"/>
    <n v="13"/>
    <n v="11"/>
    <x v="2"/>
  </r>
  <r>
    <x v="1899"/>
    <x v="10"/>
    <n v="32"/>
    <n v="26.8"/>
    <n v="857.6"/>
    <d v="2025-03-11T00:00:00"/>
    <d v="2025-03-12T00:00:00"/>
    <x v="2"/>
    <x v="2"/>
    <n v="4"/>
    <x v="0"/>
    <x v="1"/>
    <n v="1"/>
    <n v="11"/>
    <x v="2"/>
  </r>
  <r>
    <x v="1900"/>
    <x v="17"/>
    <n v="5"/>
    <n v="25.8"/>
    <n v="129"/>
    <d v="2025-03-11T00:00:00"/>
    <d v="2025-03-11T00:00:00"/>
    <x v="2"/>
    <x v="1"/>
    <n v="5"/>
    <x v="0"/>
    <x v="3"/>
    <n v="0"/>
    <n v="11"/>
    <x v="2"/>
  </r>
  <r>
    <x v="1901"/>
    <x v="2"/>
    <n v="3"/>
    <n v="217"/>
    <n v="651"/>
    <d v="2025-03-11T00:00:00"/>
    <d v="2025-03-12T00:00:00"/>
    <x v="2"/>
    <x v="1"/>
    <n v="3"/>
    <x v="0"/>
    <x v="3"/>
    <n v="1"/>
    <n v="11"/>
    <x v="2"/>
  </r>
  <r>
    <x v="1902"/>
    <x v="2"/>
    <n v="2"/>
    <n v="97.3"/>
    <n v="194.6"/>
    <d v="2025-03-11T00:00:00"/>
    <d v="2025-03-12T00:00:00"/>
    <x v="1"/>
    <x v="2"/>
    <n v="2"/>
    <x v="0"/>
    <x v="3"/>
    <n v="1"/>
    <n v="11"/>
    <x v="1"/>
  </r>
  <r>
    <x v="1903"/>
    <x v="1"/>
    <n v="1"/>
    <n v="49.8"/>
    <n v="49.8"/>
    <d v="2025-03-11T00:00:00"/>
    <d v="2025-03-12T00:00:00"/>
    <x v="2"/>
    <x v="0"/>
    <n v="4"/>
    <x v="0"/>
    <x v="3"/>
    <n v="1"/>
    <n v="11"/>
    <x v="2"/>
  </r>
  <r>
    <x v="1904"/>
    <x v="12"/>
    <n v="5"/>
    <n v="32.6"/>
    <n v="163"/>
    <d v="2025-03-11T00:00:00"/>
    <d v="2025-03-12T00:00:00"/>
    <x v="2"/>
    <x v="0"/>
    <n v="4"/>
    <x v="0"/>
    <x v="3"/>
    <n v="1"/>
    <n v="11"/>
    <x v="2"/>
  </r>
  <r>
    <x v="1905"/>
    <x v="9"/>
    <n v="2"/>
    <n v="40.1"/>
    <n v="80.2"/>
    <d v="2025-03-11T00:00:00"/>
    <d v="2025-03-14T00:00:00"/>
    <x v="1"/>
    <x v="1"/>
    <n v="5"/>
    <x v="0"/>
    <x v="3"/>
    <n v="3"/>
    <n v="11"/>
    <x v="1"/>
  </r>
  <r>
    <x v="1906"/>
    <x v="10"/>
    <n v="2"/>
    <n v="49.4"/>
    <n v="98.8"/>
    <d v="2025-03-11T00:00:00"/>
    <d v="2025-03-13T00:00:00"/>
    <x v="1"/>
    <x v="1"/>
    <n v="4"/>
    <x v="0"/>
    <x v="3"/>
    <n v="2"/>
    <n v="11"/>
    <x v="1"/>
  </r>
  <r>
    <x v="1907"/>
    <x v="2"/>
    <n v="1"/>
    <n v="67.3"/>
    <n v="67.3"/>
    <d v="2025-03-11T00:00:00"/>
    <d v="2025-03-12T00:00:00"/>
    <x v="2"/>
    <x v="0"/>
    <n v="5"/>
    <x v="0"/>
    <x v="3"/>
    <n v="1"/>
    <n v="11"/>
    <x v="2"/>
  </r>
  <r>
    <x v="1908"/>
    <x v="18"/>
    <n v="4"/>
    <n v="44.5"/>
    <n v="178"/>
    <d v="2025-03-11T00:00:00"/>
    <d v="2025-03-14T00:00:00"/>
    <x v="0"/>
    <x v="1"/>
    <n v="4"/>
    <x v="0"/>
    <x v="3"/>
    <n v="3"/>
    <n v="11"/>
    <x v="0"/>
  </r>
  <r>
    <x v="1909"/>
    <x v="6"/>
    <n v="11"/>
    <n v="111.1"/>
    <n v="1222.0999999999999"/>
    <d v="2025-03-11T00:00:00"/>
    <d v="2025-03-12T00:00:00"/>
    <x v="2"/>
    <x v="4"/>
    <n v="4"/>
    <x v="0"/>
    <x v="3"/>
    <n v="1"/>
    <n v="11"/>
    <x v="2"/>
  </r>
  <r>
    <x v="1910"/>
    <x v="8"/>
    <n v="3"/>
    <n v="19.7"/>
    <n v="59.099999999999994"/>
    <d v="2025-03-11T00:00:00"/>
    <d v="2025-03-12T00:00:00"/>
    <x v="2"/>
    <x v="4"/>
    <n v="2"/>
    <x v="0"/>
    <x v="3"/>
    <n v="1"/>
    <n v="11"/>
    <x v="2"/>
  </r>
  <r>
    <x v="1911"/>
    <x v="1"/>
    <n v="1"/>
    <n v="40.299999999999997"/>
    <n v="40.299999999999997"/>
    <d v="2025-03-11T00:00:00"/>
    <d v="2025-03-12T00:00:00"/>
    <x v="3"/>
    <x v="1"/>
    <n v="4"/>
    <x v="0"/>
    <x v="3"/>
    <n v="1"/>
    <n v="11"/>
    <x v="3"/>
  </r>
  <r>
    <x v="1912"/>
    <x v="6"/>
    <n v="2"/>
    <n v="108.8"/>
    <n v="217.6"/>
    <d v="2025-03-11T00:00:00"/>
    <d v="2025-03-16T00:00:00"/>
    <x v="1"/>
    <x v="0"/>
    <n v="5"/>
    <x v="0"/>
    <x v="6"/>
    <n v="5"/>
    <n v="11"/>
    <x v="1"/>
  </r>
  <r>
    <x v="1913"/>
    <x v="8"/>
    <n v="3"/>
    <n v="48.2"/>
    <n v="144.60000000000002"/>
    <d v="2025-03-11T00:00:00"/>
    <d v="2025-03-16T00:00:00"/>
    <x v="2"/>
    <x v="4"/>
    <n v="4"/>
    <x v="0"/>
    <x v="7"/>
    <n v="5"/>
    <n v="11"/>
    <x v="2"/>
  </r>
  <r>
    <x v="1914"/>
    <x v="2"/>
    <n v="3"/>
    <n v="104.7"/>
    <n v="314.10000000000002"/>
    <d v="2025-03-11T00:00:00"/>
    <d v="2025-03-13T00:00:00"/>
    <x v="2"/>
    <x v="0"/>
    <n v="3"/>
    <x v="0"/>
    <x v="7"/>
    <n v="2"/>
    <n v="11"/>
    <x v="2"/>
  </r>
  <r>
    <x v="1915"/>
    <x v="1"/>
    <n v="2"/>
    <n v="80.599999999999994"/>
    <n v="161.19999999999999"/>
    <d v="2025-03-11T00:00:00"/>
    <d v="2025-03-11T00:00:00"/>
    <x v="2"/>
    <x v="1"/>
    <n v="4"/>
    <x v="0"/>
    <x v="8"/>
    <n v="0"/>
    <n v="11"/>
    <x v="2"/>
  </r>
  <r>
    <x v="1916"/>
    <x v="6"/>
    <n v="1"/>
    <n v="65.5"/>
    <n v="65.5"/>
    <d v="2025-03-11T00:00:00"/>
    <d v="2025-03-13T00:00:00"/>
    <x v="3"/>
    <x v="1"/>
    <n v="4"/>
    <x v="0"/>
    <x v="8"/>
    <n v="2"/>
    <n v="11"/>
    <x v="3"/>
  </r>
  <r>
    <x v="1917"/>
    <x v="9"/>
    <n v="3"/>
    <n v="61.4"/>
    <n v="184.2"/>
    <d v="2025-03-11T00:00:00"/>
    <d v="2025-03-13T00:00:00"/>
    <x v="2"/>
    <x v="4"/>
    <n v="5"/>
    <x v="0"/>
    <x v="8"/>
    <n v="2"/>
    <n v="11"/>
    <x v="2"/>
  </r>
  <r>
    <x v="1918"/>
    <x v="0"/>
    <n v="1"/>
    <n v="12.5"/>
    <n v="12.5"/>
    <d v="2025-03-12T00:00:00"/>
    <d v="2025-03-15T00:00:00"/>
    <x v="2"/>
    <x v="0"/>
    <n v="3"/>
    <x v="0"/>
    <x v="8"/>
    <n v="3"/>
    <n v="11"/>
    <x v="2"/>
  </r>
  <r>
    <x v="1919"/>
    <x v="4"/>
    <n v="4"/>
    <n v="35.1"/>
    <n v="140.4"/>
    <d v="2025-03-12T00:00:00"/>
    <d v="2025-03-13T00:00:00"/>
    <x v="1"/>
    <x v="2"/>
    <n v="3"/>
    <x v="0"/>
    <x v="17"/>
    <n v="1"/>
    <n v="11"/>
    <x v="1"/>
  </r>
  <r>
    <x v="1920"/>
    <x v="5"/>
    <n v="2"/>
    <n v="55.7"/>
    <n v="111.4"/>
    <d v="2025-03-12T00:00:00"/>
    <d v="2025-03-13T00:00:00"/>
    <x v="1"/>
    <x v="0"/>
    <n v="3"/>
    <x v="0"/>
    <x v="26"/>
    <n v="1"/>
    <n v="11"/>
    <x v="1"/>
  </r>
  <r>
    <x v="1921"/>
    <x v="7"/>
    <n v="2"/>
    <n v="57.7"/>
    <n v="115.4"/>
    <d v="2025-03-12T00:00:00"/>
    <d v="2025-03-14T00:00:00"/>
    <x v="1"/>
    <x v="4"/>
    <n v="3"/>
    <x v="0"/>
    <x v="9"/>
    <n v="2"/>
    <n v="11"/>
    <x v="1"/>
  </r>
  <r>
    <x v="1922"/>
    <x v="2"/>
    <n v="6"/>
    <n v="85.7"/>
    <n v="514.20000000000005"/>
    <d v="2025-03-12T00:00:00"/>
    <d v="2025-03-13T00:00:00"/>
    <x v="1"/>
    <x v="3"/>
    <n v="5"/>
    <x v="0"/>
    <x v="9"/>
    <n v="1"/>
    <n v="11"/>
    <x v="1"/>
  </r>
  <r>
    <x v="1923"/>
    <x v="2"/>
    <n v="3"/>
    <n v="86.9"/>
    <n v="260.70000000000005"/>
    <d v="2025-03-12T00:00:00"/>
    <d v="2025-03-14T00:00:00"/>
    <x v="2"/>
    <x v="1"/>
    <n v="4"/>
    <x v="0"/>
    <x v="11"/>
    <n v="2"/>
    <n v="11"/>
    <x v="2"/>
  </r>
  <r>
    <x v="1924"/>
    <x v="18"/>
    <n v="2"/>
    <n v="46.4"/>
    <n v="92.8"/>
    <d v="2025-03-12T00:00:00"/>
    <d v="2025-03-15T00:00:00"/>
    <x v="2"/>
    <x v="4"/>
    <n v="4"/>
    <x v="0"/>
    <x v="11"/>
    <n v="3"/>
    <n v="11"/>
    <x v="2"/>
  </r>
  <r>
    <x v="1925"/>
    <x v="5"/>
    <n v="3"/>
    <n v="25.4"/>
    <n v="76.199999999999989"/>
    <d v="2025-03-12T00:00:00"/>
    <d v="2025-03-12T00:00:00"/>
    <x v="2"/>
    <x v="2"/>
    <n v="5"/>
    <x v="0"/>
    <x v="18"/>
    <n v="0"/>
    <n v="11"/>
    <x v="2"/>
  </r>
  <r>
    <x v="1926"/>
    <x v="10"/>
    <n v="3"/>
    <n v="47.8"/>
    <n v="143.39999999999998"/>
    <d v="2025-03-12T00:00:00"/>
    <d v="2025-03-12T00:00:00"/>
    <x v="0"/>
    <x v="2"/>
    <n v="5"/>
    <x v="0"/>
    <x v="19"/>
    <n v="0"/>
    <n v="11"/>
    <x v="0"/>
  </r>
  <r>
    <x v="1927"/>
    <x v="8"/>
    <n v="19"/>
    <n v="18.399999999999999"/>
    <n v="349.59999999999997"/>
    <d v="2025-03-12T00:00:00"/>
    <d v="2025-03-14T00:00:00"/>
    <x v="3"/>
    <x v="2"/>
    <n v="4"/>
    <x v="0"/>
    <x v="20"/>
    <n v="2"/>
    <n v="11"/>
    <x v="3"/>
  </r>
  <r>
    <x v="1928"/>
    <x v="12"/>
    <n v="3"/>
    <n v="65.5"/>
    <n v="196.5"/>
    <d v="2025-03-12T00:00:00"/>
    <d v="2025-03-20T00:00:00"/>
    <x v="2"/>
    <x v="0"/>
    <n v="4"/>
    <x v="0"/>
    <x v="21"/>
    <n v="8"/>
    <n v="11"/>
    <x v="2"/>
  </r>
  <r>
    <x v="1929"/>
    <x v="10"/>
    <n v="2"/>
    <n v="50.6"/>
    <n v="101.2"/>
    <d v="2025-03-12T00:00:00"/>
    <d v="2025-03-15T00:00:00"/>
    <x v="1"/>
    <x v="2"/>
    <n v="2"/>
    <x v="0"/>
    <x v="21"/>
    <n v="3"/>
    <n v="11"/>
    <x v="1"/>
  </r>
  <r>
    <x v="1930"/>
    <x v="3"/>
    <n v="5"/>
    <n v="69"/>
    <n v="345"/>
    <d v="2025-03-12T00:00:00"/>
    <d v="2025-03-16T00:00:00"/>
    <x v="1"/>
    <x v="3"/>
    <n v="4"/>
    <x v="0"/>
    <x v="21"/>
    <n v="4"/>
    <n v="11"/>
    <x v="1"/>
  </r>
  <r>
    <x v="1931"/>
    <x v="9"/>
    <n v="8"/>
    <n v="51.1"/>
    <n v="408.8"/>
    <d v="2025-03-12T00:00:00"/>
    <d v="2025-03-14T00:00:00"/>
    <x v="2"/>
    <x v="0"/>
    <n v="4"/>
    <x v="0"/>
    <x v="1"/>
    <n v="2"/>
    <n v="11"/>
    <x v="2"/>
  </r>
  <r>
    <x v="1932"/>
    <x v="9"/>
    <n v="1"/>
    <n v="36.1"/>
    <n v="36.1"/>
    <d v="2025-03-12T00:00:00"/>
    <d v="2025-03-13T00:00:00"/>
    <x v="2"/>
    <x v="0"/>
    <n v="5"/>
    <x v="0"/>
    <x v="34"/>
    <n v="1"/>
    <n v="11"/>
    <x v="2"/>
  </r>
  <r>
    <x v="1933"/>
    <x v="14"/>
    <n v="1"/>
    <n v="18.7"/>
    <n v="18.7"/>
    <d v="2025-03-12T00:00:00"/>
    <d v="2025-03-13T00:00:00"/>
    <x v="1"/>
    <x v="0"/>
    <n v="4"/>
    <x v="0"/>
    <x v="3"/>
    <n v="1"/>
    <n v="11"/>
    <x v="1"/>
  </r>
  <r>
    <x v="1934"/>
    <x v="17"/>
    <n v="1"/>
    <n v="30.1"/>
    <n v="30.1"/>
    <d v="2025-03-12T00:00:00"/>
    <d v="2025-03-15T00:00:00"/>
    <x v="2"/>
    <x v="3"/>
    <n v="3"/>
    <x v="0"/>
    <x v="3"/>
    <n v="3"/>
    <n v="11"/>
    <x v="2"/>
  </r>
  <r>
    <x v="1935"/>
    <x v="8"/>
    <n v="1"/>
    <n v="16.3"/>
    <n v="16.3"/>
    <d v="2025-03-12T00:00:00"/>
    <d v="2025-03-13T00:00:00"/>
    <x v="1"/>
    <x v="3"/>
    <n v="4"/>
    <x v="0"/>
    <x v="3"/>
    <n v="1"/>
    <n v="11"/>
    <x v="1"/>
  </r>
  <r>
    <x v="1936"/>
    <x v="1"/>
    <n v="3"/>
    <n v="63.8"/>
    <n v="191.39999999999998"/>
    <d v="2025-03-12T00:00:00"/>
    <d v="2025-03-17T00:00:00"/>
    <x v="2"/>
    <x v="2"/>
    <n v="3"/>
    <x v="0"/>
    <x v="3"/>
    <n v="5"/>
    <n v="11"/>
    <x v="2"/>
  </r>
  <r>
    <x v="1937"/>
    <x v="1"/>
    <n v="7"/>
    <n v="73.900000000000006"/>
    <n v="517.30000000000007"/>
    <d v="2025-03-12T00:00:00"/>
    <d v="2025-03-12T00:00:00"/>
    <x v="2"/>
    <x v="0"/>
    <n v="3"/>
    <x v="0"/>
    <x v="3"/>
    <n v="0"/>
    <n v="11"/>
    <x v="2"/>
  </r>
  <r>
    <x v="1938"/>
    <x v="0"/>
    <n v="2"/>
    <n v="20.2"/>
    <n v="40.4"/>
    <d v="2025-03-12T00:00:00"/>
    <d v="2025-03-13T00:00:00"/>
    <x v="1"/>
    <x v="0"/>
    <n v="3"/>
    <x v="0"/>
    <x v="3"/>
    <n v="1"/>
    <n v="11"/>
    <x v="1"/>
  </r>
  <r>
    <x v="1939"/>
    <x v="11"/>
    <n v="11"/>
    <n v="29.5"/>
    <n v="324.5"/>
    <d v="2025-03-12T00:00:00"/>
    <d v="2025-03-13T00:00:00"/>
    <x v="1"/>
    <x v="0"/>
    <n v="4"/>
    <x v="0"/>
    <x v="3"/>
    <n v="1"/>
    <n v="11"/>
    <x v="1"/>
  </r>
  <r>
    <x v="1940"/>
    <x v="15"/>
    <n v="7"/>
    <n v="37.9"/>
    <n v="265.3"/>
    <d v="2025-03-12T00:00:00"/>
    <d v="2025-03-13T00:00:00"/>
    <x v="1"/>
    <x v="1"/>
    <n v="4"/>
    <x v="0"/>
    <x v="3"/>
    <n v="1"/>
    <n v="11"/>
    <x v="1"/>
  </r>
  <r>
    <x v="1941"/>
    <x v="2"/>
    <n v="1"/>
    <n v="56.5"/>
    <n v="56.5"/>
    <d v="2025-03-12T00:00:00"/>
    <d v="2025-03-13T00:00:00"/>
    <x v="2"/>
    <x v="2"/>
    <n v="3"/>
    <x v="0"/>
    <x v="3"/>
    <n v="1"/>
    <n v="11"/>
    <x v="2"/>
  </r>
  <r>
    <x v="1942"/>
    <x v="2"/>
    <n v="2"/>
    <n v="66.900000000000006"/>
    <n v="133.80000000000001"/>
    <d v="2025-03-12T00:00:00"/>
    <d v="2025-03-18T00:00:00"/>
    <x v="1"/>
    <x v="1"/>
    <n v="2"/>
    <x v="0"/>
    <x v="25"/>
    <n v="6"/>
    <n v="11"/>
    <x v="1"/>
  </r>
  <r>
    <x v="1943"/>
    <x v="2"/>
    <n v="5"/>
    <n v="51.9"/>
    <n v="259.5"/>
    <d v="2025-03-12T00:00:00"/>
    <d v="2025-03-15T00:00:00"/>
    <x v="1"/>
    <x v="1"/>
    <n v="4"/>
    <x v="0"/>
    <x v="7"/>
    <n v="3"/>
    <n v="11"/>
    <x v="1"/>
  </r>
  <r>
    <x v="1944"/>
    <x v="2"/>
    <n v="2"/>
    <n v="75.599999999999994"/>
    <n v="151.19999999999999"/>
    <d v="2025-03-12T00:00:00"/>
    <d v="2025-03-15T00:00:00"/>
    <x v="1"/>
    <x v="1"/>
    <n v="4"/>
    <x v="0"/>
    <x v="8"/>
    <n v="3"/>
    <n v="11"/>
    <x v="1"/>
  </r>
  <r>
    <x v="1945"/>
    <x v="12"/>
    <n v="6"/>
    <n v="47.3"/>
    <n v="283.79999999999995"/>
    <d v="2025-03-12T00:00:00"/>
    <d v="2025-03-23T00:00:00"/>
    <x v="1"/>
    <x v="0"/>
    <n v="4"/>
    <x v="0"/>
    <x v="8"/>
    <n v="11"/>
    <n v="11"/>
    <x v="1"/>
  </r>
  <r>
    <x v="1946"/>
    <x v="4"/>
    <n v="1"/>
    <n v="20.6"/>
    <n v="20.6"/>
    <d v="2025-03-12T00:00:00"/>
    <d v="2025-03-13T00:00:00"/>
    <x v="0"/>
    <x v="0"/>
    <n v="3"/>
    <x v="0"/>
    <x v="8"/>
    <n v="1"/>
    <n v="11"/>
    <x v="0"/>
  </r>
  <r>
    <x v="1947"/>
    <x v="6"/>
    <n v="3"/>
    <n v="49.7"/>
    <n v="149.10000000000002"/>
    <d v="2025-03-12T00:00:00"/>
    <d v="2025-03-14T00:00:00"/>
    <x v="1"/>
    <x v="0"/>
    <n v="3"/>
    <x v="0"/>
    <x v="8"/>
    <n v="2"/>
    <n v="11"/>
    <x v="1"/>
  </r>
  <r>
    <x v="1948"/>
    <x v="3"/>
    <n v="1"/>
    <n v="37.9"/>
    <n v="37.9"/>
    <d v="2025-03-12T00:00:00"/>
    <d v="2025-03-14T00:00:00"/>
    <x v="2"/>
    <x v="0"/>
    <n v="4"/>
    <x v="0"/>
    <x v="8"/>
    <n v="2"/>
    <n v="11"/>
    <x v="2"/>
  </r>
  <r>
    <x v="1949"/>
    <x v="13"/>
    <n v="15"/>
    <n v="32"/>
    <n v="480"/>
    <d v="2025-03-12T00:00:00"/>
    <d v="2025-03-14T00:00:00"/>
    <x v="2"/>
    <x v="4"/>
    <n v="4"/>
    <x v="0"/>
    <x v="11"/>
    <n v="2"/>
    <n v="11"/>
    <x v="2"/>
  </r>
  <r>
    <x v="1950"/>
    <x v="10"/>
    <n v="18"/>
    <n v="38.5"/>
    <n v="693"/>
    <d v="2025-03-13T00:00:00"/>
    <d v="2025-03-14T00:00:00"/>
    <x v="1"/>
    <x v="0"/>
    <n v="5"/>
    <x v="0"/>
    <x v="11"/>
    <n v="1"/>
    <n v="11"/>
    <x v="1"/>
  </r>
  <r>
    <x v="1951"/>
    <x v="0"/>
    <n v="4"/>
    <n v="11.7"/>
    <n v="46.8"/>
    <d v="2025-03-13T00:00:00"/>
    <d v="2025-03-15T00:00:00"/>
    <x v="2"/>
    <x v="1"/>
    <n v="4"/>
    <x v="0"/>
    <x v="20"/>
    <n v="2"/>
    <n v="11"/>
    <x v="2"/>
  </r>
  <r>
    <x v="1952"/>
    <x v="3"/>
    <n v="6"/>
    <n v="83.8"/>
    <n v="502.79999999999995"/>
    <d v="2025-03-13T00:00:00"/>
    <d v="2025-03-14T00:00:00"/>
    <x v="1"/>
    <x v="0"/>
    <n v="4"/>
    <x v="0"/>
    <x v="21"/>
    <n v="1"/>
    <n v="11"/>
    <x v="1"/>
  </r>
  <r>
    <x v="1953"/>
    <x v="0"/>
    <n v="7"/>
    <n v="14"/>
    <n v="98"/>
    <d v="2025-03-13T00:00:00"/>
    <d v="2025-03-16T00:00:00"/>
    <x v="1"/>
    <x v="0"/>
    <n v="3"/>
    <x v="0"/>
    <x v="22"/>
    <n v="3"/>
    <n v="11"/>
    <x v="1"/>
  </r>
  <r>
    <x v="1954"/>
    <x v="16"/>
    <n v="4"/>
    <n v="77.3"/>
    <n v="309.2"/>
    <d v="2025-03-13T00:00:00"/>
    <d v="2025-03-15T00:00:00"/>
    <x v="2"/>
    <x v="4"/>
    <n v="5"/>
    <x v="0"/>
    <x v="3"/>
    <n v="2"/>
    <n v="11"/>
    <x v="2"/>
  </r>
  <r>
    <x v="1955"/>
    <x v="2"/>
    <n v="2"/>
    <n v="76.900000000000006"/>
    <n v="153.80000000000001"/>
    <d v="2025-03-13T00:00:00"/>
    <d v="2025-03-17T00:00:00"/>
    <x v="2"/>
    <x v="0"/>
    <n v="3"/>
    <x v="0"/>
    <x v="3"/>
    <n v="4"/>
    <n v="11"/>
    <x v="2"/>
  </r>
  <r>
    <x v="1956"/>
    <x v="1"/>
    <n v="1"/>
    <n v="48"/>
    <n v="48"/>
    <d v="2025-03-13T00:00:00"/>
    <d v="2025-03-15T00:00:00"/>
    <x v="2"/>
    <x v="1"/>
    <n v="5"/>
    <x v="0"/>
    <x v="3"/>
    <n v="2"/>
    <n v="11"/>
    <x v="2"/>
  </r>
  <r>
    <x v="1957"/>
    <x v="2"/>
    <n v="1"/>
    <n v="94.5"/>
    <n v="94.5"/>
    <d v="2025-03-13T00:00:00"/>
    <d v="2025-03-16T00:00:00"/>
    <x v="1"/>
    <x v="1"/>
    <n v="3"/>
    <x v="0"/>
    <x v="3"/>
    <n v="3"/>
    <n v="11"/>
    <x v="1"/>
  </r>
  <r>
    <x v="1958"/>
    <x v="10"/>
    <n v="3"/>
    <n v="58.4"/>
    <n v="175.2"/>
    <d v="2025-03-13T00:00:00"/>
    <d v="2025-03-15T00:00:00"/>
    <x v="2"/>
    <x v="1"/>
    <n v="5"/>
    <x v="0"/>
    <x v="3"/>
    <n v="2"/>
    <n v="11"/>
    <x v="2"/>
  </r>
  <r>
    <x v="1959"/>
    <x v="7"/>
    <n v="13"/>
    <n v="42.2"/>
    <n v="548.6"/>
    <d v="2025-03-13T00:00:00"/>
    <d v="2025-03-13T00:00:00"/>
    <x v="1"/>
    <x v="0"/>
    <n v="4"/>
    <x v="0"/>
    <x v="25"/>
    <n v="0"/>
    <n v="11"/>
    <x v="1"/>
  </r>
  <r>
    <x v="1960"/>
    <x v="6"/>
    <n v="2"/>
    <n v="152.19999999999999"/>
    <n v="304.39999999999998"/>
    <d v="2025-03-13T00:00:00"/>
    <d v="2025-03-14T00:00:00"/>
    <x v="1"/>
    <x v="4"/>
    <n v="3"/>
    <x v="0"/>
    <x v="25"/>
    <n v="1"/>
    <n v="11"/>
    <x v="1"/>
  </r>
  <r>
    <x v="1961"/>
    <x v="6"/>
    <n v="24"/>
    <n v="72"/>
    <n v="1728"/>
    <d v="2025-03-13T00:00:00"/>
    <d v="2025-03-14T00:00:00"/>
    <x v="1"/>
    <x v="0"/>
    <n v="3"/>
    <x v="0"/>
    <x v="6"/>
    <n v="1"/>
    <n v="11"/>
    <x v="1"/>
  </r>
  <r>
    <x v="1962"/>
    <x v="1"/>
    <n v="23"/>
    <n v="70.900000000000006"/>
    <n v="1630.7"/>
    <d v="2025-03-13T00:00:00"/>
    <d v="2025-03-14T00:00:00"/>
    <x v="2"/>
    <x v="2"/>
    <n v="4"/>
    <x v="0"/>
    <x v="8"/>
    <n v="1"/>
    <n v="11"/>
    <x v="2"/>
  </r>
  <r>
    <x v="1963"/>
    <x v="2"/>
    <n v="2"/>
    <n v="53.7"/>
    <n v="107.4"/>
    <d v="2025-03-13T00:00:00"/>
    <d v="2025-03-14T00:00:00"/>
    <x v="1"/>
    <x v="2"/>
    <n v="5"/>
    <x v="0"/>
    <x v="8"/>
    <n v="1"/>
    <n v="11"/>
    <x v="1"/>
  </r>
  <r>
    <x v="1964"/>
    <x v="9"/>
    <n v="4"/>
    <n v="42.9"/>
    <n v="171.6"/>
    <d v="2025-03-13T00:00:00"/>
    <d v="2025-03-14T00:00:00"/>
    <x v="2"/>
    <x v="2"/>
    <n v="2"/>
    <x v="0"/>
    <x v="9"/>
    <n v="1"/>
    <n v="11"/>
    <x v="2"/>
  </r>
  <r>
    <x v="1965"/>
    <x v="2"/>
    <n v="7"/>
    <n v="107.5"/>
    <n v="752.5"/>
    <d v="2025-03-13T00:00:00"/>
    <d v="2025-03-14T00:00:00"/>
    <x v="1"/>
    <x v="1"/>
    <n v="4"/>
    <x v="0"/>
    <x v="11"/>
    <n v="1"/>
    <n v="11"/>
    <x v="1"/>
  </r>
  <r>
    <x v="1966"/>
    <x v="17"/>
    <n v="16"/>
    <n v="21.5"/>
    <n v="344"/>
    <d v="2025-03-13T00:00:00"/>
    <d v="2025-03-14T00:00:00"/>
    <x v="1"/>
    <x v="1"/>
    <n v="3"/>
    <x v="0"/>
    <x v="32"/>
    <n v="1"/>
    <n v="11"/>
    <x v="1"/>
  </r>
  <r>
    <x v="1967"/>
    <x v="3"/>
    <n v="5"/>
    <n v="85.3"/>
    <n v="426.5"/>
    <d v="2025-03-13T00:00:00"/>
    <d v="2025-03-15T00:00:00"/>
    <x v="2"/>
    <x v="3"/>
    <n v="4"/>
    <x v="0"/>
    <x v="18"/>
    <n v="2"/>
    <n v="11"/>
    <x v="2"/>
  </r>
  <r>
    <x v="1968"/>
    <x v="7"/>
    <n v="5"/>
    <n v="80.8"/>
    <n v="404"/>
    <d v="2025-03-13T00:00:00"/>
    <d v="2025-03-21T00:00:00"/>
    <x v="3"/>
    <x v="1"/>
    <n v="3"/>
    <x v="0"/>
    <x v="19"/>
    <n v="8"/>
    <n v="11"/>
    <x v="3"/>
  </r>
  <r>
    <x v="1969"/>
    <x v="2"/>
    <n v="3"/>
    <n v="123.1"/>
    <n v="369.29999999999995"/>
    <d v="2025-03-13T00:00:00"/>
    <d v="2025-03-15T00:00:00"/>
    <x v="0"/>
    <x v="2"/>
    <n v="4"/>
    <x v="0"/>
    <x v="21"/>
    <n v="2"/>
    <n v="11"/>
    <x v="0"/>
  </r>
  <r>
    <x v="1970"/>
    <x v="8"/>
    <n v="2"/>
    <n v="36.9"/>
    <n v="73.8"/>
    <d v="2025-03-13T00:00:00"/>
    <d v="2025-03-15T00:00:00"/>
    <x v="2"/>
    <x v="2"/>
    <n v="2"/>
    <x v="0"/>
    <x v="51"/>
    <n v="2"/>
    <n v="11"/>
    <x v="2"/>
  </r>
  <r>
    <x v="1971"/>
    <x v="11"/>
    <n v="5"/>
    <n v="40"/>
    <n v="200"/>
    <d v="2025-03-13T00:00:00"/>
    <d v="2025-03-14T00:00:00"/>
    <x v="1"/>
    <x v="0"/>
    <n v="4"/>
    <x v="0"/>
    <x v="1"/>
    <n v="1"/>
    <n v="11"/>
    <x v="1"/>
  </r>
  <r>
    <x v="1972"/>
    <x v="6"/>
    <n v="3"/>
    <n v="55.5"/>
    <n v="166.5"/>
    <d v="2025-03-13T00:00:00"/>
    <d v="2025-03-14T00:00:00"/>
    <x v="1"/>
    <x v="4"/>
    <n v="5"/>
    <x v="0"/>
    <x v="1"/>
    <n v="1"/>
    <n v="11"/>
    <x v="1"/>
  </r>
  <r>
    <x v="1973"/>
    <x v="0"/>
    <n v="4"/>
    <n v="20.5"/>
    <n v="82"/>
    <d v="2025-03-13T00:00:00"/>
    <d v="2025-03-17T00:00:00"/>
    <x v="2"/>
    <x v="4"/>
    <n v="4"/>
    <x v="0"/>
    <x v="1"/>
    <n v="4"/>
    <n v="11"/>
    <x v="2"/>
  </r>
  <r>
    <x v="1974"/>
    <x v="18"/>
    <n v="4"/>
    <n v="50.1"/>
    <n v="200.4"/>
    <d v="2025-03-13T00:00:00"/>
    <d v="2025-03-14T00:00:00"/>
    <x v="2"/>
    <x v="4"/>
    <n v="4"/>
    <x v="0"/>
    <x v="1"/>
    <n v="1"/>
    <n v="11"/>
    <x v="2"/>
  </r>
  <r>
    <x v="1975"/>
    <x v="9"/>
    <n v="1"/>
    <n v="35.9"/>
    <n v="35.9"/>
    <d v="2025-03-13T00:00:00"/>
    <d v="2025-03-15T00:00:00"/>
    <x v="1"/>
    <x v="1"/>
    <n v="5"/>
    <x v="0"/>
    <x v="1"/>
    <n v="2"/>
    <n v="11"/>
    <x v="1"/>
  </r>
  <r>
    <x v="1976"/>
    <x v="13"/>
    <n v="4"/>
    <n v="29.4"/>
    <n v="117.6"/>
    <d v="2025-03-14T00:00:00"/>
    <d v="2025-03-15T00:00:00"/>
    <x v="1"/>
    <x v="2"/>
    <n v="5"/>
    <x v="0"/>
    <x v="33"/>
    <n v="1"/>
    <n v="11"/>
    <x v="1"/>
  </r>
  <r>
    <x v="1977"/>
    <x v="8"/>
    <n v="5"/>
    <n v="29.1"/>
    <n v="145.5"/>
    <d v="2025-03-14T00:00:00"/>
    <d v="2025-03-22T00:00:00"/>
    <x v="3"/>
    <x v="2"/>
    <n v="3"/>
    <x v="0"/>
    <x v="33"/>
    <n v="8"/>
    <n v="11"/>
    <x v="3"/>
  </r>
  <r>
    <x v="1978"/>
    <x v="8"/>
    <n v="3"/>
    <n v="33.5"/>
    <n v="100.5"/>
    <d v="2025-03-14T00:00:00"/>
    <d v="2025-03-26T00:00:00"/>
    <x v="1"/>
    <x v="0"/>
    <n v="5"/>
    <x v="0"/>
    <x v="22"/>
    <n v="12"/>
    <n v="11"/>
    <x v="1"/>
  </r>
  <r>
    <x v="1979"/>
    <x v="4"/>
    <n v="10"/>
    <n v="36"/>
    <n v="360"/>
    <d v="2025-03-14T00:00:00"/>
    <d v="2025-03-14T00:00:00"/>
    <x v="1"/>
    <x v="3"/>
    <n v="5"/>
    <x v="0"/>
    <x v="3"/>
    <n v="0"/>
    <n v="11"/>
    <x v="1"/>
  </r>
  <r>
    <x v="1980"/>
    <x v="16"/>
    <n v="3"/>
    <n v="57.3"/>
    <n v="171.89999999999998"/>
    <d v="2025-03-14T00:00:00"/>
    <d v="2025-03-18T00:00:00"/>
    <x v="2"/>
    <x v="0"/>
    <n v="5"/>
    <x v="0"/>
    <x v="3"/>
    <n v="4"/>
    <n v="11"/>
    <x v="2"/>
  </r>
  <r>
    <x v="1981"/>
    <x v="1"/>
    <n v="1"/>
    <n v="81.400000000000006"/>
    <n v="81.400000000000006"/>
    <d v="2025-03-14T00:00:00"/>
    <d v="2025-03-15T00:00:00"/>
    <x v="2"/>
    <x v="2"/>
    <n v="5"/>
    <x v="0"/>
    <x v="3"/>
    <n v="1"/>
    <n v="11"/>
    <x v="2"/>
  </r>
  <r>
    <x v="1982"/>
    <x v="10"/>
    <n v="2"/>
    <n v="35.299999999999997"/>
    <n v="70.599999999999994"/>
    <d v="2025-03-14T00:00:00"/>
    <d v="2025-03-18T00:00:00"/>
    <x v="1"/>
    <x v="0"/>
    <n v="5"/>
    <x v="0"/>
    <x v="3"/>
    <n v="4"/>
    <n v="11"/>
    <x v="1"/>
  </r>
  <r>
    <x v="1983"/>
    <x v="3"/>
    <n v="1"/>
    <n v="36.1"/>
    <n v="36.1"/>
    <d v="2025-03-14T00:00:00"/>
    <d v="2025-03-15T00:00:00"/>
    <x v="2"/>
    <x v="4"/>
    <n v="4"/>
    <x v="0"/>
    <x v="3"/>
    <n v="1"/>
    <n v="11"/>
    <x v="2"/>
  </r>
  <r>
    <x v="1984"/>
    <x v="1"/>
    <n v="2"/>
    <n v="36.700000000000003"/>
    <n v="73.400000000000006"/>
    <d v="2025-03-14T00:00:00"/>
    <d v="2025-03-16T00:00:00"/>
    <x v="2"/>
    <x v="0"/>
    <n v="5"/>
    <x v="0"/>
    <x v="3"/>
    <n v="2"/>
    <n v="11"/>
    <x v="2"/>
  </r>
  <r>
    <x v="1985"/>
    <x v="10"/>
    <n v="1"/>
    <n v="20.9"/>
    <n v="20.9"/>
    <d v="2025-03-14T00:00:00"/>
    <d v="2025-03-16T00:00:00"/>
    <x v="2"/>
    <x v="0"/>
    <n v="2"/>
    <x v="0"/>
    <x v="3"/>
    <n v="2"/>
    <n v="11"/>
    <x v="2"/>
  </r>
  <r>
    <x v="1986"/>
    <x v="12"/>
    <n v="3"/>
    <n v="58.8"/>
    <n v="176.39999999999998"/>
    <d v="2025-03-14T00:00:00"/>
    <d v="2025-03-18T00:00:00"/>
    <x v="1"/>
    <x v="0"/>
    <n v="5"/>
    <x v="0"/>
    <x v="25"/>
    <n v="4"/>
    <n v="11"/>
    <x v="1"/>
  </r>
  <r>
    <x v="1987"/>
    <x v="2"/>
    <n v="3"/>
    <n v="97.6"/>
    <n v="292.79999999999995"/>
    <d v="2025-03-15T00:00:00"/>
    <d v="2025-03-17T00:00:00"/>
    <x v="0"/>
    <x v="0"/>
    <n v="4"/>
    <x v="0"/>
    <x v="6"/>
    <n v="2"/>
    <n v="11"/>
    <x v="0"/>
  </r>
  <r>
    <x v="1988"/>
    <x v="1"/>
    <n v="2"/>
    <n v="58.7"/>
    <n v="117.4"/>
    <d v="2025-03-15T00:00:00"/>
    <d v="2025-03-18T00:00:00"/>
    <x v="2"/>
    <x v="0"/>
    <n v="3"/>
    <x v="0"/>
    <x v="6"/>
    <n v="3"/>
    <n v="11"/>
    <x v="2"/>
  </r>
  <r>
    <x v="1989"/>
    <x v="6"/>
    <n v="5"/>
    <n v="71.900000000000006"/>
    <n v="359.5"/>
    <d v="2025-03-15T00:00:00"/>
    <d v="2025-03-16T00:00:00"/>
    <x v="0"/>
    <x v="0"/>
    <n v="3"/>
    <x v="0"/>
    <x v="6"/>
    <n v="1"/>
    <n v="11"/>
    <x v="0"/>
  </r>
  <r>
    <x v="1990"/>
    <x v="1"/>
    <n v="2"/>
    <n v="62.4"/>
    <n v="124.8"/>
    <d v="2025-03-15T00:00:00"/>
    <d v="2025-03-17T00:00:00"/>
    <x v="0"/>
    <x v="0"/>
    <n v="3"/>
    <x v="0"/>
    <x v="8"/>
    <n v="2"/>
    <n v="11"/>
    <x v="0"/>
  </r>
  <r>
    <x v="1991"/>
    <x v="6"/>
    <n v="16"/>
    <n v="53.8"/>
    <n v="860.8"/>
    <d v="2025-03-15T00:00:00"/>
    <d v="2025-03-16T00:00:00"/>
    <x v="2"/>
    <x v="1"/>
    <n v="4"/>
    <x v="0"/>
    <x v="8"/>
    <n v="1"/>
    <n v="11"/>
    <x v="2"/>
  </r>
  <r>
    <x v="1992"/>
    <x v="9"/>
    <n v="1"/>
    <n v="43.8"/>
    <n v="43.8"/>
    <d v="2025-03-15T00:00:00"/>
    <d v="2025-03-22T00:00:00"/>
    <x v="2"/>
    <x v="0"/>
    <n v="5"/>
    <x v="0"/>
    <x v="8"/>
    <n v="7"/>
    <n v="11"/>
    <x v="2"/>
  </r>
  <r>
    <x v="1993"/>
    <x v="5"/>
    <n v="3"/>
    <n v="53.6"/>
    <n v="160.80000000000001"/>
    <d v="2025-03-15T00:00:00"/>
    <d v="2025-03-16T00:00:00"/>
    <x v="1"/>
    <x v="3"/>
    <n v="4"/>
    <x v="0"/>
    <x v="8"/>
    <n v="1"/>
    <n v="11"/>
    <x v="1"/>
  </r>
  <r>
    <x v="1994"/>
    <x v="12"/>
    <n v="2"/>
    <n v="84.3"/>
    <n v="168.6"/>
    <d v="2025-03-15T00:00:00"/>
    <d v="2025-03-18T00:00:00"/>
    <x v="1"/>
    <x v="4"/>
    <n v="3"/>
    <x v="0"/>
    <x v="8"/>
    <n v="3"/>
    <n v="11"/>
    <x v="1"/>
  </r>
  <r>
    <x v="1995"/>
    <x v="6"/>
    <n v="9"/>
    <n v="117.9"/>
    <n v="1061.1000000000001"/>
    <d v="2025-03-15T00:00:00"/>
    <d v="2025-03-16T00:00:00"/>
    <x v="2"/>
    <x v="1"/>
    <n v="5"/>
    <x v="0"/>
    <x v="8"/>
    <n v="1"/>
    <n v="11"/>
    <x v="2"/>
  </r>
  <r>
    <x v="1996"/>
    <x v="4"/>
    <n v="8"/>
    <n v="30"/>
    <n v="240"/>
    <d v="2025-03-15T00:00:00"/>
    <d v="2025-03-16T00:00:00"/>
    <x v="2"/>
    <x v="1"/>
    <n v="4"/>
    <x v="0"/>
    <x v="26"/>
    <n v="1"/>
    <n v="11"/>
    <x v="2"/>
  </r>
  <r>
    <x v="1997"/>
    <x v="14"/>
    <n v="3"/>
    <n v="37.299999999999997"/>
    <n v="111.89999999999999"/>
    <d v="2025-03-15T00:00:00"/>
    <d v="2025-03-16T00:00:00"/>
    <x v="1"/>
    <x v="2"/>
    <n v="4"/>
    <x v="0"/>
    <x v="9"/>
    <n v="1"/>
    <n v="11"/>
    <x v="1"/>
  </r>
  <r>
    <x v="1998"/>
    <x v="4"/>
    <n v="9"/>
    <n v="25.1"/>
    <n v="225.9"/>
    <d v="2025-03-15T00:00:00"/>
    <d v="2025-03-17T00:00:00"/>
    <x v="1"/>
    <x v="1"/>
    <n v="5"/>
    <x v="0"/>
    <x v="11"/>
    <n v="2"/>
    <n v="11"/>
    <x v="1"/>
  </r>
  <r>
    <x v="1999"/>
    <x v="8"/>
    <n v="11"/>
    <n v="36"/>
    <n v="396"/>
    <d v="2025-03-15T00:00:00"/>
    <d v="2025-03-25T00:00:00"/>
    <x v="1"/>
    <x v="1"/>
    <n v="4"/>
    <x v="0"/>
    <x v="18"/>
    <n v="10"/>
    <n v="11"/>
    <x v="1"/>
  </r>
  <r>
    <x v="2000"/>
    <x v="16"/>
    <n v="3"/>
    <n v="48.5"/>
    <n v="145.5"/>
    <d v="2025-03-15T00:00:00"/>
    <d v="2025-03-19T00:00:00"/>
    <x v="2"/>
    <x v="1"/>
    <n v="4"/>
    <x v="0"/>
    <x v="19"/>
    <n v="4"/>
    <n v="11"/>
    <x v="2"/>
  </r>
  <r>
    <x v="2001"/>
    <x v="17"/>
    <n v="6"/>
    <n v="21.1"/>
    <n v="126.60000000000001"/>
    <d v="2025-03-15T00:00:00"/>
    <d v="2025-03-16T00:00:00"/>
    <x v="1"/>
    <x v="1"/>
    <n v="5"/>
    <x v="0"/>
    <x v="21"/>
    <n v="1"/>
    <n v="11"/>
    <x v="1"/>
  </r>
  <r>
    <x v="2002"/>
    <x v="15"/>
    <n v="14"/>
    <n v="43.2"/>
    <n v="604.80000000000007"/>
    <d v="2025-03-15T00:00:00"/>
    <d v="2025-03-16T00:00:00"/>
    <x v="3"/>
    <x v="0"/>
    <n v="3"/>
    <x v="0"/>
    <x v="21"/>
    <n v="1"/>
    <n v="11"/>
    <x v="3"/>
  </r>
  <r>
    <x v="2003"/>
    <x v="9"/>
    <n v="2"/>
    <n v="21.1"/>
    <n v="42.2"/>
    <d v="2025-03-15T00:00:00"/>
    <d v="2025-03-16T00:00:00"/>
    <x v="0"/>
    <x v="3"/>
    <n v="3"/>
    <x v="0"/>
    <x v="21"/>
    <n v="1"/>
    <n v="11"/>
    <x v="0"/>
  </r>
  <r>
    <x v="2004"/>
    <x v="6"/>
    <n v="4"/>
    <n v="41.3"/>
    <n v="165.2"/>
    <d v="2025-03-15T00:00:00"/>
    <d v="2025-03-17T00:00:00"/>
    <x v="2"/>
    <x v="3"/>
    <n v="5"/>
    <x v="0"/>
    <x v="1"/>
    <n v="2"/>
    <n v="11"/>
    <x v="2"/>
  </r>
  <r>
    <x v="2005"/>
    <x v="8"/>
    <n v="2"/>
    <n v="15.3"/>
    <n v="30.6"/>
    <d v="2025-03-15T00:00:00"/>
    <d v="2025-03-18T00:00:00"/>
    <x v="0"/>
    <x v="2"/>
    <n v="5"/>
    <x v="0"/>
    <x v="1"/>
    <n v="3"/>
    <n v="11"/>
    <x v="0"/>
  </r>
  <r>
    <x v="2006"/>
    <x v="1"/>
    <n v="1"/>
    <n v="54.6"/>
    <n v="54.6"/>
    <d v="2025-03-15T00:00:00"/>
    <d v="2025-03-17T00:00:00"/>
    <x v="1"/>
    <x v="1"/>
    <n v="3"/>
    <x v="0"/>
    <x v="2"/>
    <n v="2"/>
    <n v="11"/>
    <x v="1"/>
  </r>
  <r>
    <x v="2007"/>
    <x v="8"/>
    <n v="1"/>
    <n v="15.9"/>
    <n v="15.9"/>
    <d v="2025-03-15T00:00:00"/>
    <d v="2025-03-16T00:00:00"/>
    <x v="1"/>
    <x v="0"/>
    <n v="3"/>
    <x v="0"/>
    <x v="22"/>
    <n v="1"/>
    <n v="11"/>
    <x v="1"/>
  </r>
  <r>
    <x v="2008"/>
    <x v="9"/>
    <n v="1"/>
    <n v="50.2"/>
    <n v="50.2"/>
    <d v="2025-03-15T00:00:00"/>
    <d v="2025-03-17T00:00:00"/>
    <x v="2"/>
    <x v="3"/>
    <n v="5"/>
    <x v="0"/>
    <x v="34"/>
    <n v="2"/>
    <n v="11"/>
    <x v="2"/>
  </r>
  <r>
    <x v="2009"/>
    <x v="11"/>
    <n v="4"/>
    <n v="85.1"/>
    <n v="340.4"/>
    <d v="2025-03-15T00:00:00"/>
    <d v="2025-03-16T00:00:00"/>
    <x v="2"/>
    <x v="3"/>
    <n v="2"/>
    <x v="0"/>
    <x v="34"/>
    <n v="1"/>
    <n v="11"/>
    <x v="2"/>
  </r>
  <r>
    <x v="2010"/>
    <x v="11"/>
    <n v="2"/>
    <n v="41.4"/>
    <n v="82.8"/>
    <d v="2025-03-15T00:00:00"/>
    <d v="2025-03-16T00:00:00"/>
    <x v="2"/>
    <x v="0"/>
    <n v="5"/>
    <x v="0"/>
    <x v="3"/>
    <n v="1"/>
    <n v="11"/>
    <x v="2"/>
  </r>
  <r>
    <x v="2011"/>
    <x v="4"/>
    <n v="7"/>
    <n v="32.700000000000003"/>
    <n v="228.90000000000003"/>
    <d v="2025-03-15T00:00:00"/>
    <d v="2025-03-16T00:00:00"/>
    <x v="2"/>
    <x v="2"/>
    <n v="3"/>
    <x v="0"/>
    <x v="3"/>
    <n v="1"/>
    <n v="11"/>
    <x v="2"/>
  </r>
  <r>
    <x v="2012"/>
    <x v="4"/>
    <n v="2"/>
    <n v="41.6"/>
    <n v="83.2"/>
    <d v="2025-03-15T00:00:00"/>
    <d v="2025-03-17T00:00:00"/>
    <x v="1"/>
    <x v="4"/>
    <n v="3"/>
    <x v="0"/>
    <x v="3"/>
    <n v="2"/>
    <n v="11"/>
    <x v="1"/>
  </r>
  <r>
    <x v="2013"/>
    <x v="5"/>
    <n v="4"/>
    <n v="64.8"/>
    <n v="259.2"/>
    <d v="2025-03-15T00:00:00"/>
    <d v="2025-03-16T00:00:00"/>
    <x v="0"/>
    <x v="2"/>
    <n v="4"/>
    <x v="0"/>
    <x v="3"/>
    <n v="1"/>
    <n v="11"/>
    <x v="0"/>
  </r>
  <r>
    <x v="2014"/>
    <x v="15"/>
    <n v="2"/>
    <n v="33.6"/>
    <n v="67.2"/>
    <d v="2025-03-15T00:00:00"/>
    <d v="2025-03-16T00:00:00"/>
    <x v="1"/>
    <x v="0"/>
    <n v="5"/>
    <x v="0"/>
    <x v="3"/>
    <n v="1"/>
    <n v="11"/>
    <x v="1"/>
  </r>
  <r>
    <x v="2015"/>
    <x v="6"/>
    <n v="3"/>
    <n v="100.7"/>
    <n v="302.10000000000002"/>
    <d v="2025-03-15T00:00:00"/>
    <d v="2025-03-16T00:00:00"/>
    <x v="0"/>
    <x v="1"/>
    <n v="4"/>
    <x v="0"/>
    <x v="3"/>
    <n v="1"/>
    <n v="11"/>
    <x v="0"/>
  </r>
  <r>
    <x v="2016"/>
    <x v="4"/>
    <n v="2"/>
    <n v="49.3"/>
    <n v="98.6"/>
    <d v="2025-03-16T00:00:00"/>
    <d v="2025-03-18T00:00:00"/>
    <x v="2"/>
    <x v="4"/>
    <n v="5"/>
    <x v="0"/>
    <x v="3"/>
    <n v="2"/>
    <n v="12"/>
    <x v="2"/>
  </r>
  <r>
    <x v="2017"/>
    <x v="2"/>
    <n v="6"/>
    <n v="97"/>
    <n v="582"/>
    <d v="2025-03-16T00:00:00"/>
    <d v="2025-03-19T00:00:00"/>
    <x v="1"/>
    <x v="2"/>
    <n v="5"/>
    <x v="0"/>
    <x v="3"/>
    <n v="3"/>
    <n v="12"/>
    <x v="1"/>
  </r>
  <r>
    <x v="2018"/>
    <x v="0"/>
    <n v="6"/>
    <n v="25.2"/>
    <n v="151.19999999999999"/>
    <d v="2025-03-16T00:00:00"/>
    <d v="2025-03-19T00:00:00"/>
    <x v="2"/>
    <x v="4"/>
    <n v="5"/>
    <x v="0"/>
    <x v="3"/>
    <n v="3"/>
    <n v="12"/>
    <x v="2"/>
  </r>
  <r>
    <x v="2019"/>
    <x v="0"/>
    <n v="11"/>
    <n v="12.2"/>
    <n v="134.19999999999999"/>
    <d v="2025-03-16T00:00:00"/>
    <d v="2025-03-17T00:00:00"/>
    <x v="0"/>
    <x v="0"/>
    <n v="3"/>
    <x v="0"/>
    <x v="3"/>
    <n v="1"/>
    <n v="12"/>
    <x v="0"/>
  </r>
  <r>
    <x v="2020"/>
    <x v="8"/>
    <n v="7"/>
    <n v="38.799999999999997"/>
    <n v="271.59999999999997"/>
    <d v="2025-03-16T00:00:00"/>
    <d v="2025-03-18T00:00:00"/>
    <x v="2"/>
    <x v="1"/>
    <n v="3"/>
    <x v="0"/>
    <x v="23"/>
    <n v="2"/>
    <n v="12"/>
    <x v="2"/>
  </r>
  <r>
    <x v="2021"/>
    <x v="2"/>
    <n v="4"/>
    <n v="53.2"/>
    <n v="212.8"/>
    <d v="2025-03-16T00:00:00"/>
    <d v="2025-03-17T00:00:00"/>
    <x v="1"/>
    <x v="0"/>
    <n v="5"/>
    <x v="0"/>
    <x v="8"/>
    <n v="1"/>
    <n v="12"/>
    <x v="1"/>
  </r>
  <r>
    <x v="2022"/>
    <x v="6"/>
    <n v="7"/>
    <n v="151"/>
    <n v="1057"/>
    <d v="2025-03-16T00:00:00"/>
    <d v="2025-03-17T00:00:00"/>
    <x v="3"/>
    <x v="1"/>
    <n v="3"/>
    <x v="0"/>
    <x v="8"/>
    <n v="1"/>
    <n v="12"/>
    <x v="3"/>
  </r>
  <r>
    <x v="2023"/>
    <x v="1"/>
    <n v="2"/>
    <n v="37.1"/>
    <n v="74.2"/>
    <d v="2025-03-16T00:00:00"/>
    <d v="2025-03-17T00:00:00"/>
    <x v="2"/>
    <x v="4"/>
    <n v="4"/>
    <x v="0"/>
    <x v="8"/>
    <n v="1"/>
    <n v="12"/>
    <x v="2"/>
  </r>
  <r>
    <x v="2024"/>
    <x v="5"/>
    <n v="2"/>
    <n v="38.9"/>
    <n v="77.8"/>
    <d v="2025-03-16T00:00:00"/>
    <d v="2025-03-17T00:00:00"/>
    <x v="1"/>
    <x v="4"/>
    <n v="4"/>
    <x v="0"/>
    <x v="8"/>
    <n v="1"/>
    <n v="12"/>
    <x v="1"/>
  </r>
  <r>
    <x v="2025"/>
    <x v="10"/>
    <n v="2"/>
    <n v="35.200000000000003"/>
    <n v="70.400000000000006"/>
    <d v="2025-03-16T00:00:00"/>
    <d v="2025-03-17T00:00:00"/>
    <x v="1"/>
    <x v="0"/>
    <n v="5"/>
    <x v="0"/>
    <x v="17"/>
    <n v="1"/>
    <n v="12"/>
    <x v="1"/>
  </r>
  <r>
    <x v="2026"/>
    <x v="0"/>
    <n v="2"/>
    <n v="22.3"/>
    <n v="44.6"/>
    <d v="2025-03-16T00:00:00"/>
    <d v="2025-03-18T00:00:00"/>
    <x v="2"/>
    <x v="1"/>
    <n v="4"/>
    <x v="0"/>
    <x v="9"/>
    <n v="2"/>
    <n v="12"/>
    <x v="2"/>
  </r>
  <r>
    <x v="2027"/>
    <x v="9"/>
    <n v="1"/>
    <n v="43.3"/>
    <n v="43.3"/>
    <d v="2025-03-16T00:00:00"/>
    <d v="2025-03-19T00:00:00"/>
    <x v="2"/>
    <x v="0"/>
    <n v="5"/>
    <x v="0"/>
    <x v="11"/>
    <n v="3"/>
    <n v="12"/>
    <x v="2"/>
  </r>
  <r>
    <x v="2028"/>
    <x v="6"/>
    <n v="6"/>
    <n v="75.900000000000006"/>
    <n v="455.40000000000003"/>
    <d v="2025-03-16T00:00:00"/>
    <d v="2025-03-22T00:00:00"/>
    <x v="1"/>
    <x v="0"/>
    <n v="4"/>
    <x v="0"/>
    <x v="11"/>
    <n v="6"/>
    <n v="12"/>
    <x v="1"/>
  </r>
  <r>
    <x v="2029"/>
    <x v="6"/>
    <n v="3"/>
    <n v="78.7"/>
    <n v="236.10000000000002"/>
    <d v="2025-03-16T00:00:00"/>
    <d v="2025-03-20T00:00:00"/>
    <x v="2"/>
    <x v="2"/>
    <n v="3"/>
    <x v="0"/>
    <x v="11"/>
    <n v="4"/>
    <n v="12"/>
    <x v="2"/>
  </r>
  <r>
    <x v="2030"/>
    <x v="1"/>
    <n v="1"/>
    <n v="66.3"/>
    <n v="66.3"/>
    <d v="2025-03-16T00:00:00"/>
    <d v="2025-03-20T00:00:00"/>
    <x v="2"/>
    <x v="0"/>
    <n v="5"/>
    <x v="0"/>
    <x v="19"/>
    <n v="4"/>
    <n v="12"/>
    <x v="2"/>
  </r>
  <r>
    <x v="2031"/>
    <x v="8"/>
    <n v="2"/>
    <n v="33.6"/>
    <n v="67.2"/>
    <d v="2025-03-16T00:00:00"/>
    <d v="2025-03-16T00:00:00"/>
    <x v="1"/>
    <x v="0"/>
    <n v="3"/>
    <x v="0"/>
    <x v="19"/>
    <n v="0"/>
    <n v="12"/>
    <x v="1"/>
  </r>
  <r>
    <x v="2032"/>
    <x v="2"/>
    <n v="7"/>
    <n v="61.4"/>
    <n v="429.8"/>
    <d v="2025-03-16T00:00:00"/>
    <d v="2025-03-17T00:00:00"/>
    <x v="1"/>
    <x v="4"/>
    <n v="4"/>
    <x v="0"/>
    <x v="19"/>
    <n v="1"/>
    <n v="12"/>
    <x v="1"/>
  </r>
  <r>
    <x v="2033"/>
    <x v="8"/>
    <n v="2"/>
    <n v="17.5"/>
    <n v="35"/>
    <d v="2025-03-16T00:00:00"/>
    <d v="2025-03-19T00:00:00"/>
    <x v="2"/>
    <x v="0"/>
    <n v="4"/>
    <x v="0"/>
    <x v="21"/>
    <n v="3"/>
    <n v="12"/>
    <x v="2"/>
  </r>
  <r>
    <x v="2034"/>
    <x v="8"/>
    <n v="2"/>
    <n v="32.5"/>
    <n v="65"/>
    <d v="2025-03-16T00:00:00"/>
    <d v="2025-03-19T00:00:00"/>
    <x v="2"/>
    <x v="1"/>
    <n v="4"/>
    <x v="0"/>
    <x v="21"/>
    <n v="3"/>
    <n v="12"/>
    <x v="2"/>
  </r>
  <r>
    <x v="2035"/>
    <x v="4"/>
    <n v="1"/>
    <n v="34.6"/>
    <n v="34.6"/>
    <d v="2025-03-16T00:00:00"/>
    <d v="2025-03-17T00:00:00"/>
    <x v="2"/>
    <x v="4"/>
    <n v="4"/>
    <x v="0"/>
    <x v="21"/>
    <n v="1"/>
    <n v="12"/>
    <x v="2"/>
  </r>
  <r>
    <x v="2036"/>
    <x v="2"/>
    <n v="1"/>
    <n v="75.900000000000006"/>
    <n v="75.900000000000006"/>
    <d v="2025-03-16T00:00:00"/>
    <d v="2025-03-16T00:00:00"/>
    <x v="1"/>
    <x v="1"/>
    <n v="5"/>
    <x v="0"/>
    <x v="21"/>
    <n v="0"/>
    <n v="12"/>
    <x v="1"/>
  </r>
  <r>
    <x v="2037"/>
    <x v="1"/>
    <n v="3"/>
    <n v="42.1"/>
    <n v="126.30000000000001"/>
    <d v="2025-03-16T00:00:00"/>
    <d v="2025-03-19T00:00:00"/>
    <x v="1"/>
    <x v="1"/>
    <n v="3"/>
    <x v="0"/>
    <x v="21"/>
    <n v="3"/>
    <n v="12"/>
    <x v="1"/>
  </r>
  <r>
    <x v="2038"/>
    <x v="7"/>
    <n v="3"/>
    <n v="65.3"/>
    <n v="195.89999999999998"/>
    <d v="2025-03-16T00:00:00"/>
    <d v="2025-03-23T00:00:00"/>
    <x v="1"/>
    <x v="0"/>
    <n v="4"/>
    <x v="0"/>
    <x v="1"/>
    <n v="7"/>
    <n v="12"/>
    <x v="1"/>
  </r>
  <r>
    <x v="2039"/>
    <x v="15"/>
    <n v="1"/>
    <n v="20.6"/>
    <n v="20.6"/>
    <d v="2025-03-16T00:00:00"/>
    <d v="2025-03-19T00:00:00"/>
    <x v="1"/>
    <x v="3"/>
    <n v="4"/>
    <x v="0"/>
    <x v="42"/>
    <n v="3"/>
    <n v="12"/>
    <x v="1"/>
  </r>
  <r>
    <x v="2040"/>
    <x v="8"/>
    <n v="7"/>
    <n v="16.5"/>
    <n v="115.5"/>
    <d v="2025-03-16T00:00:00"/>
    <d v="2025-03-17T00:00:00"/>
    <x v="1"/>
    <x v="1"/>
    <n v="3"/>
    <x v="0"/>
    <x v="2"/>
    <n v="1"/>
    <n v="12"/>
    <x v="1"/>
  </r>
  <r>
    <x v="2041"/>
    <x v="16"/>
    <n v="10"/>
    <n v="36.200000000000003"/>
    <n v="362"/>
    <d v="2025-03-16T00:00:00"/>
    <d v="2025-03-18T00:00:00"/>
    <x v="1"/>
    <x v="0"/>
    <n v="5"/>
    <x v="0"/>
    <x v="2"/>
    <n v="2"/>
    <n v="12"/>
    <x v="1"/>
  </r>
  <r>
    <x v="2042"/>
    <x v="6"/>
    <n v="1"/>
    <n v="53.2"/>
    <n v="53.2"/>
    <d v="2025-03-16T00:00:00"/>
    <d v="2025-03-17T00:00:00"/>
    <x v="2"/>
    <x v="0"/>
    <n v="3"/>
    <x v="0"/>
    <x v="22"/>
    <n v="1"/>
    <n v="12"/>
    <x v="2"/>
  </r>
  <r>
    <x v="2043"/>
    <x v="2"/>
    <n v="14"/>
    <n v="176"/>
    <n v="2464"/>
    <d v="2025-03-16T00:00:00"/>
    <d v="2025-03-17T00:00:00"/>
    <x v="2"/>
    <x v="0"/>
    <n v="3"/>
    <x v="0"/>
    <x v="3"/>
    <n v="1"/>
    <n v="12"/>
    <x v="2"/>
  </r>
  <r>
    <x v="2044"/>
    <x v="1"/>
    <n v="1"/>
    <n v="52.4"/>
    <n v="52.4"/>
    <d v="2025-03-16T00:00:00"/>
    <d v="2025-03-17T00:00:00"/>
    <x v="1"/>
    <x v="1"/>
    <n v="4"/>
    <x v="0"/>
    <x v="3"/>
    <n v="1"/>
    <n v="12"/>
    <x v="1"/>
  </r>
  <r>
    <x v="2045"/>
    <x v="10"/>
    <n v="3"/>
    <n v="48.2"/>
    <n v="144.60000000000002"/>
    <d v="2025-03-16T00:00:00"/>
    <d v="2025-03-17T00:00:00"/>
    <x v="2"/>
    <x v="1"/>
    <n v="5"/>
    <x v="0"/>
    <x v="3"/>
    <n v="1"/>
    <n v="12"/>
    <x v="2"/>
  </r>
  <r>
    <x v="2046"/>
    <x v="15"/>
    <n v="1"/>
    <n v="51.6"/>
    <n v="51.6"/>
    <d v="2025-03-16T00:00:00"/>
    <d v="2025-03-20T00:00:00"/>
    <x v="2"/>
    <x v="2"/>
    <n v="3"/>
    <x v="0"/>
    <x v="3"/>
    <n v="4"/>
    <n v="12"/>
    <x v="2"/>
  </r>
  <r>
    <x v="2047"/>
    <x v="0"/>
    <n v="4"/>
    <n v="33.700000000000003"/>
    <n v="134.80000000000001"/>
    <d v="2025-03-17T00:00:00"/>
    <d v="2025-03-18T00:00:00"/>
    <x v="1"/>
    <x v="0"/>
    <n v="4"/>
    <x v="0"/>
    <x v="3"/>
    <n v="1"/>
    <n v="12"/>
    <x v="1"/>
  </r>
  <r>
    <x v="2048"/>
    <x v="4"/>
    <n v="10"/>
    <n v="36.299999999999997"/>
    <n v="363"/>
    <d v="2025-03-17T00:00:00"/>
    <d v="2025-03-19T00:00:00"/>
    <x v="2"/>
    <x v="4"/>
    <n v="3"/>
    <x v="0"/>
    <x v="3"/>
    <n v="2"/>
    <n v="12"/>
    <x v="2"/>
  </r>
  <r>
    <x v="2049"/>
    <x v="8"/>
    <n v="1"/>
    <n v="23.4"/>
    <n v="23.4"/>
    <d v="2025-03-17T00:00:00"/>
    <d v="2025-03-22T00:00:00"/>
    <x v="2"/>
    <x v="1"/>
    <n v="5"/>
    <x v="0"/>
    <x v="3"/>
    <n v="5"/>
    <n v="12"/>
    <x v="2"/>
  </r>
  <r>
    <x v="2050"/>
    <x v="15"/>
    <n v="8"/>
    <n v="56.6"/>
    <n v="452.8"/>
    <d v="2025-03-17T00:00:00"/>
    <d v="2025-03-19T00:00:00"/>
    <x v="2"/>
    <x v="1"/>
    <n v="4"/>
    <x v="0"/>
    <x v="3"/>
    <n v="2"/>
    <n v="12"/>
    <x v="2"/>
  </r>
  <r>
    <x v="2051"/>
    <x v="15"/>
    <n v="2"/>
    <n v="26.8"/>
    <n v="53.6"/>
    <d v="2025-03-17T00:00:00"/>
    <d v="2025-03-18T00:00:00"/>
    <x v="1"/>
    <x v="0"/>
    <n v="4"/>
    <x v="0"/>
    <x v="4"/>
    <n v="1"/>
    <n v="12"/>
    <x v="1"/>
  </r>
  <r>
    <x v="2052"/>
    <x v="0"/>
    <n v="3"/>
    <n v="11.3"/>
    <n v="33.900000000000006"/>
    <d v="2025-03-17T00:00:00"/>
    <d v="2025-03-19T00:00:00"/>
    <x v="1"/>
    <x v="2"/>
    <n v="4"/>
    <x v="0"/>
    <x v="25"/>
    <n v="2"/>
    <n v="12"/>
    <x v="1"/>
  </r>
  <r>
    <x v="2053"/>
    <x v="6"/>
    <n v="3"/>
    <n v="60.1"/>
    <n v="180.3"/>
    <d v="2025-03-17T00:00:00"/>
    <d v="2025-03-20T00:00:00"/>
    <x v="2"/>
    <x v="0"/>
    <n v="4"/>
    <x v="0"/>
    <x v="7"/>
    <n v="3"/>
    <n v="12"/>
    <x v="2"/>
  </r>
  <r>
    <x v="2054"/>
    <x v="0"/>
    <n v="11"/>
    <n v="27.7"/>
    <n v="304.7"/>
    <d v="2025-03-17T00:00:00"/>
    <d v="2025-03-22T00:00:00"/>
    <x v="2"/>
    <x v="0"/>
    <n v="4"/>
    <x v="0"/>
    <x v="8"/>
    <n v="5"/>
    <n v="12"/>
    <x v="2"/>
  </r>
  <r>
    <x v="2055"/>
    <x v="15"/>
    <n v="1"/>
    <n v="71.400000000000006"/>
    <n v="71.400000000000006"/>
    <d v="2025-03-17T00:00:00"/>
    <d v="2025-03-20T00:00:00"/>
    <x v="1"/>
    <x v="0"/>
    <n v="5"/>
    <x v="0"/>
    <x v="8"/>
    <n v="3"/>
    <n v="12"/>
    <x v="1"/>
  </r>
  <r>
    <x v="2056"/>
    <x v="2"/>
    <n v="2"/>
    <n v="66.7"/>
    <n v="133.4"/>
    <d v="2025-03-17T00:00:00"/>
    <d v="2025-03-18T00:00:00"/>
    <x v="2"/>
    <x v="0"/>
    <n v="5"/>
    <x v="0"/>
    <x v="8"/>
    <n v="1"/>
    <n v="12"/>
    <x v="2"/>
  </r>
  <r>
    <x v="2057"/>
    <x v="13"/>
    <n v="5"/>
    <n v="39.1"/>
    <n v="195.5"/>
    <d v="2025-03-17T00:00:00"/>
    <d v="2025-03-18T00:00:00"/>
    <x v="2"/>
    <x v="0"/>
    <n v="4"/>
    <x v="0"/>
    <x v="8"/>
    <n v="1"/>
    <n v="12"/>
    <x v="2"/>
  </r>
  <r>
    <x v="2058"/>
    <x v="8"/>
    <n v="4"/>
    <n v="24.9"/>
    <n v="99.6"/>
    <d v="2025-03-17T00:00:00"/>
    <d v="2025-03-22T00:00:00"/>
    <x v="1"/>
    <x v="1"/>
    <n v="5"/>
    <x v="0"/>
    <x v="8"/>
    <n v="5"/>
    <n v="12"/>
    <x v="1"/>
  </r>
  <r>
    <x v="2059"/>
    <x v="5"/>
    <n v="5"/>
    <n v="29.2"/>
    <n v="146"/>
    <d v="2025-03-17T00:00:00"/>
    <d v="2025-03-18T00:00:00"/>
    <x v="1"/>
    <x v="0"/>
    <n v="5"/>
    <x v="0"/>
    <x v="17"/>
    <n v="1"/>
    <n v="12"/>
    <x v="1"/>
  </r>
  <r>
    <x v="2060"/>
    <x v="13"/>
    <n v="14"/>
    <n v="28.3"/>
    <n v="396.2"/>
    <d v="2025-03-17T00:00:00"/>
    <d v="2025-03-19T00:00:00"/>
    <x v="2"/>
    <x v="1"/>
    <n v="4"/>
    <x v="0"/>
    <x v="11"/>
    <n v="2"/>
    <n v="12"/>
    <x v="2"/>
  </r>
  <r>
    <x v="2061"/>
    <x v="9"/>
    <n v="3"/>
    <n v="37.799999999999997"/>
    <n v="113.39999999999999"/>
    <d v="2025-03-17T00:00:00"/>
    <d v="2025-03-18T00:00:00"/>
    <x v="2"/>
    <x v="0"/>
    <n v="3"/>
    <x v="0"/>
    <x v="11"/>
    <n v="1"/>
    <n v="12"/>
    <x v="2"/>
  </r>
  <r>
    <x v="2062"/>
    <x v="14"/>
    <n v="7"/>
    <n v="28.1"/>
    <n v="196.70000000000002"/>
    <d v="2025-03-17T00:00:00"/>
    <d v="2025-03-23T00:00:00"/>
    <x v="2"/>
    <x v="2"/>
    <n v="4"/>
    <x v="0"/>
    <x v="11"/>
    <n v="6"/>
    <n v="12"/>
    <x v="2"/>
  </r>
  <r>
    <x v="2063"/>
    <x v="1"/>
    <n v="3"/>
    <n v="59.7"/>
    <n v="179.10000000000002"/>
    <d v="2025-03-17T00:00:00"/>
    <d v="2025-03-19T00:00:00"/>
    <x v="2"/>
    <x v="2"/>
    <n v="4"/>
    <x v="0"/>
    <x v="11"/>
    <n v="2"/>
    <n v="12"/>
    <x v="2"/>
  </r>
  <r>
    <x v="2064"/>
    <x v="16"/>
    <n v="1"/>
    <n v="71.900000000000006"/>
    <n v="71.900000000000006"/>
    <d v="2025-03-17T00:00:00"/>
    <d v="2025-03-18T00:00:00"/>
    <x v="1"/>
    <x v="1"/>
    <n v="3"/>
    <x v="0"/>
    <x v="11"/>
    <n v="1"/>
    <n v="12"/>
    <x v="1"/>
  </r>
  <r>
    <x v="2065"/>
    <x v="1"/>
    <n v="2"/>
    <n v="56.9"/>
    <n v="113.8"/>
    <d v="2025-03-17T00:00:00"/>
    <d v="2025-03-18T00:00:00"/>
    <x v="1"/>
    <x v="2"/>
    <n v="4"/>
    <x v="0"/>
    <x v="13"/>
    <n v="1"/>
    <n v="12"/>
    <x v="1"/>
  </r>
  <r>
    <x v="2066"/>
    <x v="8"/>
    <n v="2"/>
    <n v="15.8"/>
    <n v="31.6"/>
    <d v="2025-03-17T00:00:00"/>
    <d v="2025-03-20T00:00:00"/>
    <x v="2"/>
    <x v="2"/>
    <n v="3"/>
    <x v="0"/>
    <x v="1"/>
    <n v="3"/>
    <n v="12"/>
    <x v="2"/>
  </r>
  <r>
    <x v="2067"/>
    <x v="11"/>
    <n v="4"/>
    <n v="61.7"/>
    <n v="246.8"/>
    <d v="2025-03-17T00:00:00"/>
    <d v="2025-03-19T00:00:00"/>
    <x v="2"/>
    <x v="2"/>
    <n v="4"/>
    <x v="0"/>
    <x v="22"/>
    <n v="2"/>
    <n v="12"/>
    <x v="2"/>
  </r>
  <r>
    <x v="2068"/>
    <x v="2"/>
    <n v="10"/>
    <n v="105.2"/>
    <n v="1052"/>
    <d v="2025-03-17T00:00:00"/>
    <d v="2025-03-19T00:00:00"/>
    <x v="1"/>
    <x v="1"/>
    <n v="2"/>
    <x v="0"/>
    <x v="3"/>
    <n v="2"/>
    <n v="12"/>
    <x v="1"/>
  </r>
  <r>
    <x v="2069"/>
    <x v="0"/>
    <n v="2"/>
    <n v="17"/>
    <n v="34"/>
    <d v="2025-03-17T00:00:00"/>
    <d v="2025-03-19T00:00:00"/>
    <x v="2"/>
    <x v="2"/>
    <n v="4"/>
    <x v="0"/>
    <x v="3"/>
    <n v="2"/>
    <n v="12"/>
    <x v="2"/>
  </r>
  <r>
    <x v="2070"/>
    <x v="6"/>
    <n v="3"/>
    <n v="84.1"/>
    <n v="252.29999999999998"/>
    <d v="2025-03-17T00:00:00"/>
    <d v="2025-03-18T00:00:00"/>
    <x v="1"/>
    <x v="2"/>
    <n v="4"/>
    <x v="0"/>
    <x v="3"/>
    <n v="1"/>
    <n v="12"/>
    <x v="1"/>
  </r>
  <r>
    <x v="2071"/>
    <x v="3"/>
    <n v="4"/>
    <n v="59.5"/>
    <n v="238"/>
    <d v="2025-03-17T00:00:00"/>
    <d v="2025-03-22T00:00:00"/>
    <x v="1"/>
    <x v="0"/>
    <n v="5"/>
    <x v="0"/>
    <x v="3"/>
    <n v="5"/>
    <n v="12"/>
    <x v="1"/>
  </r>
  <r>
    <x v="2072"/>
    <x v="8"/>
    <n v="2"/>
    <n v="57.5"/>
    <n v="115"/>
    <d v="2025-03-17T00:00:00"/>
    <d v="2025-03-19T00:00:00"/>
    <x v="1"/>
    <x v="1"/>
    <n v="5"/>
    <x v="0"/>
    <x v="3"/>
    <n v="2"/>
    <n v="12"/>
    <x v="1"/>
  </r>
  <r>
    <x v="2073"/>
    <x v="8"/>
    <n v="1"/>
    <n v="34.299999999999997"/>
    <n v="34.299999999999997"/>
    <d v="2025-03-17T00:00:00"/>
    <d v="2025-03-18T00:00:00"/>
    <x v="2"/>
    <x v="4"/>
    <n v="5"/>
    <x v="0"/>
    <x v="3"/>
    <n v="1"/>
    <n v="12"/>
    <x v="2"/>
  </r>
  <r>
    <x v="2074"/>
    <x v="5"/>
    <n v="2"/>
    <n v="27.8"/>
    <n v="55.6"/>
    <d v="2025-03-18T00:00:00"/>
    <d v="2025-03-20T00:00:00"/>
    <x v="2"/>
    <x v="0"/>
    <n v="4"/>
    <x v="0"/>
    <x v="3"/>
    <n v="2"/>
    <n v="12"/>
    <x v="2"/>
  </r>
  <r>
    <x v="2075"/>
    <x v="12"/>
    <n v="2"/>
    <n v="85"/>
    <n v="170"/>
    <d v="2025-03-18T00:00:00"/>
    <d v="2025-03-18T00:00:00"/>
    <x v="1"/>
    <x v="2"/>
    <n v="5"/>
    <x v="0"/>
    <x v="3"/>
    <n v="0"/>
    <n v="12"/>
    <x v="1"/>
  </r>
  <r>
    <x v="2076"/>
    <x v="6"/>
    <n v="2"/>
    <n v="95"/>
    <n v="190"/>
    <d v="2025-03-18T00:00:00"/>
    <d v="2025-03-20T00:00:00"/>
    <x v="2"/>
    <x v="0"/>
    <n v="4"/>
    <x v="0"/>
    <x v="3"/>
    <n v="2"/>
    <n v="12"/>
    <x v="2"/>
  </r>
  <r>
    <x v="2077"/>
    <x v="16"/>
    <n v="2"/>
    <n v="32"/>
    <n v="64"/>
    <d v="2025-03-18T00:00:00"/>
    <d v="2025-03-20T00:00:00"/>
    <x v="1"/>
    <x v="0"/>
    <n v="3"/>
    <x v="0"/>
    <x v="3"/>
    <n v="2"/>
    <n v="12"/>
    <x v="1"/>
  </r>
  <r>
    <x v="2078"/>
    <x v="2"/>
    <n v="2"/>
    <n v="65.2"/>
    <n v="130.4"/>
    <d v="2025-03-18T00:00:00"/>
    <d v="2025-03-19T00:00:00"/>
    <x v="2"/>
    <x v="1"/>
    <n v="4"/>
    <x v="0"/>
    <x v="3"/>
    <n v="1"/>
    <n v="12"/>
    <x v="2"/>
  </r>
  <r>
    <x v="2079"/>
    <x v="17"/>
    <n v="4"/>
    <n v="22"/>
    <n v="88"/>
    <d v="2025-03-18T00:00:00"/>
    <d v="2025-03-19T00:00:00"/>
    <x v="1"/>
    <x v="1"/>
    <n v="5"/>
    <x v="0"/>
    <x v="3"/>
    <n v="1"/>
    <n v="12"/>
    <x v="1"/>
  </r>
  <r>
    <x v="2080"/>
    <x v="15"/>
    <n v="3"/>
    <n v="69.400000000000006"/>
    <n v="208.20000000000002"/>
    <d v="2025-03-18T00:00:00"/>
    <d v="2025-03-21T00:00:00"/>
    <x v="1"/>
    <x v="1"/>
    <n v="5"/>
    <x v="0"/>
    <x v="3"/>
    <n v="3"/>
    <n v="12"/>
    <x v="1"/>
  </r>
  <r>
    <x v="2081"/>
    <x v="10"/>
    <n v="6"/>
    <n v="31.5"/>
    <n v="189"/>
    <d v="2025-03-18T00:00:00"/>
    <d v="2025-03-20T00:00:00"/>
    <x v="2"/>
    <x v="0"/>
    <n v="5"/>
    <x v="0"/>
    <x v="3"/>
    <n v="2"/>
    <n v="12"/>
    <x v="2"/>
  </r>
  <r>
    <x v="2082"/>
    <x v="6"/>
    <n v="1"/>
    <n v="45.8"/>
    <n v="45.8"/>
    <d v="2025-03-18T00:00:00"/>
    <d v="2025-03-22T00:00:00"/>
    <x v="3"/>
    <x v="0"/>
    <n v="4"/>
    <x v="0"/>
    <x v="3"/>
    <n v="4"/>
    <n v="12"/>
    <x v="3"/>
  </r>
  <r>
    <x v="2083"/>
    <x v="19"/>
    <n v="4"/>
    <n v="12.8"/>
    <n v="51.2"/>
    <d v="2025-03-18T00:00:00"/>
    <d v="2025-03-25T00:00:00"/>
    <x v="2"/>
    <x v="1"/>
    <n v="3"/>
    <x v="0"/>
    <x v="5"/>
    <n v="7"/>
    <n v="12"/>
    <x v="2"/>
  </r>
  <r>
    <x v="2084"/>
    <x v="5"/>
    <n v="3"/>
    <n v="115.3"/>
    <n v="345.9"/>
    <d v="2025-03-18T00:00:00"/>
    <d v="2025-03-19T00:00:00"/>
    <x v="2"/>
    <x v="2"/>
    <n v="5"/>
    <x v="0"/>
    <x v="6"/>
    <n v="1"/>
    <n v="12"/>
    <x v="2"/>
  </r>
  <r>
    <x v="2085"/>
    <x v="5"/>
    <n v="2"/>
    <n v="85"/>
    <n v="170"/>
    <d v="2025-03-18T00:00:00"/>
    <d v="2025-03-20T00:00:00"/>
    <x v="2"/>
    <x v="1"/>
    <n v="4"/>
    <x v="0"/>
    <x v="7"/>
    <n v="2"/>
    <n v="12"/>
    <x v="2"/>
  </r>
  <r>
    <x v="2086"/>
    <x v="8"/>
    <n v="3"/>
    <n v="56.6"/>
    <n v="169.8"/>
    <d v="2025-03-18T00:00:00"/>
    <d v="2025-03-19T00:00:00"/>
    <x v="2"/>
    <x v="1"/>
    <n v="5"/>
    <x v="0"/>
    <x v="7"/>
    <n v="1"/>
    <n v="12"/>
    <x v="2"/>
  </r>
  <r>
    <x v="2087"/>
    <x v="15"/>
    <n v="27"/>
    <n v="46.3"/>
    <n v="1250.0999999999999"/>
    <d v="2025-03-18T00:00:00"/>
    <d v="2025-03-21T00:00:00"/>
    <x v="1"/>
    <x v="0"/>
    <n v="4"/>
    <x v="0"/>
    <x v="7"/>
    <n v="3"/>
    <n v="12"/>
    <x v="1"/>
  </r>
  <r>
    <x v="2088"/>
    <x v="14"/>
    <n v="4"/>
    <n v="23"/>
    <n v="92"/>
    <d v="2025-03-18T00:00:00"/>
    <d v="2025-03-22T00:00:00"/>
    <x v="1"/>
    <x v="3"/>
    <n v="5"/>
    <x v="0"/>
    <x v="7"/>
    <n v="4"/>
    <n v="12"/>
    <x v="1"/>
  </r>
  <r>
    <x v="2089"/>
    <x v="8"/>
    <n v="6"/>
    <n v="42.1"/>
    <n v="252.60000000000002"/>
    <d v="2025-03-18T00:00:00"/>
    <d v="2025-03-20T00:00:00"/>
    <x v="1"/>
    <x v="4"/>
    <n v="4"/>
    <x v="0"/>
    <x v="8"/>
    <n v="2"/>
    <n v="12"/>
    <x v="1"/>
  </r>
  <r>
    <x v="2090"/>
    <x v="5"/>
    <n v="7"/>
    <n v="57.4"/>
    <n v="401.8"/>
    <d v="2025-03-18T00:00:00"/>
    <d v="2025-03-22T00:00:00"/>
    <x v="2"/>
    <x v="1"/>
    <n v="2"/>
    <x v="0"/>
    <x v="8"/>
    <n v="4"/>
    <n v="12"/>
    <x v="2"/>
  </r>
  <r>
    <x v="2091"/>
    <x v="0"/>
    <n v="6"/>
    <n v="13.2"/>
    <n v="79.199999999999989"/>
    <d v="2025-03-18T00:00:00"/>
    <d v="2025-03-22T00:00:00"/>
    <x v="1"/>
    <x v="2"/>
    <n v="4"/>
    <x v="0"/>
    <x v="8"/>
    <n v="4"/>
    <n v="12"/>
    <x v="1"/>
  </r>
  <r>
    <x v="2092"/>
    <x v="6"/>
    <n v="3"/>
    <n v="52.3"/>
    <n v="156.89999999999998"/>
    <d v="2025-03-18T00:00:00"/>
    <d v="2025-03-19T00:00:00"/>
    <x v="1"/>
    <x v="1"/>
    <n v="4"/>
    <x v="0"/>
    <x v="8"/>
    <n v="1"/>
    <n v="12"/>
    <x v="1"/>
  </r>
  <r>
    <x v="2093"/>
    <x v="8"/>
    <n v="2"/>
    <n v="15.7"/>
    <n v="31.4"/>
    <d v="2025-03-18T00:00:00"/>
    <d v="2025-03-21T00:00:00"/>
    <x v="1"/>
    <x v="1"/>
    <n v="5"/>
    <x v="0"/>
    <x v="8"/>
    <n v="3"/>
    <n v="12"/>
    <x v="1"/>
  </r>
  <r>
    <x v="2094"/>
    <x v="7"/>
    <n v="3"/>
    <n v="35"/>
    <n v="105"/>
    <d v="2025-03-18T00:00:00"/>
    <d v="2025-03-21T00:00:00"/>
    <x v="2"/>
    <x v="1"/>
    <n v="5"/>
    <x v="0"/>
    <x v="9"/>
    <n v="3"/>
    <n v="12"/>
    <x v="2"/>
  </r>
  <r>
    <x v="2095"/>
    <x v="4"/>
    <n v="3"/>
    <n v="26.6"/>
    <n v="79.800000000000011"/>
    <d v="2025-03-18T00:00:00"/>
    <d v="2025-03-18T00:00:00"/>
    <x v="1"/>
    <x v="1"/>
    <n v="5"/>
    <x v="0"/>
    <x v="11"/>
    <n v="0"/>
    <n v="12"/>
    <x v="1"/>
  </r>
  <r>
    <x v="2096"/>
    <x v="4"/>
    <n v="8"/>
    <n v="47.9"/>
    <n v="383.2"/>
    <d v="2025-03-19T00:00:00"/>
    <d v="2025-03-20T00:00:00"/>
    <x v="2"/>
    <x v="3"/>
    <n v="5"/>
    <x v="0"/>
    <x v="20"/>
    <n v="1"/>
    <n v="12"/>
    <x v="2"/>
  </r>
  <r>
    <x v="2097"/>
    <x v="5"/>
    <n v="1"/>
    <n v="80.099999999999994"/>
    <n v="80.099999999999994"/>
    <d v="2025-03-19T00:00:00"/>
    <d v="2025-03-20T00:00:00"/>
    <x v="1"/>
    <x v="2"/>
    <n v="4"/>
    <x v="0"/>
    <x v="21"/>
    <n v="1"/>
    <n v="12"/>
    <x v="1"/>
  </r>
  <r>
    <x v="2098"/>
    <x v="6"/>
    <n v="5"/>
    <n v="50.4"/>
    <n v="252"/>
    <d v="2025-03-19T00:00:00"/>
    <d v="2025-03-20T00:00:00"/>
    <x v="1"/>
    <x v="1"/>
    <n v="5"/>
    <x v="0"/>
    <x v="21"/>
    <n v="1"/>
    <n v="12"/>
    <x v="1"/>
  </r>
  <r>
    <x v="2099"/>
    <x v="10"/>
    <n v="7"/>
    <n v="43.3"/>
    <n v="303.09999999999997"/>
    <d v="2025-03-19T00:00:00"/>
    <d v="2025-03-20T00:00:00"/>
    <x v="1"/>
    <x v="2"/>
    <n v="4"/>
    <x v="0"/>
    <x v="21"/>
    <n v="1"/>
    <n v="12"/>
    <x v="1"/>
  </r>
  <r>
    <x v="2100"/>
    <x v="10"/>
    <n v="4"/>
    <n v="57.5"/>
    <n v="230"/>
    <d v="2025-03-19T00:00:00"/>
    <d v="2025-03-20T00:00:00"/>
    <x v="2"/>
    <x v="1"/>
    <n v="5"/>
    <x v="0"/>
    <x v="1"/>
    <n v="1"/>
    <n v="12"/>
    <x v="2"/>
  </r>
  <r>
    <x v="2101"/>
    <x v="9"/>
    <n v="13"/>
    <n v="24.8"/>
    <n v="322.40000000000003"/>
    <d v="2025-03-19T00:00:00"/>
    <d v="2025-03-20T00:00:00"/>
    <x v="1"/>
    <x v="0"/>
    <n v="4"/>
    <x v="0"/>
    <x v="57"/>
    <n v="1"/>
    <n v="12"/>
    <x v="1"/>
  </r>
  <r>
    <x v="2102"/>
    <x v="2"/>
    <n v="9"/>
    <n v="85.7"/>
    <n v="771.30000000000007"/>
    <d v="2025-03-19T00:00:00"/>
    <d v="2025-03-20T00:00:00"/>
    <x v="2"/>
    <x v="0"/>
    <n v="4"/>
    <x v="0"/>
    <x v="42"/>
    <n v="1"/>
    <n v="12"/>
    <x v="2"/>
  </r>
  <r>
    <x v="2103"/>
    <x v="7"/>
    <n v="1"/>
    <n v="47.1"/>
    <n v="47.1"/>
    <d v="2025-03-19T00:00:00"/>
    <d v="2025-03-21T00:00:00"/>
    <x v="2"/>
    <x v="0"/>
    <n v="4"/>
    <x v="0"/>
    <x v="2"/>
    <n v="2"/>
    <n v="12"/>
    <x v="2"/>
  </r>
  <r>
    <x v="2104"/>
    <x v="5"/>
    <n v="10"/>
    <n v="83.2"/>
    <n v="832"/>
    <d v="2025-03-19T00:00:00"/>
    <d v="2025-03-23T00:00:00"/>
    <x v="2"/>
    <x v="0"/>
    <n v="4"/>
    <x v="0"/>
    <x v="33"/>
    <n v="4"/>
    <n v="12"/>
    <x v="2"/>
  </r>
  <r>
    <x v="2105"/>
    <x v="2"/>
    <n v="3"/>
    <n v="157"/>
    <n v="471"/>
    <d v="2025-03-19T00:00:00"/>
    <d v="2025-03-21T00:00:00"/>
    <x v="2"/>
    <x v="0"/>
    <n v="5"/>
    <x v="0"/>
    <x v="22"/>
    <n v="2"/>
    <n v="12"/>
    <x v="2"/>
  </r>
  <r>
    <x v="2106"/>
    <x v="16"/>
    <n v="4"/>
    <n v="33.700000000000003"/>
    <n v="134.80000000000001"/>
    <d v="2025-03-19T00:00:00"/>
    <d v="2025-03-20T00:00:00"/>
    <x v="1"/>
    <x v="2"/>
    <n v="5"/>
    <x v="0"/>
    <x v="22"/>
    <n v="1"/>
    <n v="12"/>
    <x v="1"/>
  </r>
  <r>
    <x v="2107"/>
    <x v="2"/>
    <n v="3"/>
    <n v="60.8"/>
    <n v="182.39999999999998"/>
    <d v="2025-03-19T00:00:00"/>
    <d v="2025-03-23T00:00:00"/>
    <x v="2"/>
    <x v="1"/>
    <n v="3"/>
    <x v="0"/>
    <x v="3"/>
    <n v="4"/>
    <n v="12"/>
    <x v="2"/>
  </r>
  <r>
    <x v="2108"/>
    <x v="7"/>
    <n v="1"/>
    <n v="57.6"/>
    <n v="57.6"/>
    <d v="2025-03-19T00:00:00"/>
    <d v="2025-03-20T00:00:00"/>
    <x v="1"/>
    <x v="1"/>
    <n v="2"/>
    <x v="0"/>
    <x v="3"/>
    <n v="1"/>
    <n v="12"/>
    <x v="1"/>
  </r>
  <r>
    <x v="2109"/>
    <x v="10"/>
    <n v="1"/>
    <n v="32"/>
    <n v="32"/>
    <d v="2025-03-19T00:00:00"/>
    <d v="2025-03-21T00:00:00"/>
    <x v="1"/>
    <x v="0"/>
    <n v="4"/>
    <x v="0"/>
    <x v="3"/>
    <n v="2"/>
    <n v="12"/>
    <x v="1"/>
  </r>
  <r>
    <x v="2110"/>
    <x v="10"/>
    <n v="4"/>
    <n v="23.5"/>
    <n v="94"/>
    <d v="2025-03-19T00:00:00"/>
    <d v="2025-03-20T00:00:00"/>
    <x v="2"/>
    <x v="0"/>
    <n v="5"/>
    <x v="0"/>
    <x v="3"/>
    <n v="1"/>
    <n v="12"/>
    <x v="2"/>
  </r>
  <r>
    <x v="2111"/>
    <x v="12"/>
    <n v="3"/>
    <n v="44.8"/>
    <n v="134.39999999999998"/>
    <d v="2025-03-19T00:00:00"/>
    <d v="2025-03-20T00:00:00"/>
    <x v="3"/>
    <x v="4"/>
    <n v="4"/>
    <x v="0"/>
    <x v="3"/>
    <n v="1"/>
    <n v="12"/>
    <x v="3"/>
  </r>
  <r>
    <x v="2112"/>
    <x v="0"/>
    <n v="8"/>
    <n v="11.7"/>
    <n v="93.6"/>
    <d v="2025-03-19T00:00:00"/>
    <d v="2025-03-20T00:00:00"/>
    <x v="1"/>
    <x v="2"/>
    <n v="5"/>
    <x v="0"/>
    <x v="3"/>
    <n v="1"/>
    <n v="12"/>
    <x v="1"/>
  </r>
  <r>
    <x v="2113"/>
    <x v="7"/>
    <n v="2"/>
    <n v="38.799999999999997"/>
    <n v="77.599999999999994"/>
    <d v="2025-03-19T00:00:00"/>
    <d v="2025-03-22T00:00:00"/>
    <x v="2"/>
    <x v="2"/>
    <n v="4"/>
    <x v="0"/>
    <x v="3"/>
    <n v="3"/>
    <n v="12"/>
    <x v="2"/>
  </r>
  <r>
    <x v="2114"/>
    <x v="5"/>
    <n v="14"/>
    <n v="86.9"/>
    <n v="1216.6000000000001"/>
    <d v="2025-03-19T00:00:00"/>
    <d v="2025-03-24T00:00:00"/>
    <x v="2"/>
    <x v="1"/>
    <n v="4"/>
    <x v="0"/>
    <x v="3"/>
    <n v="5"/>
    <n v="12"/>
    <x v="2"/>
  </r>
  <r>
    <x v="2115"/>
    <x v="8"/>
    <n v="1"/>
    <n v="18.3"/>
    <n v="18.3"/>
    <d v="2025-03-19T00:00:00"/>
    <d v="2025-03-20T00:00:00"/>
    <x v="2"/>
    <x v="0"/>
    <n v="4"/>
    <x v="0"/>
    <x v="3"/>
    <n v="1"/>
    <n v="12"/>
    <x v="2"/>
  </r>
  <r>
    <x v="2116"/>
    <x v="5"/>
    <n v="1"/>
    <n v="47.5"/>
    <n v="47.5"/>
    <d v="2025-03-19T00:00:00"/>
    <d v="2025-03-23T00:00:00"/>
    <x v="1"/>
    <x v="4"/>
    <n v="5"/>
    <x v="0"/>
    <x v="3"/>
    <n v="4"/>
    <n v="12"/>
    <x v="1"/>
  </r>
  <r>
    <x v="2117"/>
    <x v="1"/>
    <n v="2"/>
    <n v="78.599999999999994"/>
    <n v="157.19999999999999"/>
    <d v="2025-03-19T00:00:00"/>
    <d v="2025-03-20T00:00:00"/>
    <x v="1"/>
    <x v="2"/>
    <n v="5"/>
    <x v="0"/>
    <x v="3"/>
    <n v="1"/>
    <n v="12"/>
    <x v="1"/>
  </r>
  <r>
    <x v="2118"/>
    <x v="6"/>
    <n v="4"/>
    <n v="87.3"/>
    <n v="349.2"/>
    <d v="2025-03-19T00:00:00"/>
    <d v="2025-03-20T00:00:00"/>
    <x v="1"/>
    <x v="0"/>
    <n v="4"/>
    <x v="0"/>
    <x v="3"/>
    <n v="1"/>
    <n v="12"/>
    <x v="1"/>
  </r>
  <r>
    <x v="2119"/>
    <x v="9"/>
    <n v="2"/>
    <n v="63.2"/>
    <n v="126.4"/>
    <d v="2025-03-19T00:00:00"/>
    <d v="2025-03-19T00:00:00"/>
    <x v="1"/>
    <x v="4"/>
    <n v="3"/>
    <x v="0"/>
    <x v="3"/>
    <n v="0"/>
    <n v="12"/>
    <x v="1"/>
  </r>
  <r>
    <x v="2120"/>
    <x v="5"/>
    <n v="5"/>
    <n v="33.700000000000003"/>
    <n v="168.5"/>
    <d v="2025-03-19T00:00:00"/>
    <d v="2025-03-20T00:00:00"/>
    <x v="2"/>
    <x v="0"/>
    <n v="4"/>
    <x v="0"/>
    <x v="3"/>
    <n v="1"/>
    <n v="12"/>
    <x v="2"/>
  </r>
  <r>
    <x v="2121"/>
    <x v="2"/>
    <n v="3"/>
    <n v="107.4"/>
    <n v="322.20000000000005"/>
    <d v="2025-03-19T00:00:00"/>
    <d v="2025-04-01T00:00:00"/>
    <x v="2"/>
    <x v="1"/>
    <n v="5"/>
    <x v="0"/>
    <x v="3"/>
    <n v="13"/>
    <n v="12"/>
    <x v="2"/>
  </r>
  <r>
    <x v="2122"/>
    <x v="4"/>
    <n v="4"/>
    <n v="22.2"/>
    <n v="88.8"/>
    <d v="2025-03-19T00:00:00"/>
    <d v="2025-03-20T00:00:00"/>
    <x v="0"/>
    <x v="1"/>
    <n v="5"/>
    <x v="0"/>
    <x v="24"/>
    <n v="1"/>
    <n v="12"/>
    <x v="0"/>
  </r>
  <r>
    <x v="2123"/>
    <x v="18"/>
    <n v="3"/>
    <n v="52.8"/>
    <n v="158.39999999999998"/>
    <d v="2025-03-19T00:00:00"/>
    <d v="2025-03-20T00:00:00"/>
    <x v="1"/>
    <x v="3"/>
    <n v="5"/>
    <x v="0"/>
    <x v="24"/>
    <n v="1"/>
    <n v="12"/>
    <x v="1"/>
  </r>
  <r>
    <x v="2124"/>
    <x v="8"/>
    <n v="3"/>
    <n v="41.5"/>
    <n v="124.5"/>
    <d v="2025-03-19T00:00:00"/>
    <d v="2025-03-22T00:00:00"/>
    <x v="2"/>
    <x v="0"/>
    <n v="4"/>
    <x v="0"/>
    <x v="25"/>
    <n v="3"/>
    <n v="12"/>
    <x v="2"/>
  </r>
  <r>
    <x v="2125"/>
    <x v="12"/>
    <n v="8"/>
    <n v="103.5"/>
    <n v="828"/>
    <d v="2025-03-19T00:00:00"/>
    <d v="2025-03-22T00:00:00"/>
    <x v="2"/>
    <x v="0"/>
    <n v="5"/>
    <x v="0"/>
    <x v="23"/>
    <n v="3"/>
    <n v="12"/>
    <x v="2"/>
  </r>
  <r>
    <x v="2126"/>
    <x v="4"/>
    <n v="14"/>
    <n v="37.5"/>
    <n v="525"/>
    <d v="2025-03-19T00:00:00"/>
    <d v="2025-03-19T00:00:00"/>
    <x v="2"/>
    <x v="1"/>
    <n v="5"/>
    <x v="0"/>
    <x v="6"/>
    <n v="0"/>
    <n v="12"/>
    <x v="2"/>
  </r>
  <r>
    <x v="2127"/>
    <x v="15"/>
    <n v="8"/>
    <n v="44.4"/>
    <n v="355.2"/>
    <d v="2025-03-19T00:00:00"/>
    <d v="2025-03-25T00:00:00"/>
    <x v="2"/>
    <x v="3"/>
    <n v="5"/>
    <x v="0"/>
    <x v="7"/>
    <n v="6"/>
    <n v="12"/>
    <x v="2"/>
  </r>
  <r>
    <x v="2128"/>
    <x v="8"/>
    <n v="3"/>
    <n v="26.2"/>
    <n v="78.599999999999994"/>
    <d v="2025-03-19T00:00:00"/>
    <d v="2025-03-20T00:00:00"/>
    <x v="1"/>
    <x v="0"/>
    <n v="4"/>
    <x v="0"/>
    <x v="8"/>
    <n v="1"/>
    <n v="12"/>
    <x v="1"/>
  </r>
  <r>
    <x v="2129"/>
    <x v="1"/>
    <n v="7"/>
    <n v="32.200000000000003"/>
    <n v="225.40000000000003"/>
    <d v="2025-03-19T00:00:00"/>
    <d v="2025-03-20T00:00:00"/>
    <x v="2"/>
    <x v="1"/>
    <n v="5"/>
    <x v="0"/>
    <x v="8"/>
    <n v="1"/>
    <n v="12"/>
    <x v="2"/>
  </r>
  <r>
    <x v="2130"/>
    <x v="8"/>
    <n v="1"/>
    <n v="17.399999999999999"/>
    <n v="17.399999999999999"/>
    <d v="2025-03-19T00:00:00"/>
    <d v="2025-03-23T00:00:00"/>
    <x v="0"/>
    <x v="2"/>
    <n v="3"/>
    <x v="0"/>
    <x v="8"/>
    <n v="4"/>
    <n v="12"/>
    <x v="0"/>
  </r>
  <r>
    <x v="2131"/>
    <x v="8"/>
    <n v="6"/>
    <n v="72.3"/>
    <n v="433.79999999999995"/>
    <d v="2025-03-19T00:00:00"/>
    <d v="2025-03-22T00:00:00"/>
    <x v="2"/>
    <x v="0"/>
    <n v="4"/>
    <x v="0"/>
    <x v="8"/>
    <n v="3"/>
    <n v="12"/>
    <x v="2"/>
  </r>
  <r>
    <x v="2132"/>
    <x v="8"/>
    <n v="11"/>
    <n v="24.3"/>
    <n v="267.3"/>
    <d v="2025-03-19T00:00:00"/>
    <d v="2025-03-20T00:00:00"/>
    <x v="1"/>
    <x v="0"/>
    <n v="4"/>
    <x v="0"/>
    <x v="8"/>
    <n v="1"/>
    <n v="12"/>
    <x v="1"/>
  </r>
  <r>
    <x v="2133"/>
    <x v="13"/>
    <n v="3"/>
    <n v="49.1"/>
    <n v="147.30000000000001"/>
    <d v="2025-03-19T00:00:00"/>
    <d v="2025-03-25T00:00:00"/>
    <x v="1"/>
    <x v="2"/>
    <n v="2"/>
    <x v="0"/>
    <x v="8"/>
    <n v="6"/>
    <n v="12"/>
    <x v="1"/>
  </r>
  <r>
    <x v="2134"/>
    <x v="2"/>
    <n v="10"/>
    <n v="234.7"/>
    <n v="2347"/>
    <d v="2025-03-19T00:00:00"/>
    <d v="2025-03-20T00:00:00"/>
    <x v="1"/>
    <x v="3"/>
    <n v="3"/>
    <x v="0"/>
    <x v="8"/>
    <n v="1"/>
    <n v="12"/>
    <x v="1"/>
  </r>
  <r>
    <x v="2135"/>
    <x v="3"/>
    <n v="5"/>
    <n v="76.099999999999994"/>
    <n v="380.5"/>
    <d v="2025-03-19T00:00:00"/>
    <d v="2025-03-21T00:00:00"/>
    <x v="1"/>
    <x v="1"/>
    <n v="3"/>
    <x v="0"/>
    <x v="17"/>
    <n v="2"/>
    <n v="12"/>
    <x v="1"/>
  </r>
  <r>
    <x v="2136"/>
    <x v="1"/>
    <n v="3"/>
    <n v="93.9"/>
    <n v="281.70000000000005"/>
    <d v="2025-03-19T00:00:00"/>
    <d v="2025-03-20T00:00:00"/>
    <x v="1"/>
    <x v="1"/>
    <n v="2"/>
    <x v="0"/>
    <x v="11"/>
    <n v="1"/>
    <n v="12"/>
    <x v="1"/>
  </r>
  <r>
    <x v="2137"/>
    <x v="2"/>
    <n v="4"/>
    <n v="187"/>
    <n v="748"/>
    <d v="2025-03-20T00:00:00"/>
    <d v="2025-03-23T00:00:00"/>
    <x v="1"/>
    <x v="0"/>
    <n v="4"/>
    <x v="0"/>
    <x v="11"/>
    <n v="3"/>
    <n v="12"/>
    <x v="1"/>
  </r>
  <r>
    <x v="2138"/>
    <x v="8"/>
    <n v="2"/>
    <n v="18"/>
    <n v="36"/>
    <d v="2025-03-20T00:00:00"/>
    <d v="2025-03-21T00:00:00"/>
    <x v="2"/>
    <x v="1"/>
    <n v="5"/>
    <x v="0"/>
    <x v="53"/>
    <n v="1"/>
    <n v="12"/>
    <x v="2"/>
  </r>
  <r>
    <x v="2139"/>
    <x v="4"/>
    <n v="1"/>
    <n v="24.4"/>
    <n v="24.4"/>
    <d v="2025-03-20T00:00:00"/>
    <d v="2025-03-21T00:00:00"/>
    <x v="2"/>
    <x v="4"/>
    <n v="5"/>
    <x v="0"/>
    <x v="21"/>
    <n v="1"/>
    <n v="12"/>
    <x v="2"/>
  </r>
  <r>
    <x v="2140"/>
    <x v="10"/>
    <n v="2"/>
    <n v="38.799999999999997"/>
    <n v="77.599999999999994"/>
    <d v="2025-03-20T00:00:00"/>
    <d v="2025-03-21T00:00:00"/>
    <x v="1"/>
    <x v="4"/>
    <n v="3"/>
    <x v="0"/>
    <x v="3"/>
    <n v="1"/>
    <n v="12"/>
    <x v="1"/>
  </r>
  <r>
    <x v="2141"/>
    <x v="3"/>
    <n v="1"/>
    <n v="59.7"/>
    <n v="59.7"/>
    <d v="2025-03-20T00:00:00"/>
    <d v="2025-03-23T00:00:00"/>
    <x v="1"/>
    <x v="3"/>
    <n v="4"/>
    <x v="0"/>
    <x v="3"/>
    <n v="3"/>
    <n v="12"/>
    <x v="1"/>
  </r>
  <r>
    <x v="2142"/>
    <x v="7"/>
    <n v="1"/>
    <n v="31.2"/>
    <n v="31.2"/>
    <d v="2025-03-20T00:00:00"/>
    <d v="2025-03-21T00:00:00"/>
    <x v="1"/>
    <x v="1"/>
    <n v="5"/>
    <x v="0"/>
    <x v="3"/>
    <n v="1"/>
    <n v="12"/>
    <x v="1"/>
  </r>
  <r>
    <x v="2143"/>
    <x v="0"/>
    <n v="1"/>
    <n v="16.8"/>
    <n v="16.8"/>
    <d v="2025-03-20T00:00:00"/>
    <d v="2025-03-21T00:00:00"/>
    <x v="2"/>
    <x v="2"/>
    <n v="3"/>
    <x v="0"/>
    <x v="3"/>
    <n v="1"/>
    <n v="12"/>
    <x v="2"/>
  </r>
  <r>
    <x v="2144"/>
    <x v="8"/>
    <n v="1"/>
    <n v="46"/>
    <n v="46"/>
    <d v="2025-03-20T00:00:00"/>
    <d v="2025-03-21T00:00:00"/>
    <x v="1"/>
    <x v="0"/>
    <n v="4"/>
    <x v="0"/>
    <x v="3"/>
    <n v="1"/>
    <n v="12"/>
    <x v="1"/>
  </r>
  <r>
    <x v="2145"/>
    <x v="9"/>
    <n v="8"/>
    <n v="42.2"/>
    <n v="337.6"/>
    <d v="2025-03-20T00:00:00"/>
    <d v="2025-03-23T00:00:00"/>
    <x v="2"/>
    <x v="3"/>
    <n v="5"/>
    <x v="0"/>
    <x v="3"/>
    <n v="3"/>
    <n v="12"/>
    <x v="2"/>
  </r>
  <r>
    <x v="2146"/>
    <x v="1"/>
    <n v="3"/>
    <n v="71.5"/>
    <n v="214.5"/>
    <d v="2025-03-20T00:00:00"/>
    <d v="2025-04-03T00:00:00"/>
    <x v="2"/>
    <x v="0"/>
    <n v="4"/>
    <x v="0"/>
    <x v="3"/>
    <n v="14"/>
    <n v="12"/>
    <x v="2"/>
  </r>
  <r>
    <x v="2147"/>
    <x v="1"/>
    <n v="2"/>
    <n v="76.599999999999994"/>
    <n v="153.19999999999999"/>
    <d v="2025-03-20T00:00:00"/>
    <d v="2025-03-20T00:00:00"/>
    <x v="1"/>
    <x v="0"/>
    <n v="5"/>
    <x v="0"/>
    <x v="3"/>
    <n v="0"/>
    <n v="12"/>
    <x v="1"/>
  </r>
  <r>
    <x v="2148"/>
    <x v="12"/>
    <n v="2"/>
    <n v="87.3"/>
    <n v="174.6"/>
    <d v="2025-03-20T00:00:00"/>
    <d v="2025-03-28T00:00:00"/>
    <x v="2"/>
    <x v="3"/>
    <n v="5"/>
    <x v="0"/>
    <x v="3"/>
    <n v="8"/>
    <n v="12"/>
    <x v="2"/>
  </r>
  <r>
    <x v="2149"/>
    <x v="1"/>
    <n v="1"/>
    <n v="63"/>
    <n v="63"/>
    <d v="2025-03-20T00:00:00"/>
    <d v="2025-03-23T00:00:00"/>
    <x v="1"/>
    <x v="3"/>
    <n v="4"/>
    <x v="0"/>
    <x v="3"/>
    <n v="3"/>
    <n v="12"/>
    <x v="1"/>
  </r>
  <r>
    <x v="2150"/>
    <x v="8"/>
    <n v="2"/>
    <n v="41.7"/>
    <n v="83.4"/>
    <d v="2025-03-20T00:00:00"/>
    <d v="2025-03-21T00:00:00"/>
    <x v="2"/>
    <x v="4"/>
    <n v="3"/>
    <x v="0"/>
    <x v="43"/>
    <n v="1"/>
    <n v="12"/>
    <x v="2"/>
  </r>
  <r>
    <x v="2151"/>
    <x v="6"/>
    <n v="2"/>
    <n v="76.099999999999994"/>
    <n v="152.19999999999999"/>
    <d v="2025-03-20T00:00:00"/>
    <d v="2025-03-20T00:00:00"/>
    <x v="2"/>
    <x v="4"/>
    <n v="5"/>
    <x v="0"/>
    <x v="16"/>
    <n v="0"/>
    <n v="12"/>
    <x v="2"/>
  </r>
  <r>
    <x v="2152"/>
    <x v="13"/>
    <n v="2"/>
    <n v="28.5"/>
    <n v="57"/>
    <d v="2025-03-20T00:00:00"/>
    <d v="2025-03-21T00:00:00"/>
    <x v="2"/>
    <x v="0"/>
    <n v="5"/>
    <x v="0"/>
    <x v="4"/>
    <n v="1"/>
    <n v="12"/>
    <x v="2"/>
  </r>
  <r>
    <x v="2153"/>
    <x v="0"/>
    <n v="4"/>
    <n v="32.1"/>
    <n v="128.4"/>
    <d v="2025-03-20T00:00:00"/>
    <d v="2025-03-21T00:00:00"/>
    <x v="2"/>
    <x v="1"/>
    <n v="5"/>
    <x v="0"/>
    <x v="25"/>
    <n v="1"/>
    <n v="12"/>
    <x v="2"/>
  </r>
  <r>
    <x v="2154"/>
    <x v="4"/>
    <n v="3"/>
    <n v="39"/>
    <n v="117"/>
    <d v="2025-03-20T00:00:00"/>
    <d v="2025-03-23T00:00:00"/>
    <x v="1"/>
    <x v="1"/>
    <n v="5"/>
    <x v="0"/>
    <x v="25"/>
    <n v="3"/>
    <n v="12"/>
    <x v="1"/>
  </r>
  <r>
    <x v="2155"/>
    <x v="6"/>
    <n v="1"/>
    <n v="78.5"/>
    <n v="78.5"/>
    <d v="2025-03-20T00:00:00"/>
    <d v="2025-03-21T00:00:00"/>
    <x v="1"/>
    <x v="1"/>
    <n v="4"/>
    <x v="0"/>
    <x v="6"/>
    <n v="1"/>
    <n v="12"/>
    <x v="1"/>
  </r>
  <r>
    <x v="2156"/>
    <x v="4"/>
    <n v="5"/>
    <n v="49.7"/>
    <n v="248.5"/>
    <d v="2025-03-20T00:00:00"/>
    <d v="2025-03-22T00:00:00"/>
    <x v="2"/>
    <x v="0"/>
    <n v="4"/>
    <x v="0"/>
    <x v="6"/>
    <n v="2"/>
    <n v="12"/>
    <x v="2"/>
  </r>
  <r>
    <x v="2157"/>
    <x v="1"/>
    <n v="4"/>
    <n v="68.400000000000006"/>
    <n v="273.60000000000002"/>
    <d v="2025-03-20T00:00:00"/>
    <d v="2025-03-21T00:00:00"/>
    <x v="2"/>
    <x v="2"/>
    <n v="5"/>
    <x v="0"/>
    <x v="7"/>
    <n v="1"/>
    <n v="12"/>
    <x v="2"/>
  </r>
  <r>
    <x v="2158"/>
    <x v="3"/>
    <n v="2"/>
    <n v="72.900000000000006"/>
    <n v="145.80000000000001"/>
    <d v="2025-03-20T00:00:00"/>
    <d v="2025-03-23T00:00:00"/>
    <x v="0"/>
    <x v="0"/>
    <n v="5"/>
    <x v="0"/>
    <x v="7"/>
    <n v="3"/>
    <n v="12"/>
    <x v="0"/>
  </r>
  <r>
    <x v="2159"/>
    <x v="5"/>
    <n v="13"/>
    <n v="30.3"/>
    <n v="393.90000000000003"/>
    <d v="2025-03-20T00:00:00"/>
    <d v="2025-03-21T00:00:00"/>
    <x v="1"/>
    <x v="4"/>
    <n v="4"/>
    <x v="0"/>
    <x v="7"/>
    <n v="1"/>
    <n v="12"/>
    <x v="1"/>
  </r>
  <r>
    <x v="2160"/>
    <x v="6"/>
    <n v="11"/>
    <n v="57.9"/>
    <n v="636.9"/>
    <d v="2025-03-20T00:00:00"/>
    <d v="2025-03-21T00:00:00"/>
    <x v="2"/>
    <x v="0"/>
    <n v="4"/>
    <x v="0"/>
    <x v="8"/>
    <n v="1"/>
    <n v="12"/>
    <x v="2"/>
  </r>
  <r>
    <x v="2161"/>
    <x v="1"/>
    <n v="1"/>
    <n v="96.7"/>
    <n v="96.7"/>
    <d v="2025-03-20T00:00:00"/>
    <d v="2025-03-21T00:00:00"/>
    <x v="1"/>
    <x v="0"/>
    <n v="4"/>
    <x v="0"/>
    <x v="8"/>
    <n v="1"/>
    <n v="12"/>
    <x v="1"/>
  </r>
  <r>
    <x v="2162"/>
    <x v="8"/>
    <n v="12"/>
    <n v="27.6"/>
    <n v="331.20000000000005"/>
    <d v="2025-03-20T00:00:00"/>
    <d v="2025-03-22T00:00:00"/>
    <x v="1"/>
    <x v="2"/>
    <n v="5"/>
    <x v="0"/>
    <x v="8"/>
    <n v="2"/>
    <n v="12"/>
    <x v="1"/>
  </r>
  <r>
    <x v="2163"/>
    <x v="6"/>
    <n v="4"/>
    <n v="64.7"/>
    <n v="258.8"/>
    <d v="2025-03-20T00:00:00"/>
    <d v="2025-03-20T00:00:00"/>
    <x v="1"/>
    <x v="3"/>
    <n v="5"/>
    <x v="0"/>
    <x v="8"/>
    <n v="0"/>
    <n v="12"/>
    <x v="1"/>
  </r>
  <r>
    <x v="2164"/>
    <x v="10"/>
    <n v="6"/>
    <n v="30.5"/>
    <n v="183"/>
    <d v="2025-03-20T00:00:00"/>
    <d v="2025-03-21T00:00:00"/>
    <x v="1"/>
    <x v="4"/>
    <n v="4"/>
    <x v="0"/>
    <x v="8"/>
    <n v="1"/>
    <n v="12"/>
    <x v="1"/>
  </r>
  <r>
    <x v="2165"/>
    <x v="6"/>
    <n v="70"/>
    <n v="106"/>
    <n v="7420"/>
    <d v="2025-03-21T00:00:00"/>
    <d v="2025-03-23T00:00:00"/>
    <x v="1"/>
    <x v="4"/>
    <n v="5"/>
    <x v="0"/>
    <x v="8"/>
    <n v="2"/>
    <n v="12"/>
    <x v="1"/>
  </r>
  <r>
    <x v="2166"/>
    <x v="12"/>
    <n v="5"/>
    <n v="76.8"/>
    <n v="384"/>
    <d v="2025-03-21T00:00:00"/>
    <d v="2025-03-27T00:00:00"/>
    <x v="0"/>
    <x v="1"/>
    <n v="3"/>
    <x v="0"/>
    <x v="18"/>
    <n v="6"/>
    <n v="12"/>
    <x v="0"/>
  </r>
  <r>
    <x v="2167"/>
    <x v="6"/>
    <n v="2"/>
    <n v="80.400000000000006"/>
    <n v="160.80000000000001"/>
    <d v="2025-03-21T00:00:00"/>
    <d v="2025-03-22T00:00:00"/>
    <x v="2"/>
    <x v="2"/>
    <n v="4"/>
    <x v="0"/>
    <x v="13"/>
    <n v="1"/>
    <n v="12"/>
    <x v="2"/>
  </r>
  <r>
    <x v="2168"/>
    <x v="6"/>
    <n v="4"/>
    <n v="69.099999999999994"/>
    <n v="276.39999999999998"/>
    <d v="2025-03-21T00:00:00"/>
    <d v="2025-03-22T00:00:00"/>
    <x v="1"/>
    <x v="1"/>
    <n v="5"/>
    <x v="0"/>
    <x v="21"/>
    <n v="1"/>
    <n v="12"/>
    <x v="1"/>
  </r>
  <r>
    <x v="2169"/>
    <x v="18"/>
    <n v="2"/>
    <n v="76.400000000000006"/>
    <n v="152.80000000000001"/>
    <d v="2025-03-21T00:00:00"/>
    <d v="2025-03-21T00:00:00"/>
    <x v="1"/>
    <x v="3"/>
    <n v="4"/>
    <x v="0"/>
    <x v="21"/>
    <n v="0"/>
    <n v="12"/>
    <x v="1"/>
  </r>
  <r>
    <x v="2170"/>
    <x v="2"/>
    <n v="2"/>
    <n v="61.3"/>
    <n v="122.6"/>
    <d v="2025-03-21T00:00:00"/>
    <d v="2025-03-22T00:00:00"/>
    <x v="2"/>
    <x v="1"/>
    <n v="3"/>
    <x v="0"/>
    <x v="21"/>
    <n v="1"/>
    <n v="12"/>
    <x v="2"/>
  </r>
  <r>
    <x v="2171"/>
    <x v="7"/>
    <n v="1"/>
    <n v="58"/>
    <n v="58"/>
    <d v="2025-03-21T00:00:00"/>
    <d v="2025-03-22T00:00:00"/>
    <x v="1"/>
    <x v="3"/>
    <n v="3"/>
    <x v="0"/>
    <x v="1"/>
    <n v="1"/>
    <n v="12"/>
    <x v="1"/>
  </r>
  <r>
    <x v="2172"/>
    <x v="2"/>
    <n v="8"/>
    <n v="102.3"/>
    <n v="818.4"/>
    <d v="2025-03-21T00:00:00"/>
    <d v="2025-03-23T00:00:00"/>
    <x v="1"/>
    <x v="2"/>
    <n v="4"/>
    <x v="0"/>
    <x v="42"/>
    <n v="2"/>
    <n v="12"/>
    <x v="1"/>
  </r>
  <r>
    <x v="2173"/>
    <x v="19"/>
    <n v="2"/>
    <n v="13.8"/>
    <n v="27.6"/>
    <d v="2025-03-21T00:00:00"/>
    <d v="2025-03-22T00:00:00"/>
    <x v="2"/>
    <x v="4"/>
    <n v="5"/>
    <x v="0"/>
    <x v="2"/>
    <n v="1"/>
    <n v="12"/>
    <x v="2"/>
  </r>
  <r>
    <x v="2174"/>
    <x v="8"/>
    <n v="3"/>
    <n v="33.299999999999997"/>
    <n v="99.899999999999991"/>
    <d v="2025-03-21T00:00:00"/>
    <d v="2025-03-24T00:00:00"/>
    <x v="2"/>
    <x v="2"/>
    <n v="4"/>
    <x v="0"/>
    <x v="22"/>
    <n v="3"/>
    <n v="12"/>
    <x v="2"/>
  </r>
  <r>
    <x v="2175"/>
    <x v="10"/>
    <n v="1"/>
    <n v="27.4"/>
    <n v="27.4"/>
    <d v="2025-03-21T00:00:00"/>
    <d v="2025-03-24T00:00:00"/>
    <x v="1"/>
    <x v="0"/>
    <n v="5"/>
    <x v="0"/>
    <x v="22"/>
    <n v="3"/>
    <n v="12"/>
    <x v="1"/>
  </r>
  <r>
    <x v="2176"/>
    <x v="14"/>
    <n v="2"/>
    <n v="25.6"/>
    <n v="51.2"/>
    <d v="2025-03-21T00:00:00"/>
    <d v="2025-03-22T00:00:00"/>
    <x v="2"/>
    <x v="1"/>
    <n v="3"/>
    <x v="0"/>
    <x v="3"/>
    <n v="1"/>
    <n v="12"/>
    <x v="2"/>
  </r>
  <r>
    <x v="2177"/>
    <x v="13"/>
    <n v="1"/>
    <n v="58.4"/>
    <n v="58.4"/>
    <d v="2025-03-21T00:00:00"/>
    <d v="2025-03-22T00:00:00"/>
    <x v="2"/>
    <x v="2"/>
    <n v="5"/>
    <x v="0"/>
    <x v="3"/>
    <n v="1"/>
    <n v="12"/>
    <x v="2"/>
  </r>
  <r>
    <x v="2178"/>
    <x v="11"/>
    <n v="30"/>
    <n v="27"/>
    <n v="810"/>
    <d v="2025-03-21T00:00:00"/>
    <d v="2025-03-22T00:00:00"/>
    <x v="2"/>
    <x v="4"/>
    <n v="4"/>
    <x v="0"/>
    <x v="3"/>
    <n v="1"/>
    <n v="12"/>
    <x v="2"/>
  </r>
  <r>
    <x v="2179"/>
    <x v="0"/>
    <n v="4"/>
    <n v="14.2"/>
    <n v="56.8"/>
    <d v="2025-03-21T00:00:00"/>
    <d v="2025-03-22T00:00:00"/>
    <x v="1"/>
    <x v="0"/>
    <n v="5"/>
    <x v="0"/>
    <x v="3"/>
    <n v="1"/>
    <n v="12"/>
    <x v="1"/>
  </r>
  <r>
    <x v="2180"/>
    <x v="7"/>
    <n v="2"/>
    <n v="68"/>
    <n v="136"/>
    <d v="2025-03-21T00:00:00"/>
    <d v="2025-03-31T00:00:00"/>
    <x v="1"/>
    <x v="2"/>
    <n v="3"/>
    <x v="0"/>
    <x v="3"/>
    <n v="10"/>
    <n v="12"/>
    <x v="1"/>
  </r>
  <r>
    <x v="2181"/>
    <x v="8"/>
    <n v="1"/>
    <n v="30.7"/>
    <n v="30.7"/>
    <d v="2025-03-21T00:00:00"/>
    <d v="2025-03-22T00:00:00"/>
    <x v="1"/>
    <x v="0"/>
    <n v="4"/>
    <x v="0"/>
    <x v="3"/>
    <n v="1"/>
    <n v="12"/>
    <x v="1"/>
  </r>
  <r>
    <x v="2182"/>
    <x v="17"/>
    <n v="13"/>
    <n v="51.6"/>
    <n v="670.80000000000007"/>
    <d v="2025-03-21T00:00:00"/>
    <d v="2025-03-24T00:00:00"/>
    <x v="3"/>
    <x v="1"/>
    <n v="5"/>
    <x v="0"/>
    <x v="3"/>
    <n v="3"/>
    <n v="12"/>
    <x v="3"/>
  </r>
  <r>
    <x v="2183"/>
    <x v="8"/>
    <n v="3"/>
    <n v="20.6"/>
    <n v="61.800000000000004"/>
    <d v="2025-03-21T00:00:00"/>
    <d v="2025-03-25T00:00:00"/>
    <x v="2"/>
    <x v="4"/>
    <n v="5"/>
    <x v="0"/>
    <x v="3"/>
    <n v="4"/>
    <n v="12"/>
    <x v="2"/>
  </r>
  <r>
    <x v="2184"/>
    <x v="8"/>
    <n v="1"/>
    <n v="24.8"/>
    <n v="24.8"/>
    <d v="2025-03-21T00:00:00"/>
    <d v="2025-03-22T00:00:00"/>
    <x v="1"/>
    <x v="4"/>
    <n v="4"/>
    <x v="0"/>
    <x v="3"/>
    <n v="1"/>
    <n v="12"/>
    <x v="1"/>
  </r>
  <r>
    <x v="2185"/>
    <x v="0"/>
    <n v="7"/>
    <n v="11.2"/>
    <n v="78.399999999999991"/>
    <d v="2025-03-21T00:00:00"/>
    <d v="2025-03-24T00:00:00"/>
    <x v="1"/>
    <x v="1"/>
    <n v="4"/>
    <x v="0"/>
    <x v="3"/>
    <n v="3"/>
    <n v="12"/>
    <x v="1"/>
  </r>
  <r>
    <x v="2186"/>
    <x v="11"/>
    <n v="2"/>
    <n v="51.2"/>
    <n v="102.4"/>
    <d v="2025-03-21T00:00:00"/>
    <d v="2025-03-22T00:00:00"/>
    <x v="2"/>
    <x v="1"/>
    <n v="5"/>
    <x v="0"/>
    <x v="3"/>
    <n v="1"/>
    <n v="12"/>
    <x v="2"/>
  </r>
  <r>
    <x v="2187"/>
    <x v="7"/>
    <n v="6"/>
    <n v="90.5"/>
    <n v="543"/>
    <d v="2025-03-21T00:00:00"/>
    <d v="2025-03-22T00:00:00"/>
    <x v="2"/>
    <x v="1"/>
    <n v="2"/>
    <x v="0"/>
    <x v="3"/>
    <n v="1"/>
    <n v="12"/>
    <x v="2"/>
  </r>
  <r>
    <x v="2188"/>
    <x v="1"/>
    <n v="2"/>
    <n v="42.4"/>
    <n v="84.8"/>
    <d v="2025-03-21T00:00:00"/>
    <d v="2025-03-22T00:00:00"/>
    <x v="1"/>
    <x v="1"/>
    <n v="5"/>
    <x v="0"/>
    <x v="4"/>
    <n v="1"/>
    <n v="12"/>
    <x v="1"/>
  </r>
  <r>
    <x v="2189"/>
    <x v="1"/>
    <n v="2"/>
    <n v="38.200000000000003"/>
    <n v="76.400000000000006"/>
    <d v="2025-03-21T00:00:00"/>
    <d v="2025-03-22T00:00:00"/>
    <x v="1"/>
    <x v="0"/>
    <n v="4"/>
    <x v="0"/>
    <x v="5"/>
    <n v="1"/>
    <n v="12"/>
    <x v="1"/>
  </r>
  <r>
    <x v="2190"/>
    <x v="2"/>
    <n v="9"/>
    <n v="121.3"/>
    <n v="1091.7"/>
    <d v="2025-03-21T00:00:00"/>
    <d v="2025-03-26T00:00:00"/>
    <x v="1"/>
    <x v="0"/>
    <n v="4"/>
    <x v="0"/>
    <x v="6"/>
    <n v="5"/>
    <n v="12"/>
    <x v="1"/>
  </r>
  <r>
    <x v="2191"/>
    <x v="6"/>
    <n v="2"/>
    <n v="46.9"/>
    <n v="93.8"/>
    <d v="2025-03-21T00:00:00"/>
    <d v="2025-03-28T00:00:00"/>
    <x v="1"/>
    <x v="0"/>
    <n v="4"/>
    <x v="0"/>
    <x v="8"/>
    <n v="7"/>
    <n v="12"/>
    <x v="1"/>
  </r>
  <r>
    <x v="2192"/>
    <x v="10"/>
    <n v="1"/>
    <n v="55.3"/>
    <n v="55.3"/>
    <d v="2025-03-21T00:00:00"/>
    <d v="2025-03-23T00:00:00"/>
    <x v="1"/>
    <x v="0"/>
    <n v="4"/>
    <x v="0"/>
    <x v="8"/>
    <n v="2"/>
    <n v="12"/>
    <x v="1"/>
  </r>
  <r>
    <x v="2193"/>
    <x v="2"/>
    <n v="3"/>
    <n v="70.599999999999994"/>
    <n v="211.79999999999998"/>
    <d v="2025-03-22T00:00:00"/>
    <d v="2025-03-22T00:00:00"/>
    <x v="2"/>
    <x v="0"/>
    <n v="3"/>
    <x v="0"/>
    <x v="8"/>
    <n v="0"/>
    <n v="12"/>
    <x v="2"/>
  </r>
  <r>
    <x v="2194"/>
    <x v="14"/>
    <n v="4"/>
    <n v="26.1"/>
    <n v="104.4"/>
    <d v="2025-03-22T00:00:00"/>
    <d v="2025-03-24T00:00:00"/>
    <x v="1"/>
    <x v="0"/>
    <n v="4"/>
    <x v="0"/>
    <x v="8"/>
    <n v="2"/>
    <n v="12"/>
    <x v="1"/>
  </r>
  <r>
    <x v="2195"/>
    <x v="9"/>
    <n v="11"/>
    <n v="34.5"/>
    <n v="379.5"/>
    <d v="2025-03-22T00:00:00"/>
    <d v="2025-03-26T00:00:00"/>
    <x v="1"/>
    <x v="2"/>
    <n v="4"/>
    <x v="0"/>
    <x v="17"/>
    <n v="4"/>
    <n v="12"/>
    <x v="1"/>
  </r>
  <r>
    <x v="2196"/>
    <x v="1"/>
    <n v="2"/>
    <n v="64.2"/>
    <n v="128.4"/>
    <d v="2025-03-22T00:00:00"/>
    <d v="2025-03-23T00:00:00"/>
    <x v="2"/>
    <x v="0"/>
    <n v="3"/>
    <x v="0"/>
    <x v="17"/>
    <n v="1"/>
    <n v="12"/>
    <x v="2"/>
  </r>
  <r>
    <x v="2197"/>
    <x v="2"/>
    <n v="4"/>
    <n v="145.69999999999999"/>
    <n v="582.79999999999995"/>
    <d v="2025-03-22T00:00:00"/>
    <d v="2025-03-23T00:00:00"/>
    <x v="2"/>
    <x v="0"/>
    <n v="2"/>
    <x v="0"/>
    <x v="17"/>
    <n v="1"/>
    <n v="12"/>
    <x v="2"/>
  </r>
  <r>
    <x v="2198"/>
    <x v="12"/>
    <n v="2"/>
    <n v="78.5"/>
    <n v="157"/>
    <d v="2025-03-22T00:00:00"/>
    <d v="2025-03-23T00:00:00"/>
    <x v="1"/>
    <x v="2"/>
    <n v="4"/>
    <x v="0"/>
    <x v="26"/>
    <n v="1"/>
    <n v="12"/>
    <x v="1"/>
  </r>
  <r>
    <x v="2199"/>
    <x v="1"/>
    <n v="1"/>
    <n v="34.200000000000003"/>
    <n v="34.200000000000003"/>
    <d v="2025-03-22T00:00:00"/>
    <d v="2025-03-24T00:00:00"/>
    <x v="1"/>
    <x v="0"/>
    <n v="4"/>
    <x v="0"/>
    <x v="9"/>
    <n v="2"/>
    <n v="12"/>
    <x v="1"/>
  </r>
  <r>
    <x v="2200"/>
    <x v="19"/>
    <n v="1"/>
    <n v="26.2"/>
    <n v="26.2"/>
    <d v="2025-03-22T00:00:00"/>
    <d v="2025-03-23T00:00:00"/>
    <x v="1"/>
    <x v="2"/>
    <n v="4"/>
    <x v="0"/>
    <x v="9"/>
    <n v="1"/>
    <n v="12"/>
    <x v="1"/>
  </r>
  <r>
    <x v="2201"/>
    <x v="6"/>
    <n v="4"/>
    <n v="53.2"/>
    <n v="212.8"/>
    <d v="2025-03-22T00:00:00"/>
    <d v="2025-03-23T00:00:00"/>
    <x v="1"/>
    <x v="1"/>
    <n v="3"/>
    <x v="0"/>
    <x v="11"/>
    <n v="1"/>
    <n v="12"/>
    <x v="1"/>
  </r>
  <r>
    <x v="2202"/>
    <x v="1"/>
    <n v="1"/>
    <n v="35.4"/>
    <n v="35.4"/>
    <d v="2025-03-22T00:00:00"/>
    <d v="2025-03-26T00:00:00"/>
    <x v="1"/>
    <x v="1"/>
    <n v="2"/>
    <x v="0"/>
    <x v="18"/>
    <n v="4"/>
    <n v="12"/>
    <x v="1"/>
  </r>
  <r>
    <x v="2203"/>
    <x v="14"/>
    <n v="2"/>
    <n v="21.3"/>
    <n v="42.6"/>
    <d v="2025-03-22T00:00:00"/>
    <d v="2025-03-23T00:00:00"/>
    <x v="1"/>
    <x v="2"/>
    <n v="4"/>
    <x v="0"/>
    <x v="20"/>
    <n v="1"/>
    <n v="12"/>
    <x v="1"/>
  </r>
  <r>
    <x v="2204"/>
    <x v="8"/>
    <n v="4"/>
    <n v="32.9"/>
    <n v="131.6"/>
    <d v="2025-03-22T00:00:00"/>
    <d v="2025-03-25T00:00:00"/>
    <x v="2"/>
    <x v="4"/>
    <n v="5"/>
    <x v="0"/>
    <x v="21"/>
    <n v="3"/>
    <n v="12"/>
    <x v="2"/>
  </r>
  <r>
    <x v="2205"/>
    <x v="5"/>
    <n v="15"/>
    <n v="85.5"/>
    <n v="1282.5"/>
    <d v="2025-03-22T00:00:00"/>
    <d v="2025-03-24T00:00:00"/>
    <x v="2"/>
    <x v="3"/>
    <n v="3"/>
    <x v="0"/>
    <x v="21"/>
    <n v="2"/>
    <n v="12"/>
    <x v="2"/>
  </r>
  <r>
    <x v="2206"/>
    <x v="4"/>
    <n v="1"/>
    <n v="26.8"/>
    <n v="26.8"/>
    <d v="2025-03-22T00:00:00"/>
    <d v="2025-03-23T00:00:00"/>
    <x v="2"/>
    <x v="0"/>
    <n v="3"/>
    <x v="0"/>
    <x v="2"/>
    <n v="1"/>
    <n v="12"/>
    <x v="2"/>
  </r>
  <r>
    <x v="2207"/>
    <x v="9"/>
    <n v="26"/>
    <n v="31.7"/>
    <n v="824.19999999999993"/>
    <d v="2025-03-22T00:00:00"/>
    <d v="2025-03-22T00:00:00"/>
    <x v="2"/>
    <x v="3"/>
    <n v="4"/>
    <x v="0"/>
    <x v="2"/>
    <n v="0"/>
    <n v="12"/>
    <x v="2"/>
  </r>
  <r>
    <x v="2208"/>
    <x v="1"/>
    <n v="2"/>
    <n v="78.3"/>
    <n v="156.6"/>
    <d v="2025-03-22T00:00:00"/>
    <d v="2025-03-24T00:00:00"/>
    <x v="2"/>
    <x v="1"/>
    <n v="3"/>
    <x v="0"/>
    <x v="3"/>
    <n v="2"/>
    <n v="12"/>
    <x v="2"/>
  </r>
  <r>
    <x v="2209"/>
    <x v="6"/>
    <n v="1"/>
    <n v="43.9"/>
    <n v="43.9"/>
    <d v="2025-03-22T00:00:00"/>
    <d v="2025-03-23T00:00:00"/>
    <x v="1"/>
    <x v="0"/>
    <n v="4"/>
    <x v="0"/>
    <x v="3"/>
    <n v="1"/>
    <n v="12"/>
    <x v="1"/>
  </r>
  <r>
    <x v="2210"/>
    <x v="18"/>
    <n v="3"/>
    <n v="84"/>
    <n v="252"/>
    <d v="2025-03-22T00:00:00"/>
    <d v="2025-03-24T00:00:00"/>
    <x v="0"/>
    <x v="3"/>
    <n v="5"/>
    <x v="0"/>
    <x v="3"/>
    <n v="2"/>
    <n v="12"/>
    <x v="0"/>
  </r>
  <r>
    <x v="2211"/>
    <x v="0"/>
    <n v="3"/>
    <n v="11.4"/>
    <n v="34.200000000000003"/>
    <d v="2025-03-22T00:00:00"/>
    <d v="2025-03-23T00:00:00"/>
    <x v="1"/>
    <x v="4"/>
    <n v="4"/>
    <x v="0"/>
    <x v="3"/>
    <n v="1"/>
    <n v="12"/>
    <x v="1"/>
  </r>
  <r>
    <x v="2212"/>
    <x v="12"/>
    <n v="8"/>
    <n v="47.5"/>
    <n v="380"/>
    <d v="2025-03-22T00:00:00"/>
    <d v="2025-03-30T00:00:00"/>
    <x v="2"/>
    <x v="0"/>
    <n v="4"/>
    <x v="0"/>
    <x v="3"/>
    <n v="8"/>
    <n v="12"/>
    <x v="2"/>
  </r>
  <r>
    <x v="2213"/>
    <x v="9"/>
    <n v="11"/>
    <n v="50.5"/>
    <n v="555.5"/>
    <d v="2025-03-22T00:00:00"/>
    <d v="2025-03-24T00:00:00"/>
    <x v="1"/>
    <x v="2"/>
    <n v="4"/>
    <x v="0"/>
    <x v="3"/>
    <n v="2"/>
    <n v="12"/>
    <x v="1"/>
  </r>
  <r>
    <x v="2214"/>
    <x v="15"/>
    <n v="1"/>
    <n v="36.299999999999997"/>
    <n v="36.299999999999997"/>
    <d v="2025-03-22T00:00:00"/>
    <d v="2025-03-25T00:00:00"/>
    <x v="3"/>
    <x v="0"/>
    <n v="3"/>
    <x v="0"/>
    <x v="8"/>
    <n v="3"/>
    <n v="12"/>
    <x v="3"/>
  </r>
  <r>
    <x v="2215"/>
    <x v="8"/>
    <n v="2"/>
    <n v="35.4"/>
    <n v="70.8"/>
    <d v="2025-03-22T00:00:00"/>
    <d v="2025-03-23T00:00:00"/>
    <x v="2"/>
    <x v="0"/>
    <n v="4"/>
    <x v="0"/>
    <x v="17"/>
    <n v="1"/>
    <n v="12"/>
    <x v="2"/>
  </r>
  <r>
    <x v="2216"/>
    <x v="1"/>
    <n v="3"/>
    <n v="45.9"/>
    <n v="137.69999999999999"/>
    <d v="2025-03-23T00:00:00"/>
    <d v="2025-03-24T00:00:00"/>
    <x v="1"/>
    <x v="3"/>
    <n v="4"/>
    <x v="0"/>
    <x v="9"/>
    <n v="1"/>
    <n v="13"/>
    <x v="1"/>
  </r>
  <r>
    <x v="2217"/>
    <x v="6"/>
    <n v="10"/>
    <n v="41.2"/>
    <n v="412"/>
    <d v="2025-03-23T00:00:00"/>
    <d v="2025-03-27T00:00:00"/>
    <x v="1"/>
    <x v="0"/>
    <n v="4"/>
    <x v="0"/>
    <x v="11"/>
    <n v="4"/>
    <n v="13"/>
    <x v="1"/>
  </r>
  <r>
    <x v="2218"/>
    <x v="17"/>
    <n v="2"/>
    <n v="45.1"/>
    <n v="90.2"/>
    <d v="2025-03-23T00:00:00"/>
    <d v="2025-03-24T00:00:00"/>
    <x v="1"/>
    <x v="1"/>
    <n v="3"/>
    <x v="0"/>
    <x v="21"/>
    <n v="1"/>
    <n v="13"/>
    <x v="1"/>
  </r>
  <r>
    <x v="2219"/>
    <x v="6"/>
    <n v="10"/>
    <n v="63.6"/>
    <n v="636"/>
    <d v="2025-03-23T00:00:00"/>
    <d v="2025-03-23T00:00:00"/>
    <x v="1"/>
    <x v="2"/>
    <n v="4"/>
    <x v="0"/>
    <x v="1"/>
    <n v="0"/>
    <n v="13"/>
    <x v="1"/>
  </r>
  <r>
    <x v="2220"/>
    <x v="8"/>
    <n v="1"/>
    <n v="70.5"/>
    <n v="70.5"/>
    <d v="2025-03-23T00:00:00"/>
    <d v="2025-03-24T00:00:00"/>
    <x v="1"/>
    <x v="0"/>
    <n v="4"/>
    <x v="0"/>
    <x v="3"/>
    <n v="1"/>
    <n v="13"/>
    <x v="1"/>
  </r>
  <r>
    <x v="2221"/>
    <x v="6"/>
    <n v="1"/>
    <n v="41.3"/>
    <n v="41.3"/>
    <d v="2025-03-23T00:00:00"/>
    <d v="2025-03-23T00:00:00"/>
    <x v="1"/>
    <x v="4"/>
    <n v="4"/>
    <x v="0"/>
    <x v="3"/>
    <n v="0"/>
    <n v="13"/>
    <x v="1"/>
  </r>
  <r>
    <x v="2222"/>
    <x v="4"/>
    <n v="1"/>
    <n v="35.299999999999997"/>
    <n v="35.299999999999997"/>
    <d v="2025-03-23T00:00:00"/>
    <d v="2025-03-26T00:00:00"/>
    <x v="2"/>
    <x v="4"/>
    <n v="5"/>
    <x v="0"/>
    <x v="3"/>
    <n v="3"/>
    <n v="13"/>
    <x v="2"/>
  </r>
  <r>
    <x v="2223"/>
    <x v="8"/>
    <n v="5"/>
    <n v="34.700000000000003"/>
    <n v="173.5"/>
    <d v="2025-03-23T00:00:00"/>
    <d v="2025-03-24T00:00:00"/>
    <x v="2"/>
    <x v="0"/>
    <n v="5"/>
    <x v="0"/>
    <x v="3"/>
    <n v="1"/>
    <n v="13"/>
    <x v="2"/>
  </r>
  <r>
    <x v="2224"/>
    <x v="8"/>
    <n v="3"/>
    <n v="26.1"/>
    <n v="78.300000000000011"/>
    <d v="2025-03-23T00:00:00"/>
    <d v="2025-03-24T00:00:00"/>
    <x v="2"/>
    <x v="0"/>
    <n v="4"/>
    <x v="0"/>
    <x v="3"/>
    <n v="1"/>
    <n v="13"/>
    <x v="2"/>
  </r>
  <r>
    <x v="2225"/>
    <x v="9"/>
    <n v="5"/>
    <n v="22.6"/>
    <n v="113"/>
    <d v="2025-03-23T00:00:00"/>
    <d v="2025-03-23T00:00:00"/>
    <x v="2"/>
    <x v="1"/>
    <n v="5"/>
    <x v="0"/>
    <x v="3"/>
    <n v="0"/>
    <n v="13"/>
    <x v="2"/>
  </r>
  <r>
    <x v="2226"/>
    <x v="2"/>
    <n v="2"/>
    <n v="154.4"/>
    <n v="308.8"/>
    <d v="2025-03-23T00:00:00"/>
    <d v="2025-03-26T00:00:00"/>
    <x v="1"/>
    <x v="1"/>
    <n v="3"/>
    <x v="0"/>
    <x v="3"/>
    <n v="3"/>
    <n v="13"/>
    <x v="1"/>
  </r>
  <r>
    <x v="2227"/>
    <x v="8"/>
    <n v="2"/>
    <n v="18.399999999999999"/>
    <n v="36.799999999999997"/>
    <d v="2025-03-23T00:00:00"/>
    <d v="2025-03-24T00:00:00"/>
    <x v="1"/>
    <x v="0"/>
    <n v="4"/>
    <x v="0"/>
    <x v="3"/>
    <n v="1"/>
    <n v="13"/>
    <x v="1"/>
  </r>
  <r>
    <x v="2228"/>
    <x v="14"/>
    <n v="1"/>
    <n v="25"/>
    <n v="25"/>
    <d v="2025-03-23T00:00:00"/>
    <d v="2025-03-26T00:00:00"/>
    <x v="2"/>
    <x v="0"/>
    <n v="4"/>
    <x v="0"/>
    <x v="3"/>
    <n v="3"/>
    <n v="13"/>
    <x v="2"/>
  </r>
  <r>
    <x v="2229"/>
    <x v="2"/>
    <n v="6"/>
    <n v="105.6"/>
    <n v="633.59999999999991"/>
    <d v="2025-03-23T00:00:00"/>
    <d v="2025-03-23T00:00:00"/>
    <x v="2"/>
    <x v="0"/>
    <n v="4"/>
    <x v="0"/>
    <x v="3"/>
    <n v="0"/>
    <n v="13"/>
    <x v="2"/>
  </r>
  <r>
    <x v="2230"/>
    <x v="18"/>
    <n v="8"/>
    <n v="59.6"/>
    <n v="476.8"/>
    <d v="2025-03-23T00:00:00"/>
    <d v="2025-03-23T00:00:00"/>
    <x v="2"/>
    <x v="0"/>
    <n v="5"/>
    <x v="0"/>
    <x v="23"/>
    <n v="0"/>
    <n v="13"/>
    <x v="2"/>
  </r>
  <r>
    <x v="2231"/>
    <x v="15"/>
    <n v="3"/>
    <n v="75.400000000000006"/>
    <n v="226.20000000000002"/>
    <d v="2025-03-23T00:00:00"/>
    <d v="2025-03-28T00:00:00"/>
    <x v="1"/>
    <x v="0"/>
    <n v="3"/>
    <x v="0"/>
    <x v="7"/>
    <n v="5"/>
    <n v="13"/>
    <x v="1"/>
  </r>
  <r>
    <x v="2232"/>
    <x v="7"/>
    <n v="1"/>
    <n v="104.4"/>
    <n v="104.4"/>
    <d v="2025-03-23T00:00:00"/>
    <d v="2025-03-24T00:00:00"/>
    <x v="2"/>
    <x v="0"/>
    <n v="4"/>
    <x v="0"/>
    <x v="8"/>
    <n v="1"/>
    <n v="13"/>
    <x v="2"/>
  </r>
  <r>
    <x v="2233"/>
    <x v="2"/>
    <n v="10"/>
    <n v="208.2"/>
    <n v="2082"/>
    <d v="2025-03-23T00:00:00"/>
    <d v="2025-03-24T00:00:00"/>
    <x v="1"/>
    <x v="0"/>
    <n v="5"/>
    <x v="0"/>
    <x v="8"/>
    <n v="1"/>
    <n v="13"/>
    <x v="1"/>
  </r>
  <r>
    <x v="2234"/>
    <x v="6"/>
    <n v="2"/>
    <n v="45"/>
    <n v="90"/>
    <d v="2025-03-23T00:00:00"/>
    <d v="2025-03-26T00:00:00"/>
    <x v="2"/>
    <x v="0"/>
    <n v="4"/>
    <x v="0"/>
    <x v="10"/>
    <n v="3"/>
    <n v="13"/>
    <x v="2"/>
  </r>
  <r>
    <x v="2235"/>
    <x v="15"/>
    <n v="2"/>
    <n v="20.3"/>
    <n v="40.6"/>
    <d v="2025-03-24T00:00:00"/>
    <d v="2025-03-26T00:00:00"/>
    <x v="0"/>
    <x v="1"/>
    <n v="4"/>
    <x v="0"/>
    <x v="11"/>
    <n v="2"/>
    <n v="13"/>
    <x v="0"/>
  </r>
  <r>
    <x v="2236"/>
    <x v="2"/>
    <n v="3"/>
    <n v="94.4"/>
    <n v="283.20000000000005"/>
    <d v="2025-03-24T00:00:00"/>
    <d v="2025-03-25T00:00:00"/>
    <x v="2"/>
    <x v="0"/>
    <n v="5"/>
    <x v="0"/>
    <x v="11"/>
    <n v="1"/>
    <n v="13"/>
    <x v="2"/>
  </r>
  <r>
    <x v="2237"/>
    <x v="9"/>
    <n v="1"/>
    <n v="49"/>
    <n v="49"/>
    <d v="2025-03-24T00:00:00"/>
    <d v="2025-03-26T00:00:00"/>
    <x v="2"/>
    <x v="0"/>
    <n v="5"/>
    <x v="0"/>
    <x v="20"/>
    <n v="2"/>
    <n v="13"/>
    <x v="2"/>
  </r>
  <r>
    <x v="2238"/>
    <x v="4"/>
    <n v="2"/>
    <n v="27.2"/>
    <n v="54.4"/>
    <d v="2025-03-24T00:00:00"/>
    <d v="2025-03-26T00:00:00"/>
    <x v="1"/>
    <x v="0"/>
    <n v="5"/>
    <x v="0"/>
    <x v="1"/>
    <n v="2"/>
    <n v="13"/>
    <x v="1"/>
  </r>
  <r>
    <x v="2239"/>
    <x v="2"/>
    <n v="6"/>
    <n v="72.599999999999994"/>
    <n v="435.59999999999997"/>
    <d v="2025-03-24T00:00:00"/>
    <d v="2025-03-25T00:00:00"/>
    <x v="2"/>
    <x v="0"/>
    <n v="5"/>
    <x v="0"/>
    <x v="2"/>
    <n v="1"/>
    <n v="13"/>
    <x v="2"/>
  </r>
  <r>
    <x v="2240"/>
    <x v="15"/>
    <n v="4"/>
    <n v="62.4"/>
    <n v="249.6"/>
    <d v="2025-03-24T00:00:00"/>
    <d v="2025-03-25T00:00:00"/>
    <x v="2"/>
    <x v="0"/>
    <n v="4"/>
    <x v="0"/>
    <x v="3"/>
    <n v="1"/>
    <n v="13"/>
    <x v="2"/>
  </r>
  <r>
    <x v="2241"/>
    <x v="8"/>
    <n v="3"/>
    <n v="19.100000000000001"/>
    <n v="57.300000000000004"/>
    <d v="2025-03-24T00:00:00"/>
    <d v="2025-03-26T00:00:00"/>
    <x v="1"/>
    <x v="0"/>
    <n v="3"/>
    <x v="0"/>
    <x v="3"/>
    <n v="2"/>
    <n v="13"/>
    <x v="1"/>
  </r>
  <r>
    <x v="2242"/>
    <x v="10"/>
    <n v="1"/>
    <n v="29.6"/>
    <n v="29.6"/>
    <d v="2025-03-24T00:00:00"/>
    <d v="2025-03-28T00:00:00"/>
    <x v="1"/>
    <x v="0"/>
    <n v="2"/>
    <x v="0"/>
    <x v="3"/>
    <n v="4"/>
    <n v="13"/>
    <x v="1"/>
  </r>
  <r>
    <x v="2243"/>
    <x v="8"/>
    <n v="2"/>
    <n v="18.899999999999999"/>
    <n v="37.799999999999997"/>
    <d v="2025-03-24T00:00:00"/>
    <d v="2025-03-26T00:00:00"/>
    <x v="2"/>
    <x v="4"/>
    <n v="5"/>
    <x v="0"/>
    <x v="3"/>
    <n v="2"/>
    <n v="13"/>
    <x v="2"/>
  </r>
  <r>
    <x v="2244"/>
    <x v="10"/>
    <n v="5"/>
    <n v="41.4"/>
    <n v="207"/>
    <d v="2025-03-24T00:00:00"/>
    <d v="2025-03-25T00:00:00"/>
    <x v="1"/>
    <x v="3"/>
    <n v="4"/>
    <x v="0"/>
    <x v="3"/>
    <n v="1"/>
    <n v="13"/>
    <x v="1"/>
  </r>
  <r>
    <x v="2245"/>
    <x v="2"/>
    <n v="1"/>
    <n v="118.4"/>
    <n v="118.4"/>
    <d v="2025-03-24T00:00:00"/>
    <d v="2025-03-25T00:00:00"/>
    <x v="2"/>
    <x v="0"/>
    <n v="5"/>
    <x v="0"/>
    <x v="3"/>
    <n v="1"/>
    <n v="13"/>
    <x v="2"/>
  </r>
  <r>
    <x v="2246"/>
    <x v="2"/>
    <n v="2"/>
    <n v="125.3"/>
    <n v="250.6"/>
    <d v="2025-03-24T00:00:00"/>
    <d v="2025-03-27T00:00:00"/>
    <x v="2"/>
    <x v="0"/>
    <n v="5"/>
    <x v="0"/>
    <x v="3"/>
    <n v="3"/>
    <n v="13"/>
    <x v="2"/>
  </r>
  <r>
    <x v="2247"/>
    <x v="3"/>
    <n v="2"/>
    <n v="85.8"/>
    <n v="171.6"/>
    <d v="2025-03-24T00:00:00"/>
    <d v="2025-03-25T00:00:00"/>
    <x v="2"/>
    <x v="1"/>
    <n v="2"/>
    <x v="0"/>
    <x v="3"/>
    <n v="1"/>
    <n v="13"/>
    <x v="2"/>
  </r>
  <r>
    <x v="2248"/>
    <x v="6"/>
    <n v="1"/>
    <n v="44.2"/>
    <n v="44.2"/>
    <d v="2025-03-24T00:00:00"/>
    <d v="2025-03-27T00:00:00"/>
    <x v="1"/>
    <x v="1"/>
    <n v="4"/>
    <x v="0"/>
    <x v="3"/>
    <n v="3"/>
    <n v="13"/>
    <x v="1"/>
  </r>
  <r>
    <x v="2249"/>
    <x v="5"/>
    <n v="4"/>
    <n v="74.099999999999994"/>
    <n v="296.39999999999998"/>
    <d v="2025-03-24T00:00:00"/>
    <d v="2025-03-26T00:00:00"/>
    <x v="2"/>
    <x v="0"/>
    <n v="4"/>
    <x v="0"/>
    <x v="3"/>
    <n v="2"/>
    <n v="13"/>
    <x v="2"/>
  </r>
  <r>
    <x v="2250"/>
    <x v="8"/>
    <n v="1"/>
    <n v="33.799999999999997"/>
    <n v="33.799999999999997"/>
    <d v="2025-03-24T00:00:00"/>
    <d v="2025-03-25T00:00:00"/>
    <x v="2"/>
    <x v="2"/>
    <n v="5"/>
    <x v="0"/>
    <x v="24"/>
    <n v="1"/>
    <n v="13"/>
    <x v="2"/>
  </r>
  <r>
    <x v="2251"/>
    <x v="1"/>
    <n v="2"/>
    <n v="39.1"/>
    <n v="78.2"/>
    <d v="2025-03-24T00:00:00"/>
    <d v="2025-03-25T00:00:00"/>
    <x v="1"/>
    <x v="0"/>
    <n v="3"/>
    <x v="0"/>
    <x v="24"/>
    <n v="1"/>
    <n v="13"/>
    <x v="1"/>
  </r>
  <r>
    <x v="2252"/>
    <x v="0"/>
    <n v="1"/>
    <n v="37.200000000000003"/>
    <n v="37.200000000000003"/>
    <d v="2025-03-24T00:00:00"/>
    <d v="2025-03-25T00:00:00"/>
    <x v="1"/>
    <x v="0"/>
    <n v="3"/>
    <x v="0"/>
    <x v="16"/>
    <n v="1"/>
    <n v="13"/>
    <x v="1"/>
  </r>
  <r>
    <x v="2253"/>
    <x v="15"/>
    <n v="3"/>
    <n v="33.9"/>
    <n v="101.69999999999999"/>
    <d v="2025-03-24T00:00:00"/>
    <d v="2025-03-26T00:00:00"/>
    <x v="1"/>
    <x v="2"/>
    <n v="4"/>
    <x v="0"/>
    <x v="6"/>
    <n v="2"/>
    <n v="13"/>
    <x v="1"/>
  </r>
  <r>
    <x v="2254"/>
    <x v="7"/>
    <n v="15"/>
    <n v="73.3"/>
    <n v="1099.5"/>
    <d v="2025-03-24T00:00:00"/>
    <d v="2025-03-27T00:00:00"/>
    <x v="2"/>
    <x v="2"/>
    <n v="3"/>
    <x v="0"/>
    <x v="8"/>
    <n v="3"/>
    <n v="13"/>
    <x v="2"/>
  </r>
  <r>
    <x v="2255"/>
    <x v="8"/>
    <n v="4"/>
    <n v="35"/>
    <n v="140"/>
    <d v="2025-03-24T00:00:00"/>
    <d v="2025-03-26T00:00:00"/>
    <x v="2"/>
    <x v="1"/>
    <n v="4"/>
    <x v="0"/>
    <x v="8"/>
    <n v="2"/>
    <n v="13"/>
    <x v="2"/>
  </r>
  <r>
    <x v="2256"/>
    <x v="0"/>
    <n v="3"/>
    <n v="22.2"/>
    <n v="66.599999999999994"/>
    <d v="2025-03-24T00:00:00"/>
    <d v="2025-03-25T00:00:00"/>
    <x v="1"/>
    <x v="1"/>
    <n v="4"/>
    <x v="0"/>
    <x v="17"/>
    <n v="1"/>
    <n v="13"/>
    <x v="1"/>
  </r>
  <r>
    <x v="2257"/>
    <x v="10"/>
    <n v="1"/>
    <n v="32.4"/>
    <n v="32.4"/>
    <d v="2025-03-24T00:00:00"/>
    <d v="2025-03-25T00:00:00"/>
    <x v="2"/>
    <x v="0"/>
    <n v="4"/>
    <x v="0"/>
    <x v="11"/>
    <n v="1"/>
    <n v="13"/>
    <x v="2"/>
  </r>
  <r>
    <x v="2258"/>
    <x v="5"/>
    <n v="3"/>
    <n v="88.4"/>
    <n v="265.20000000000005"/>
    <d v="2025-03-25T00:00:00"/>
    <d v="2025-03-27T00:00:00"/>
    <x v="2"/>
    <x v="1"/>
    <n v="3"/>
    <x v="0"/>
    <x v="11"/>
    <n v="2"/>
    <n v="13"/>
    <x v="2"/>
  </r>
  <r>
    <x v="2259"/>
    <x v="5"/>
    <n v="16"/>
    <n v="30.5"/>
    <n v="488"/>
    <d v="2025-03-25T00:00:00"/>
    <d v="2025-03-26T00:00:00"/>
    <x v="2"/>
    <x v="2"/>
    <n v="4"/>
    <x v="0"/>
    <x v="11"/>
    <n v="1"/>
    <n v="13"/>
    <x v="2"/>
  </r>
  <r>
    <x v="2260"/>
    <x v="1"/>
    <n v="6"/>
    <n v="38.1"/>
    <n v="228.60000000000002"/>
    <d v="2025-03-25T00:00:00"/>
    <d v="2025-03-27T00:00:00"/>
    <x v="2"/>
    <x v="0"/>
    <n v="3"/>
    <x v="0"/>
    <x v="11"/>
    <n v="2"/>
    <n v="13"/>
    <x v="2"/>
  </r>
  <r>
    <x v="2261"/>
    <x v="10"/>
    <n v="5"/>
    <n v="37.6"/>
    <n v="188"/>
    <d v="2025-03-25T00:00:00"/>
    <d v="2025-03-29T00:00:00"/>
    <x v="1"/>
    <x v="0"/>
    <n v="4"/>
    <x v="0"/>
    <x v="11"/>
    <n v="4"/>
    <n v="13"/>
    <x v="1"/>
  </r>
  <r>
    <x v="2262"/>
    <x v="15"/>
    <n v="2"/>
    <n v="31.4"/>
    <n v="62.8"/>
    <d v="2025-03-25T00:00:00"/>
    <d v="2025-03-26T00:00:00"/>
    <x v="1"/>
    <x v="0"/>
    <n v="5"/>
    <x v="0"/>
    <x v="11"/>
    <n v="1"/>
    <n v="13"/>
    <x v="1"/>
  </r>
  <r>
    <x v="2263"/>
    <x v="6"/>
    <n v="2"/>
    <n v="61.5"/>
    <n v="123"/>
    <d v="2025-03-25T00:00:00"/>
    <d v="2025-03-26T00:00:00"/>
    <x v="1"/>
    <x v="3"/>
    <n v="4"/>
    <x v="0"/>
    <x v="31"/>
    <n v="1"/>
    <n v="13"/>
    <x v="1"/>
  </r>
  <r>
    <x v="2264"/>
    <x v="6"/>
    <n v="1"/>
    <n v="72.599999999999994"/>
    <n v="72.599999999999994"/>
    <d v="2025-03-25T00:00:00"/>
    <d v="2025-03-26T00:00:00"/>
    <x v="1"/>
    <x v="0"/>
    <n v="3"/>
    <x v="0"/>
    <x v="21"/>
    <n v="1"/>
    <n v="13"/>
    <x v="1"/>
  </r>
  <r>
    <x v="2265"/>
    <x v="9"/>
    <n v="3"/>
    <n v="26.9"/>
    <n v="80.699999999999989"/>
    <d v="2025-03-25T00:00:00"/>
    <d v="2025-03-30T00:00:00"/>
    <x v="3"/>
    <x v="4"/>
    <n v="3"/>
    <x v="0"/>
    <x v="46"/>
    <n v="5"/>
    <n v="13"/>
    <x v="3"/>
  </r>
  <r>
    <x v="2266"/>
    <x v="17"/>
    <n v="12"/>
    <n v="29.4"/>
    <n v="352.79999999999995"/>
    <d v="2025-03-25T00:00:00"/>
    <d v="2025-03-26T00:00:00"/>
    <x v="2"/>
    <x v="1"/>
    <n v="4"/>
    <x v="0"/>
    <x v="51"/>
    <n v="1"/>
    <n v="13"/>
    <x v="2"/>
  </r>
  <r>
    <x v="2267"/>
    <x v="17"/>
    <n v="2"/>
    <n v="42.1"/>
    <n v="84.2"/>
    <d v="2025-03-25T00:00:00"/>
    <d v="2025-03-26T00:00:00"/>
    <x v="2"/>
    <x v="3"/>
    <n v="3"/>
    <x v="0"/>
    <x v="1"/>
    <n v="1"/>
    <n v="13"/>
    <x v="2"/>
  </r>
  <r>
    <x v="2268"/>
    <x v="5"/>
    <n v="1"/>
    <n v="40.5"/>
    <n v="40.5"/>
    <d v="2025-03-25T00:00:00"/>
    <d v="2025-03-26T00:00:00"/>
    <x v="2"/>
    <x v="2"/>
    <n v="3"/>
    <x v="0"/>
    <x v="1"/>
    <n v="1"/>
    <n v="13"/>
    <x v="2"/>
  </r>
  <r>
    <x v="2269"/>
    <x v="2"/>
    <n v="4"/>
    <n v="182.3"/>
    <n v="729.2"/>
    <d v="2025-03-25T00:00:00"/>
    <d v="2025-03-26T00:00:00"/>
    <x v="2"/>
    <x v="1"/>
    <n v="4"/>
    <x v="0"/>
    <x v="1"/>
    <n v="1"/>
    <n v="13"/>
    <x v="2"/>
  </r>
  <r>
    <x v="2270"/>
    <x v="2"/>
    <n v="5"/>
    <n v="157"/>
    <n v="785"/>
    <d v="2025-03-25T00:00:00"/>
    <d v="2025-03-28T00:00:00"/>
    <x v="2"/>
    <x v="1"/>
    <n v="5"/>
    <x v="0"/>
    <x v="2"/>
    <n v="3"/>
    <n v="13"/>
    <x v="2"/>
  </r>
  <r>
    <x v="2271"/>
    <x v="17"/>
    <n v="5"/>
    <n v="45.2"/>
    <n v="226"/>
    <d v="2025-03-25T00:00:00"/>
    <d v="2025-03-28T00:00:00"/>
    <x v="2"/>
    <x v="1"/>
    <n v="4"/>
    <x v="0"/>
    <x v="22"/>
    <n v="3"/>
    <n v="13"/>
    <x v="2"/>
  </r>
  <r>
    <x v="2272"/>
    <x v="15"/>
    <n v="4"/>
    <n v="27.4"/>
    <n v="109.6"/>
    <d v="2025-03-25T00:00:00"/>
    <d v="2025-03-27T00:00:00"/>
    <x v="2"/>
    <x v="0"/>
    <n v="4"/>
    <x v="0"/>
    <x v="3"/>
    <n v="2"/>
    <n v="13"/>
    <x v="2"/>
  </r>
  <r>
    <x v="2273"/>
    <x v="5"/>
    <n v="5"/>
    <n v="34.1"/>
    <n v="170.5"/>
    <d v="2025-03-25T00:00:00"/>
    <d v="2025-03-27T00:00:00"/>
    <x v="1"/>
    <x v="0"/>
    <n v="5"/>
    <x v="0"/>
    <x v="3"/>
    <n v="2"/>
    <n v="13"/>
    <x v="1"/>
  </r>
  <r>
    <x v="2274"/>
    <x v="0"/>
    <n v="2"/>
    <n v="26"/>
    <n v="52"/>
    <d v="2025-03-25T00:00:00"/>
    <d v="2025-03-27T00:00:00"/>
    <x v="1"/>
    <x v="2"/>
    <n v="3"/>
    <x v="0"/>
    <x v="3"/>
    <n v="2"/>
    <n v="13"/>
    <x v="1"/>
  </r>
  <r>
    <x v="2275"/>
    <x v="8"/>
    <n v="7"/>
    <n v="19.399999999999999"/>
    <n v="135.79999999999998"/>
    <d v="2025-03-25T00:00:00"/>
    <d v="2025-03-27T00:00:00"/>
    <x v="0"/>
    <x v="1"/>
    <n v="3"/>
    <x v="0"/>
    <x v="3"/>
    <n v="2"/>
    <n v="13"/>
    <x v="0"/>
  </r>
  <r>
    <x v="2276"/>
    <x v="16"/>
    <n v="3"/>
    <n v="30.3"/>
    <n v="90.9"/>
    <d v="2025-03-25T00:00:00"/>
    <d v="2025-03-28T00:00:00"/>
    <x v="2"/>
    <x v="1"/>
    <n v="5"/>
    <x v="0"/>
    <x v="3"/>
    <n v="3"/>
    <n v="13"/>
    <x v="2"/>
  </r>
  <r>
    <x v="2277"/>
    <x v="2"/>
    <n v="3"/>
    <n v="101.4"/>
    <n v="304.20000000000005"/>
    <d v="2025-03-25T00:00:00"/>
    <d v="2025-03-26T00:00:00"/>
    <x v="1"/>
    <x v="0"/>
    <n v="4"/>
    <x v="0"/>
    <x v="3"/>
    <n v="1"/>
    <n v="13"/>
    <x v="1"/>
  </r>
  <r>
    <x v="2278"/>
    <x v="3"/>
    <n v="5"/>
    <n v="55.5"/>
    <n v="277.5"/>
    <d v="2025-03-25T00:00:00"/>
    <d v="2025-03-28T00:00:00"/>
    <x v="1"/>
    <x v="1"/>
    <n v="4"/>
    <x v="0"/>
    <x v="24"/>
    <n v="3"/>
    <n v="13"/>
    <x v="1"/>
  </r>
  <r>
    <x v="2279"/>
    <x v="8"/>
    <n v="1"/>
    <n v="23.1"/>
    <n v="23.1"/>
    <d v="2025-03-25T00:00:00"/>
    <d v="2025-03-26T00:00:00"/>
    <x v="1"/>
    <x v="0"/>
    <n v="4"/>
    <x v="0"/>
    <x v="25"/>
    <n v="1"/>
    <n v="13"/>
    <x v="1"/>
  </r>
  <r>
    <x v="2280"/>
    <x v="18"/>
    <n v="2"/>
    <n v="38.9"/>
    <n v="77.8"/>
    <d v="2025-03-25T00:00:00"/>
    <d v="2025-03-26T00:00:00"/>
    <x v="1"/>
    <x v="2"/>
    <n v="4"/>
    <x v="0"/>
    <x v="25"/>
    <n v="1"/>
    <n v="13"/>
    <x v="1"/>
  </r>
  <r>
    <x v="2281"/>
    <x v="6"/>
    <n v="9"/>
    <n v="116.3"/>
    <n v="1046.7"/>
    <d v="2025-03-25T00:00:00"/>
    <d v="2025-03-29T00:00:00"/>
    <x v="2"/>
    <x v="0"/>
    <n v="4"/>
    <x v="0"/>
    <x v="5"/>
    <n v="4"/>
    <n v="13"/>
    <x v="2"/>
  </r>
  <r>
    <x v="2282"/>
    <x v="16"/>
    <n v="9"/>
    <n v="64.099999999999994"/>
    <n v="576.9"/>
    <d v="2025-03-25T00:00:00"/>
    <d v="2025-03-25T00:00:00"/>
    <x v="2"/>
    <x v="0"/>
    <n v="5"/>
    <x v="0"/>
    <x v="6"/>
    <n v="0"/>
    <n v="13"/>
    <x v="2"/>
  </r>
  <r>
    <x v="2283"/>
    <x v="2"/>
    <n v="6"/>
    <n v="109.2"/>
    <n v="655.20000000000005"/>
    <d v="2025-03-25T00:00:00"/>
    <d v="2025-03-27T00:00:00"/>
    <x v="1"/>
    <x v="0"/>
    <n v="3"/>
    <x v="0"/>
    <x v="8"/>
    <n v="2"/>
    <n v="13"/>
    <x v="1"/>
  </r>
  <r>
    <x v="2284"/>
    <x v="10"/>
    <n v="5"/>
    <n v="23.2"/>
    <n v="116"/>
    <d v="2025-03-26T00:00:00"/>
    <d v="2025-03-27T00:00:00"/>
    <x v="1"/>
    <x v="0"/>
    <n v="3"/>
    <x v="0"/>
    <x v="8"/>
    <n v="1"/>
    <n v="13"/>
    <x v="1"/>
  </r>
  <r>
    <x v="2285"/>
    <x v="18"/>
    <n v="6"/>
    <n v="81.2"/>
    <n v="487.20000000000005"/>
    <d v="2025-03-26T00:00:00"/>
    <d v="2025-03-28T00:00:00"/>
    <x v="1"/>
    <x v="2"/>
    <n v="5"/>
    <x v="0"/>
    <x v="8"/>
    <n v="2"/>
    <n v="13"/>
    <x v="1"/>
  </r>
  <r>
    <x v="2286"/>
    <x v="1"/>
    <n v="14"/>
    <n v="35.700000000000003"/>
    <n v="499.80000000000007"/>
    <d v="2025-03-26T00:00:00"/>
    <d v="2025-03-27T00:00:00"/>
    <x v="1"/>
    <x v="3"/>
    <n v="4"/>
    <x v="0"/>
    <x v="8"/>
    <n v="1"/>
    <n v="13"/>
    <x v="1"/>
  </r>
  <r>
    <x v="2287"/>
    <x v="7"/>
    <n v="2"/>
    <n v="44.5"/>
    <n v="89"/>
    <d v="2025-03-26T00:00:00"/>
    <d v="2025-03-29T00:00:00"/>
    <x v="1"/>
    <x v="4"/>
    <n v="4"/>
    <x v="0"/>
    <x v="9"/>
    <n v="3"/>
    <n v="13"/>
    <x v="1"/>
  </r>
  <r>
    <x v="2288"/>
    <x v="1"/>
    <n v="5"/>
    <n v="32"/>
    <n v="160"/>
    <d v="2025-03-26T00:00:00"/>
    <d v="2025-03-28T00:00:00"/>
    <x v="3"/>
    <x v="1"/>
    <n v="3"/>
    <x v="0"/>
    <x v="9"/>
    <n v="2"/>
    <n v="13"/>
    <x v="3"/>
  </r>
  <r>
    <x v="2289"/>
    <x v="8"/>
    <n v="1"/>
    <n v="25.7"/>
    <n v="25.7"/>
    <d v="2025-03-26T00:00:00"/>
    <d v="2025-03-27T00:00:00"/>
    <x v="1"/>
    <x v="0"/>
    <n v="4"/>
    <x v="0"/>
    <x v="10"/>
    <n v="1"/>
    <n v="13"/>
    <x v="1"/>
  </r>
  <r>
    <x v="2290"/>
    <x v="16"/>
    <n v="3"/>
    <n v="65.599999999999994"/>
    <n v="196.79999999999998"/>
    <d v="2025-03-26T00:00:00"/>
    <d v="2025-04-01T00:00:00"/>
    <x v="1"/>
    <x v="0"/>
    <n v="4"/>
    <x v="0"/>
    <x v="11"/>
    <n v="6"/>
    <n v="13"/>
    <x v="1"/>
  </r>
  <r>
    <x v="2291"/>
    <x v="1"/>
    <n v="4"/>
    <n v="52.1"/>
    <n v="208.4"/>
    <d v="2025-03-26T00:00:00"/>
    <d v="2025-03-27T00:00:00"/>
    <x v="2"/>
    <x v="0"/>
    <n v="5"/>
    <x v="0"/>
    <x v="11"/>
    <n v="1"/>
    <n v="13"/>
    <x v="2"/>
  </r>
  <r>
    <x v="2292"/>
    <x v="8"/>
    <n v="1"/>
    <n v="31"/>
    <n v="31"/>
    <d v="2025-03-26T00:00:00"/>
    <d v="2025-03-27T00:00:00"/>
    <x v="1"/>
    <x v="0"/>
    <n v="3"/>
    <x v="0"/>
    <x v="19"/>
    <n v="1"/>
    <n v="13"/>
    <x v="1"/>
  </r>
  <r>
    <x v="2293"/>
    <x v="8"/>
    <n v="1"/>
    <n v="32"/>
    <n v="32"/>
    <d v="2025-03-26T00:00:00"/>
    <d v="2025-03-28T00:00:00"/>
    <x v="3"/>
    <x v="3"/>
    <n v="3"/>
    <x v="0"/>
    <x v="31"/>
    <n v="2"/>
    <n v="13"/>
    <x v="3"/>
  </r>
  <r>
    <x v="2294"/>
    <x v="16"/>
    <n v="4"/>
    <n v="58.3"/>
    <n v="233.2"/>
    <d v="2025-03-26T00:00:00"/>
    <d v="2025-03-30T00:00:00"/>
    <x v="1"/>
    <x v="1"/>
    <n v="2"/>
    <x v="0"/>
    <x v="20"/>
    <n v="4"/>
    <n v="13"/>
    <x v="1"/>
  </r>
  <r>
    <x v="2295"/>
    <x v="8"/>
    <n v="3"/>
    <n v="31"/>
    <n v="93"/>
    <d v="2025-03-26T00:00:00"/>
    <d v="2025-03-28T00:00:00"/>
    <x v="2"/>
    <x v="2"/>
    <n v="2"/>
    <x v="0"/>
    <x v="13"/>
    <n v="2"/>
    <n v="13"/>
    <x v="2"/>
  </r>
  <r>
    <x v="2296"/>
    <x v="3"/>
    <n v="1"/>
    <n v="40.299999999999997"/>
    <n v="40.299999999999997"/>
    <d v="2025-03-26T00:00:00"/>
    <d v="2025-03-27T00:00:00"/>
    <x v="1"/>
    <x v="1"/>
    <n v="5"/>
    <x v="0"/>
    <x v="54"/>
    <n v="1"/>
    <n v="13"/>
    <x v="1"/>
  </r>
  <r>
    <x v="2297"/>
    <x v="6"/>
    <n v="3"/>
    <n v="47.3"/>
    <n v="141.89999999999998"/>
    <d v="2025-03-26T00:00:00"/>
    <d v="2025-03-28T00:00:00"/>
    <x v="1"/>
    <x v="4"/>
    <n v="5"/>
    <x v="0"/>
    <x v="2"/>
    <n v="2"/>
    <n v="13"/>
    <x v="1"/>
  </r>
  <r>
    <x v="2298"/>
    <x v="2"/>
    <n v="1"/>
    <n v="82.8"/>
    <n v="82.8"/>
    <d v="2025-03-26T00:00:00"/>
    <d v="2025-03-27T00:00:00"/>
    <x v="1"/>
    <x v="0"/>
    <n v="4"/>
    <x v="0"/>
    <x v="2"/>
    <n v="1"/>
    <n v="13"/>
    <x v="1"/>
  </r>
  <r>
    <x v="2299"/>
    <x v="8"/>
    <n v="1"/>
    <n v="18.5"/>
    <n v="18.5"/>
    <d v="2025-03-26T00:00:00"/>
    <d v="2025-04-09T00:00:00"/>
    <x v="2"/>
    <x v="0"/>
    <n v="4"/>
    <x v="0"/>
    <x v="44"/>
    <n v="14"/>
    <n v="13"/>
    <x v="2"/>
  </r>
  <r>
    <x v="2300"/>
    <x v="3"/>
    <n v="2"/>
    <n v="60.4"/>
    <n v="120.8"/>
    <d v="2025-03-26T00:00:00"/>
    <d v="2025-03-27T00:00:00"/>
    <x v="1"/>
    <x v="2"/>
    <n v="4"/>
    <x v="0"/>
    <x v="22"/>
    <n v="1"/>
    <n v="13"/>
    <x v="1"/>
  </r>
  <r>
    <x v="2301"/>
    <x v="6"/>
    <n v="5"/>
    <n v="80.2"/>
    <n v="401"/>
    <d v="2025-03-26T00:00:00"/>
    <d v="2025-04-02T00:00:00"/>
    <x v="1"/>
    <x v="1"/>
    <n v="3"/>
    <x v="0"/>
    <x v="50"/>
    <n v="7"/>
    <n v="13"/>
    <x v="1"/>
  </r>
  <r>
    <x v="2302"/>
    <x v="4"/>
    <n v="1"/>
    <n v="41.5"/>
    <n v="41.5"/>
    <d v="2025-03-26T00:00:00"/>
    <d v="2025-03-28T00:00:00"/>
    <x v="1"/>
    <x v="2"/>
    <n v="4"/>
    <x v="0"/>
    <x v="3"/>
    <n v="2"/>
    <n v="13"/>
    <x v="1"/>
  </r>
  <r>
    <x v="2303"/>
    <x v="2"/>
    <n v="2"/>
    <n v="83.9"/>
    <n v="167.8"/>
    <d v="2025-03-26T00:00:00"/>
    <d v="2025-03-29T00:00:00"/>
    <x v="2"/>
    <x v="0"/>
    <n v="4"/>
    <x v="0"/>
    <x v="3"/>
    <n v="3"/>
    <n v="13"/>
    <x v="2"/>
  </r>
  <r>
    <x v="2304"/>
    <x v="8"/>
    <n v="2"/>
    <n v="16.7"/>
    <n v="33.4"/>
    <d v="2025-03-26T00:00:00"/>
    <d v="2025-03-30T00:00:00"/>
    <x v="2"/>
    <x v="0"/>
    <n v="3"/>
    <x v="0"/>
    <x v="3"/>
    <n v="4"/>
    <n v="13"/>
    <x v="2"/>
  </r>
  <r>
    <x v="2305"/>
    <x v="9"/>
    <n v="2"/>
    <n v="72.900000000000006"/>
    <n v="145.80000000000001"/>
    <d v="2025-03-26T00:00:00"/>
    <d v="2025-03-27T00:00:00"/>
    <x v="1"/>
    <x v="2"/>
    <n v="3"/>
    <x v="0"/>
    <x v="3"/>
    <n v="1"/>
    <n v="13"/>
    <x v="1"/>
  </r>
  <r>
    <x v="2306"/>
    <x v="5"/>
    <n v="2"/>
    <n v="50.2"/>
    <n v="100.4"/>
    <d v="2025-03-26T00:00:00"/>
    <d v="2025-03-28T00:00:00"/>
    <x v="2"/>
    <x v="1"/>
    <n v="5"/>
    <x v="0"/>
    <x v="3"/>
    <n v="2"/>
    <n v="13"/>
    <x v="2"/>
  </r>
  <r>
    <x v="2307"/>
    <x v="3"/>
    <n v="2"/>
    <n v="34.200000000000003"/>
    <n v="68.400000000000006"/>
    <d v="2025-03-26T00:00:00"/>
    <d v="2025-04-05T00:00:00"/>
    <x v="0"/>
    <x v="1"/>
    <n v="4"/>
    <x v="0"/>
    <x v="3"/>
    <n v="10"/>
    <n v="13"/>
    <x v="0"/>
  </r>
  <r>
    <x v="2308"/>
    <x v="5"/>
    <n v="2"/>
    <n v="107.9"/>
    <n v="215.8"/>
    <d v="2025-03-26T00:00:00"/>
    <d v="2025-03-26T00:00:00"/>
    <x v="1"/>
    <x v="1"/>
    <n v="2"/>
    <x v="0"/>
    <x v="3"/>
    <n v="0"/>
    <n v="13"/>
    <x v="1"/>
  </r>
  <r>
    <x v="2309"/>
    <x v="0"/>
    <n v="3"/>
    <n v="17.5"/>
    <n v="52.5"/>
    <d v="2025-03-26T00:00:00"/>
    <d v="2025-03-28T00:00:00"/>
    <x v="1"/>
    <x v="4"/>
    <n v="4"/>
    <x v="0"/>
    <x v="3"/>
    <n v="2"/>
    <n v="13"/>
    <x v="1"/>
  </r>
  <r>
    <x v="2310"/>
    <x v="13"/>
    <n v="15"/>
    <n v="44.7"/>
    <n v="670.5"/>
    <d v="2025-03-26T00:00:00"/>
    <d v="2025-03-27T00:00:00"/>
    <x v="1"/>
    <x v="0"/>
    <n v="3"/>
    <x v="0"/>
    <x v="3"/>
    <n v="1"/>
    <n v="13"/>
    <x v="1"/>
  </r>
  <r>
    <x v="2311"/>
    <x v="12"/>
    <n v="6"/>
    <n v="92.7"/>
    <n v="556.20000000000005"/>
    <d v="2025-03-26T00:00:00"/>
    <d v="2025-03-28T00:00:00"/>
    <x v="2"/>
    <x v="2"/>
    <n v="3"/>
    <x v="0"/>
    <x v="3"/>
    <n v="2"/>
    <n v="13"/>
    <x v="2"/>
  </r>
  <r>
    <x v="2312"/>
    <x v="7"/>
    <n v="3"/>
    <n v="48.8"/>
    <n v="146.39999999999998"/>
    <d v="2025-03-26T00:00:00"/>
    <d v="2025-03-28T00:00:00"/>
    <x v="2"/>
    <x v="2"/>
    <n v="4"/>
    <x v="0"/>
    <x v="3"/>
    <n v="2"/>
    <n v="13"/>
    <x v="2"/>
  </r>
  <r>
    <x v="2313"/>
    <x v="4"/>
    <n v="16"/>
    <n v="21.3"/>
    <n v="340.8"/>
    <d v="2025-03-26T00:00:00"/>
    <d v="2025-03-30T00:00:00"/>
    <x v="2"/>
    <x v="3"/>
    <n v="1"/>
    <x v="0"/>
    <x v="3"/>
    <n v="4"/>
    <n v="13"/>
    <x v="2"/>
  </r>
  <r>
    <x v="2314"/>
    <x v="16"/>
    <n v="1"/>
    <n v="52.5"/>
    <n v="52.5"/>
    <d v="2025-03-26T00:00:00"/>
    <d v="2025-03-27T00:00:00"/>
    <x v="2"/>
    <x v="0"/>
    <n v="4"/>
    <x v="0"/>
    <x v="3"/>
    <n v="1"/>
    <n v="13"/>
    <x v="2"/>
  </r>
  <r>
    <x v="2315"/>
    <x v="1"/>
    <n v="2"/>
    <n v="92.4"/>
    <n v="184.8"/>
    <d v="2025-03-26T00:00:00"/>
    <d v="2025-04-01T00:00:00"/>
    <x v="2"/>
    <x v="0"/>
    <n v="5"/>
    <x v="0"/>
    <x v="3"/>
    <n v="6"/>
    <n v="13"/>
    <x v="2"/>
  </r>
  <r>
    <x v="2316"/>
    <x v="4"/>
    <n v="11"/>
    <n v="58.3"/>
    <n v="641.29999999999995"/>
    <d v="2025-03-26T00:00:00"/>
    <d v="2025-03-28T00:00:00"/>
    <x v="1"/>
    <x v="1"/>
    <n v="5"/>
    <x v="0"/>
    <x v="3"/>
    <n v="2"/>
    <n v="13"/>
    <x v="1"/>
  </r>
  <r>
    <x v="2317"/>
    <x v="6"/>
    <n v="23"/>
    <n v="152.6"/>
    <n v="3509.7999999999997"/>
    <d v="2025-03-27T00:00:00"/>
    <d v="2025-03-29T00:00:00"/>
    <x v="0"/>
    <x v="0"/>
    <n v="4"/>
    <x v="0"/>
    <x v="3"/>
    <n v="2"/>
    <n v="13"/>
    <x v="0"/>
  </r>
  <r>
    <x v="2318"/>
    <x v="8"/>
    <n v="2"/>
    <n v="26"/>
    <n v="52"/>
    <d v="2025-03-27T00:00:00"/>
    <d v="2025-03-27T00:00:00"/>
    <x v="0"/>
    <x v="0"/>
    <n v="3"/>
    <x v="0"/>
    <x v="3"/>
    <n v="0"/>
    <n v="13"/>
    <x v="0"/>
  </r>
  <r>
    <x v="2319"/>
    <x v="1"/>
    <n v="4"/>
    <n v="33.1"/>
    <n v="132.4"/>
    <d v="2025-03-27T00:00:00"/>
    <d v="2025-03-27T00:00:00"/>
    <x v="1"/>
    <x v="2"/>
    <n v="2"/>
    <x v="0"/>
    <x v="5"/>
    <n v="0"/>
    <n v="13"/>
    <x v="1"/>
  </r>
  <r>
    <x v="2320"/>
    <x v="18"/>
    <n v="1"/>
    <n v="51.4"/>
    <n v="51.4"/>
    <d v="2025-03-27T00:00:00"/>
    <d v="2025-03-29T00:00:00"/>
    <x v="2"/>
    <x v="1"/>
    <n v="3"/>
    <x v="0"/>
    <x v="5"/>
    <n v="2"/>
    <n v="13"/>
    <x v="2"/>
  </r>
  <r>
    <x v="2321"/>
    <x v="8"/>
    <n v="2"/>
    <n v="30.2"/>
    <n v="60.4"/>
    <d v="2025-03-27T00:00:00"/>
    <d v="2025-03-28T00:00:00"/>
    <x v="2"/>
    <x v="2"/>
    <n v="5"/>
    <x v="0"/>
    <x v="6"/>
    <n v="1"/>
    <n v="13"/>
    <x v="2"/>
  </r>
  <r>
    <x v="2322"/>
    <x v="2"/>
    <n v="6"/>
    <n v="97"/>
    <n v="582"/>
    <d v="2025-03-27T00:00:00"/>
    <d v="2025-03-31T00:00:00"/>
    <x v="2"/>
    <x v="0"/>
    <n v="5"/>
    <x v="0"/>
    <x v="7"/>
    <n v="4"/>
    <n v="13"/>
    <x v="2"/>
  </r>
  <r>
    <x v="2323"/>
    <x v="2"/>
    <n v="1"/>
    <n v="76.900000000000006"/>
    <n v="76.900000000000006"/>
    <d v="2025-03-27T00:00:00"/>
    <d v="2025-03-28T00:00:00"/>
    <x v="1"/>
    <x v="1"/>
    <n v="5"/>
    <x v="0"/>
    <x v="8"/>
    <n v="1"/>
    <n v="13"/>
    <x v="1"/>
  </r>
  <r>
    <x v="2324"/>
    <x v="7"/>
    <n v="6"/>
    <n v="36.1"/>
    <n v="216.60000000000002"/>
    <d v="2025-03-27T00:00:00"/>
    <d v="2025-03-31T00:00:00"/>
    <x v="2"/>
    <x v="0"/>
    <n v="4"/>
    <x v="0"/>
    <x v="8"/>
    <n v="4"/>
    <n v="13"/>
    <x v="2"/>
  </r>
  <r>
    <x v="2325"/>
    <x v="1"/>
    <n v="7"/>
    <n v="34.4"/>
    <n v="240.79999999999998"/>
    <d v="2025-03-27T00:00:00"/>
    <d v="2025-03-27T00:00:00"/>
    <x v="2"/>
    <x v="2"/>
    <n v="3"/>
    <x v="0"/>
    <x v="11"/>
    <n v="0"/>
    <n v="13"/>
    <x v="2"/>
  </r>
  <r>
    <x v="2326"/>
    <x v="1"/>
    <n v="28"/>
    <n v="53.4"/>
    <n v="1495.2"/>
    <d v="2025-03-27T00:00:00"/>
    <d v="2025-03-29T00:00:00"/>
    <x v="2"/>
    <x v="1"/>
    <n v="4"/>
    <x v="0"/>
    <x v="18"/>
    <n v="2"/>
    <n v="13"/>
    <x v="2"/>
  </r>
  <r>
    <x v="2327"/>
    <x v="2"/>
    <n v="1"/>
    <n v="77.599999999999994"/>
    <n v="77.599999999999994"/>
    <d v="2025-03-27T00:00:00"/>
    <d v="2025-03-28T00:00:00"/>
    <x v="2"/>
    <x v="0"/>
    <n v="3"/>
    <x v="0"/>
    <x v="19"/>
    <n v="1"/>
    <n v="13"/>
    <x v="2"/>
  </r>
  <r>
    <x v="2328"/>
    <x v="1"/>
    <n v="3"/>
    <n v="71.7"/>
    <n v="215.10000000000002"/>
    <d v="2025-03-27T00:00:00"/>
    <d v="2025-03-30T00:00:00"/>
    <x v="2"/>
    <x v="1"/>
    <n v="4"/>
    <x v="0"/>
    <x v="19"/>
    <n v="3"/>
    <n v="13"/>
    <x v="2"/>
  </r>
  <r>
    <x v="2329"/>
    <x v="3"/>
    <n v="3"/>
    <n v="80.599999999999994"/>
    <n v="241.79999999999998"/>
    <d v="2025-03-27T00:00:00"/>
    <d v="2025-03-28T00:00:00"/>
    <x v="1"/>
    <x v="4"/>
    <n v="3"/>
    <x v="0"/>
    <x v="19"/>
    <n v="1"/>
    <n v="13"/>
    <x v="1"/>
  </r>
  <r>
    <x v="2330"/>
    <x v="1"/>
    <n v="15"/>
    <n v="70"/>
    <n v="1050"/>
    <d v="2025-03-27T00:00:00"/>
    <d v="2025-03-29T00:00:00"/>
    <x v="1"/>
    <x v="0"/>
    <n v="4"/>
    <x v="0"/>
    <x v="20"/>
    <n v="2"/>
    <n v="13"/>
    <x v="1"/>
  </r>
  <r>
    <x v="2331"/>
    <x v="4"/>
    <n v="6"/>
    <n v="27.3"/>
    <n v="163.80000000000001"/>
    <d v="2025-03-27T00:00:00"/>
    <d v="2025-03-29T00:00:00"/>
    <x v="2"/>
    <x v="1"/>
    <n v="3"/>
    <x v="0"/>
    <x v="2"/>
    <n v="2"/>
    <n v="13"/>
    <x v="2"/>
  </r>
  <r>
    <x v="2332"/>
    <x v="8"/>
    <n v="14"/>
    <n v="37.6"/>
    <n v="526.4"/>
    <d v="2025-03-27T00:00:00"/>
    <d v="2025-03-29T00:00:00"/>
    <x v="1"/>
    <x v="1"/>
    <n v="4"/>
    <x v="0"/>
    <x v="3"/>
    <n v="2"/>
    <n v="13"/>
    <x v="1"/>
  </r>
  <r>
    <x v="2333"/>
    <x v="5"/>
    <n v="3"/>
    <n v="36.6"/>
    <n v="109.80000000000001"/>
    <d v="2025-03-27T00:00:00"/>
    <d v="2025-03-29T00:00:00"/>
    <x v="2"/>
    <x v="4"/>
    <n v="4"/>
    <x v="0"/>
    <x v="3"/>
    <n v="2"/>
    <n v="13"/>
    <x v="2"/>
  </r>
  <r>
    <x v="2334"/>
    <x v="13"/>
    <n v="1"/>
    <n v="55.2"/>
    <n v="55.2"/>
    <d v="2025-03-27T00:00:00"/>
    <d v="2025-03-29T00:00:00"/>
    <x v="1"/>
    <x v="3"/>
    <n v="4"/>
    <x v="0"/>
    <x v="3"/>
    <n v="2"/>
    <n v="13"/>
    <x v="1"/>
  </r>
  <r>
    <x v="2335"/>
    <x v="6"/>
    <n v="5"/>
    <n v="59.9"/>
    <n v="299.5"/>
    <d v="2025-03-27T00:00:00"/>
    <d v="2025-03-29T00:00:00"/>
    <x v="1"/>
    <x v="0"/>
    <n v="4"/>
    <x v="0"/>
    <x v="3"/>
    <n v="2"/>
    <n v="13"/>
    <x v="1"/>
  </r>
  <r>
    <x v="2336"/>
    <x v="6"/>
    <n v="1"/>
    <n v="44"/>
    <n v="44"/>
    <d v="2025-03-27T00:00:00"/>
    <d v="2025-03-28T00:00:00"/>
    <x v="2"/>
    <x v="2"/>
    <n v="5"/>
    <x v="0"/>
    <x v="3"/>
    <n v="1"/>
    <n v="13"/>
    <x v="2"/>
  </r>
  <r>
    <x v="2337"/>
    <x v="9"/>
    <n v="2"/>
    <n v="68.7"/>
    <n v="137.4"/>
    <d v="2025-03-27T00:00:00"/>
    <d v="2025-03-27T00:00:00"/>
    <x v="1"/>
    <x v="0"/>
    <n v="4"/>
    <x v="0"/>
    <x v="3"/>
    <n v="0"/>
    <n v="13"/>
    <x v="1"/>
  </r>
  <r>
    <x v="2338"/>
    <x v="5"/>
    <n v="2"/>
    <n v="61.6"/>
    <n v="123.2"/>
    <d v="2025-03-27T00:00:00"/>
    <d v="2025-03-31T00:00:00"/>
    <x v="1"/>
    <x v="3"/>
    <n v="3"/>
    <x v="0"/>
    <x v="3"/>
    <n v="4"/>
    <n v="13"/>
    <x v="1"/>
  </r>
  <r>
    <x v="2339"/>
    <x v="7"/>
    <n v="7"/>
    <n v="51.8"/>
    <n v="362.59999999999997"/>
    <d v="2025-03-27T00:00:00"/>
    <d v="2025-03-28T00:00:00"/>
    <x v="1"/>
    <x v="0"/>
    <n v="4"/>
    <x v="0"/>
    <x v="3"/>
    <n v="1"/>
    <n v="13"/>
    <x v="1"/>
  </r>
  <r>
    <x v="2340"/>
    <x v="8"/>
    <n v="10"/>
    <n v="46.2"/>
    <n v="462"/>
    <d v="2025-03-27T00:00:00"/>
    <d v="2025-03-29T00:00:00"/>
    <x v="1"/>
    <x v="1"/>
    <n v="5"/>
    <x v="0"/>
    <x v="3"/>
    <n v="2"/>
    <n v="13"/>
    <x v="1"/>
  </r>
  <r>
    <x v="2341"/>
    <x v="0"/>
    <n v="2"/>
    <n v="19.399999999999999"/>
    <n v="38.799999999999997"/>
    <d v="2025-03-27T00:00:00"/>
    <d v="2025-03-29T00:00:00"/>
    <x v="2"/>
    <x v="1"/>
    <n v="5"/>
    <x v="0"/>
    <x v="6"/>
    <n v="2"/>
    <n v="13"/>
    <x v="2"/>
  </r>
  <r>
    <x v="2342"/>
    <x v="11"/>
    <n v="3"/>
    <n v="52.1"/>
    <n v="156.30000000000001"/>
    <d v="2025-03-27T00:00:00"/>
    <d v="2025-03-30T00:00:00"/>
    <x v="1"/>
    <x v="3"/>
    <n v="1"/>
    <x v="0"/>
    <x v="6"/>
    <n v="3"/>
    <n v="13"/>
    <x v="1"/>
  </r>
  <r>
    <x v="2343"/>
    <x v="6"/>
    <n v="1"/>
    <n v="74.900000000000006"/>
    <n v="74.900000000000006"/>
    <d v="2025-03-27T00:00:00"/>
    <d v="2025-03-29T00:00:00"/>
    <x v="3"/>
    <x v="0"/>
    <n v="4"/>
    <x v="0"/>
    <x v="7"/>
    <n v="2"/>
    <n v="13"/>
    <x v="3"/>
  </r>
  <r>
    <x v="2344"/>
    <x v="9"/>
    <n v="7"/>
    <n v="49.6"/>
    <n v="347.2"/>
    <d v="2025-03-27T00:00:00"/>
    <d v="2025-03-30T00:00:00"/>
    <x v="2"/>
    <x v="4"/>
    <n v="4"/>
    <x v="0"/>
    <x v="8"/>
    <n v="3"/>
    <n v="13"/>
    <x v="2"/>
  </r>
  <r>
    <x v="2345"/>
    <x v="16"/>
    <n v="4"/>
    <n v="82.8"/>
    <n v="331.2"/>
    <d v="2025-03-28T00:00:00"/>
    <d v="2025-03-31T00:00:00"/>
    <x v="2"/>
    <x v="4"/>
    <n v="4"/>
    <x v="0"/>
    <x v="8"/>
    <n v="3"/>
    <n v="13"/>
    <x v="2"/>
  </r>
  <r>
    <x v="2346"/>
    <x v="2"/>
    <n v="1"/>
    <n v="97.7"/>
    <n v="97.7"/>
    <d v="2025-03-28T00:00:00"/>
    <d v="2025-03-29T00:00:00"/>
    <x v="2"/>
    <x v="1"/>
    <n v="4"/>
    <x v="0"/>
    <x v="8"/>
    <n v="1"/>
    <n v="13"/>
    <x v="2"/>
  </r>
  <r>
    <x v="2347"/>
    <x v="6"/>
    <n v="5"/>
    <n v="83.6"/>
    <n v="418"/>
    <d v="2025-03-28T00:00:00"/>
    <d v="2025-03-29T00:00:00"/>
    <x v="2"/>
    <x v="4"/>
    <n v="4"/>
    <x v="0"/>
    <x v="8"/>
    <n v="1"/>
    <n v="13"/>
    <x v="2"/>
  </r>
  <r>
    <x v="2348"/>
    <x v="8"/>
    <n v="5"/>
    <n v="23.5"/>
    <n v="117.5"/>
    <d v="2025-03-28T00:00:00"/>
    <d v="2025-04-01T00:00:00"/>
    <x v="3"/>
    <x v="0"/>
    <n v="4"/>
    <x v="0"/>
    <x v="8"/>
    <n v="4"/>
    <n v="13"/>
    <x v="3"/>
  </r>
  <r>
    <x v="2349"/>
    <x v="9"/>
    <n v="3"/>
    <n v="44.6"/>
    <n v="133.80000000000001"/>
    <d v="2025-03-28T00:00:00"/>
    <d v="2025-03-31T00:00:00"/>
    <x v="2"/>
    <x v="4"/>
    <n v="3"/>
    <x v="0"/>
    <x v="26"/>
    <n v="3"/>
    <n v="13"/>
    <x v="2"/>
  </r>
  <r>
    <x v="2350"/>
    <x v="0"/>
    <n v="3"/>
    <n v="20.100000000000001"/>
    <n v="60.300000000000004"/>
    <d v="2025-03-28T00:00:00"/>
    <d v="2025-03-30T00:00:00"/>
    <x v="2"/>
    <x v="3"/>
    <n v="2"/>
    <x v="0"/>
    <x v="11"/>
    <n v="2"/>
    <n v="13"/>
    <x v="2"/>
  </r>
  <r>
    <x v="2351"/>
    <x v="2"/>
    <n v="5"/>
    <n v="153.6"/>
    <n v="768"/>
    <d v="2025-03-28T00:00:00"/>
    <d v="2025-03-29T00:00:00"/>
    <x v="2"/>
    <x v="1"/>
    <n v="5"/>
    <x v="0"/>
    <x v="53"/>
    <n v="1"/>
    <n v="13"/>
    <x v="2"/>
  </r>
  <r>
    <x v="2352"/>
    <x v="1"/>
    <n v="2"/>
    <n v="71.8"/>
    <n v="143.6"/>
    <d v="2025-03-28T00:00:00"/>
    <d v="2025-04-01T00:00:00"/>
    <x v="2"/>
    <x v="1"/>
    <n v="4"/>
    <x v="0"/>
    <x v="1"/>
    <n v="4"/>
    <n v="13"/>
    <x v="2"/>
  </r>
  <r>
    <x v="2353"/>
    <x v="10"/>
    <n v="1"/>
    <n v="64.7"/>
    <n v="64.7"/>
    <d v="2025-03-28T00:00:00"/>
    <d v="2025-03-30T00:00:00"/>
    <x v="0"/>
    <x v="0"/>
    <n v="3"/>
    <x v="0"/>
    <x v="1"/>
    <n v="2"/>
    <n v="13"/>
    <x v="0"/>
  </r>
  <r>
    <x v="2354"/>
    <x v="9"/>
    <n v="8"/>
    <n v="60.4"/>
    <n v="483.2"/>
    <d v="2025-03-28T00:00:00"/>
    <d v="2025-03-30T00:00:00"/>
    <x v="2"/>
    <x v="3"/>
    <n v="5"/>
    <x v="0"/>
    <x v="2"/>
    <n v="2"/>
    <n v="13"/>
    <x v="2"/>
  </r>
  <r>
    <x v="2355"/>
    <x v="6"/>
    <n v="4"/>
    <n v="86"/>
    <n v="344"/>
    <d v="2025-03-28T00:00:00"/>
    <d v="2025-03-31T00:00:00"/>
    <x v="2"/>
    <x v="2"/>
    <n v="5"/>
    <x v="0"/>
    <x v="22"/>
    <n v="3"/>
    <n v="13"/>
    <x v="2"/>
  </r>
  <r>
    <x v="2356"/>
    <x v="12"/>
    <n v="2"/>
    <n v="42.1"/>
    <n v="84.2"/>
    <d v="2025-03-28T00:00:00"/>
    <d v="2025-03-29T00:00:00"/>
    <x v="2"/>
    <x v="4"/>
    <n v="3"/>
    <x v="0"/>
    <x v="34"/>
    <n v="1"/>
    <n v="13"/>
    <x v="2"/>
  </r>
  <r>
    <x v="2357"/>
    <x v="16"/>
    <n v="9"/>
    <n v="51.1"/>
    <n v="459.90000000000003"/>
    <d v="2025-03-28T00:00:00"/>
    <d v="2025-03-29T00:00:00"/>
    <x v="1"/>
    <x v="2"/>
    <n v="3"/>
    <x v="0"/>
    <x v="3"/>
    <n v="1"/>
    <n v="13"/>
    <x v="1"/>
  </r>
  <r>
    <x v="2358"/>
    <x v="9"/>
    <n v="4"/>
    <n v="73.8"/>
    <n v="295.2"/>
    <d v="2025-03-28T00:00:00"/>
    <d v="2025-03-29T00:00:00"/>
    <x v="1"/>
    <x v="4"/>
    <n v="4"/>
    <x v="0"/>
    <x v="3"/>
    <n v="1"/>
    <n v="13"/>
    <x v="1"/>
  </r>
  <r>
    <x v="2359"/>
    <x v="8"/>
    <n v="5"/>
    <n v="27"/>
    <n v="135"/>
    <d v="2025-03-28T00:00:00"/>
    <d v="2025-03-31T00:00:00"/>
    <x v="2"/>
    <x v="2"/>
    <n v="5"/>
    <x v="0"/>
    <x v="3"/>
    <n v="3"/>
    <n v="13"/>
    <x v="2"/>
  </r>
  <r>
    <x v="2360"/>
    <x v="8"/>
    <n v="6"/>
    <n v="60.1"/>
    <n v="360.6"/>
    <d v="2025-03-28T00:00:00"/>
    <d v="2025-03-29T00:00:00"/>
    <x v="1"/>
    <x v="3"/>
    <n v="4"/>
    <x v="0"/>
    <x v="3"/>
    <n v="1"/>
    <n v="13"/>
    <x v="1"/>
  </r>
  <r>
    <x v="2361"/>
    <x v="2"/>
    <n v="7"/>
    <n v="94.1"/>
    <n v="658.69999999999993"/>
    <d v="2025-03-28T00:00:00"/>
    <d v="2025-03-30T00:00:00"/>
    <x v="2"/>
    <x v="4"/>
    <n v="3"/>
    <x v="0"/>
    <x v="3"/>
    <n v="2"/>
    <n v="13"/>
    <x v="2"/>
  </r>
  <r>
    <x v="2362"/>
    <x v="2"/>
    <n v="2"/>
    <n v="124.1"/>
    <n v="248.2"/>
    <d v="2025-03-28T00:00:00"/>
    <d v="2025-03-28T00:00:00"/>
    <x v="2"/>
    <x v="2"/>
    <n v="1"/>
    <x v="0"/>
    <x v="43"/>
    <n v="0"/>
    <n v="13"/>
    <x v="2"/>
  </r>
  <r>
    <x v="2363"/>
    <x v="8"/>
    <n v="4"/>
    <n v="16.899999999999999"/>
    <n v="67.599999999999994"/>
    <d v="2025-03-28T00:00:00"/>
    <d v="2025-03-31T00:00:00"/>
    <x v="1"/>
    <x v="3"/>
    <n v="4"/>
    <x v="0"/>
    <x v="6"/>
    <n v="3"/>
    <n v="13"/>
    <x v="1"/>
  </r>
  <r>
    <x v="2364"/>
    <x v="1"/>
    <n v="1"/>
    <n v="36.9"/>
    <n v="36.9"/>
    <d v="2025-03-28T00:00:00"/>
    <d v="2025-03-29T00:00:00"/>
    <x v="1"/>
    <x v="0"/>
    <n v="4"/>
    <x v="0"/>
    <x v="6"/>
    <n v="1"/>
    <n v="13"/>
    <x v="1"/>
  </r>
  <r>
    <x v="2365"/>
    <x v="9"/>
    <n v="2"/>
    <n v="22.6"/>
    <n v="45.2"/>
    <d v="2025-03-28T00:00:00"/>
    <d v="2025-04-10T00:00:00"/>
    <x v="2"/>
    <x v="2"/>
    <n v="3"/>
    <x v="0"/>
    <x v="8"/>
    <n v="13"/>
    <n v="13"/>
    <x v="2"/>
  </r>
  <r>
    <x v="2366"/>
    <x v="7"/>
    <n v="4"/>
    <n v="35"/>
    <n v="140"/>
    <d v="2025-03-28T00:00:00"/>
    <d v="2025-04-02T00:00:00"/>
    <x v="1"/>
    <x v="3"/>
    <n v="3"/>
    <x v="0"/>
    <x v="8"/>
    <n v="5"/>
    <n v="13"/>
    <x v="1"/>
  </r>
  <r>
    <x v="2367"/>
    <x v="9"/>
    <n v="6"/>
    <n v="63.6"/>
    <n v="381.6"/>
    <d v="2025-03-28T00:00:00"/>
    <d v="2025-04-04T00:00:00"/>
    <x v="0"/>
    <x v="1"/>
    <n v="5"/>
    <x v="0"/>
    <x v="8"/>
    <n v="7"/>
    <n v="13"/>
    <x v="0"/>
  </r>
  <r>
    <x v="2368"/>
    <x v="15"/>
    <n v="4"/>
    <n v="78.599999999999994"/>
    <n v="314.39999999999998"/>
    <d v="2025-03-28T00:00:00"/>
    <d v="2025-03-29T00:00:00"/>
    <x v="1"/>
    <x v="4"/>
    <n v="3"/>
    <x v="0"/>
    <x v="8"/>
    <n v="1"/>
    <n v="13"/>
    <x v="1"/>
  </r>
  <r>
    <x v="2369"/>
    <x v="3"/>
    <n v="2"/>
    <n v="38.5"/>
    <n v="77"/>
    <d v="2025-03-28T00:00:00"/>
    <d v="2025-03-29T00:00:00"/>
    <x v="1"/>
    <x v="0"/>
    <n v="5"/>
    <x v="0"/>
    <x v="8"/>
    <n v="1"/>
    <n v="13"/>
    <x v="1"/>
  </r>
  <r>
    <x v="2370"/>
    <x v="8"/>
    <n v="11"/>
    <n v="71.5"/>
    <n v="786.5"/>
    <d v="2025-03-28T00:00:00"/>
    <d v="2025-03-29T00:00:00"/>
    <x v="2"/>
    <x v="1"/>
    <n v="2"/>
    <x v="0"/>
    <x v="8"/>
    <n v="1"/>
    <n v="13"/>
    <x v="2"/>
  </r>
  <r>
    <x v="2371"/>
    <x v="6"/>
    <n v="4"/>
    <n v="121.4"/>
    <n v="485.6"/>
    <d v="2025-03-28T00:00:00"/>
    <d v="2025-04-01T00:00:00"/>
    <x v="1"/>
    <x v="1"/>
    <n v="5"/>
    <x v="0"/>
    <x v="17"/>
    <n v="4"/>
    <n v="13"/>
    <x v="1"/>
  </r>
  <r>
    <x v="2372"/>
    <x v="11"/>
    <n v="1"/>
    <n v="40.200000000000003"/>
    <n v="40.200000000000003"/>
    <d v="2025-03-28T00:00:00"/>
    <d v="2025-03-31T00:00:00"/>
    <x v="2"/>
    <x v="0"/>
    <n v="5"/>
    <x v="0"/>
    <x v="11"/>
    <n v="3"/>
    <n v="13"/>
    <x v="2"/>
  </r>
  <r>
    <x v="2373"/>
    <x v="5"/>
    <n v="5"/>
    <n v="31.9"/>
    <n v="159.5"/>
    <d v="2025-03-28T00:00:00"/>
    <d v="2025-03-30T00:00:00"/>
    <x v="2"/>
    <x v="2"/>
    <n v="5"/>
    <x v="0"/>
    <x v="28"/>
    <n v="2"/>
    <n v="13"/>
    <x v="2"/>
  </r>
  <r>
    <x v="2374"/>
    <x v="14"/>
    <n v="5"/>
    <n v="15.8"/>
    <n v="79"/>
    <d v="2025-03-29T00:00:00"/>
    <d v="2025-03-30T00:00:00"/>
    <x v="1"/>
    <x v="3"/>
    <n v="5"/>
    <x v="0"/>
    <x v="21"/>
    <n v="1"/>
    <n v="13"/>
    <x v="1"/>
  </r>
  <r>
    <x v="2375"/>
    <x v="10"/>
    <n v="2"/>
    <n v="25.1"/>
    <n v="50.2"/>
    <d v="2025-03-29T00:00:00"/>
    <d v="2025-03-31T00:00:00"/>
    <x v="0"/>
    <x v="1"/>
    <n v="4"/>
    <x v="0"/>
    <x v="21"/>
    <n v="2"/>
    <n v="13"/>
    <x v="0"/>
  </r>
  <r>
    <x v="2376"/>
    <x v="1"/>
    <n v="23"/>
    <n v="38.1"/>
    <n v="876.30000000000007"/>
    <d v="2025-03-29T00:00:00"/>
    <d v="2025-03-30T00:00:00"/>
    <x v="2"/>
    <x v="4"/>
    <n v="4"/>
    <x v="0"/>
    <x v="1"/>
    <n v="1"/>
    <n v="13"/>
    <x v="2"/>
  </r>
  <r>
    <x v="2377"/>
    <x v="3"/>
    <n v="2"/>
    <n v="42.2"/>
    <n v="84.4"/>
    <d v="2025-03-29T00:00:00"/>
    <d v="2025-03-31T00:00:00"/>
    <x v="2"/>
    <x v="0"/>
    <n v="5"/>
    <x v="0"/>
    <x v="1"/>
    <n v="2"/>
    <n v="13"/>
    <x v="2"/>
  </r>
  <r>
    <x v="2378"/>
    <x v="0"/>
    <n v="10"/>
    <n v="12.3"/>
    <n v="123"/>
    <d v="2025-03-29T00:00:00"/>
    <d v="2025-03-30T00:00:00"/>
    <x v="2"/>
    <x v="4"/>
    <n v="4"/>
    <x v="0"/>
    <x v="2"/>
    <n v="1"/>
    <n v="13"/>
    <x v="2"/>
  </r>
  <r>
    <x v="2379"/>
    <x v="7"/>
    <n v="1"/>
    <n v="30.2"/>
    <n v="30.2"/>
    <d v="2025-03-29T00:00:00"/>
    <d v="2025-03-31T00:00:00"/>
    <x v="2"/>
    <x v="1"/>
    <n v="5"/>
    <x v="0"/>
    <x v="34"/>
    <n v="2"/>
    <n v="13"/>
    <x v="2"/>
  </r>
  <r>
    <x v="2380"/>
    <x v="5"/>
    <n v="3"/>
    <n v="25.3"/>
    <n v="75.900000000000006"/>
    <d v="2025-03-29T00:00:00"/>
    <d v="2025-04-01T00:00:00"/>
    <x v="2"/>
    <x v="2"/>
    <n v="4"/>
    <x v="0"/>
    <x v="3"/>
    <n v="3"/>
    <n v="13"/>
    <x v="2"/>
  </r>
  <r>
    <x v="2381"/>
    <x v="8"/>
    <n v="5"/>
    <n v="29.7"/>
    <n v="148.5"/>
    <d v="2025-03-29T00:00:00"/>
    <d v="2025-03-31T00:00:00"/>
    <x v="1"/>
    <x v="3"/>
    <n v="4"/>
    <x v="0"/>
    <x v="3"/>
    <n v="2"/>
    <n v="13"/>
    <x v="1"/>
  </r>
  <r>
    <x v="2382"/>
    <x v="9"/>
    <n v="8"/>
    <n v="32.9"/>
    <n v="263.2"/>
    <d v="2025-03-29T00:00:00"/>
    <d v="2025-03-30T00:00:00"/>
    <x v="0"/>
    <x v="3"/>
    <n v="5"/>
    <x v="0"/>
    <x v="3"/>
    <n v="1"/>
    <n v="13"/>
    <x v="0"/>
  </r>
  <r>
    <x v="2383"/>
    <x v="10"/>
    <n v="2"/>
    <n v="43.6"/>
    <n v="87.2"/>
    <d v="2025-03-29T00:00:00"/>
    <d v="2025-03-30T00:00:00"/>
    <x v="1"/>
    <x v="1"/>
    <n v="5"/>
    <x v="0"/>
    <x v="3"/>
    <n v="1"/>
    <n v="13"/>
    <x v="1"/>
  </r>
  <r>
    <x v="2384"/>
    <x v="15"/>
    <n v="4"/>
    <n v="78.400000000000006"/>
    <n v="313.60000000000002"/>
    <d v="2025-03-29T00:00:00"/>
    <d v="2025-03-30T00:00:00"/>
    <x v="1"/>
    <x v="2"/>
    <n v="4"/>
    <x v="0"/>
    <x v="3"/>
    <n v="1"/>
    <n v="13"/>
    <x v="1"/>
  </r>
  <r>
    <x v="2385"/>
    <x v="6"/>
    <n v="2"/>
    <n v="56.5"/>
    <n v="113"/>
    <d v="2025-03-29T00:00:00"/>
    <d v="2025-04-02T00:00:00"/>
    <x v="1"/>
    <x v="1"/>
    <n v="3"/>
    <x v="0"/>
    <x v="3"/>
    <n v="4"/>
    <n v="13"/>
    <x v="1"/>
  </r>
  <r>
    <x v="2386"/>
    <x v="16"/>
    <n v="1"/>
    <n v="36.700000000000003"/>
    <n v="36.700000000000003"/>
    <d v="2025-03-29T00:00:00"/>
    <d v="2025-03-30T00:00:00"/>
    <x v="2"/>
    <x v="0"/>
    <n v="5"/>
    <x v="0"/>
    <x v="3"/>
    <n v="1"/>
    <n v="13"/>
    <x v="2"/>
  </r>
  <r>
    <x v="2387"/>
    <x v="2"/>
    <n v="4"/>
    <n v="103.6"/>
    <n v="414.4"/>
    <d v="2025-03-29T00:00:00"/>
    <d v="2025-04-09T00:00:00"/>
    <x v="1"/>
    <x v="4"/>
    <n v="5"/>
    <x v="0"/>
    <x v="3"/>
    <n v="11"/>
    <n v="13"/>
    <x v="1"/>
  </r>
  <r>
    <x v="2388"/>
    <x v="8"/>
    <n v="6"/>
    <n v="16.2"/>
    <n v="97.199999999999989"/>
    <d v="2025-03-29T00:00:00"/>
    <d v="2025-04-02T00:00:00"/>
    <x v="1"/>
    <x v="1"/>
    <n v="5"/>
    <x v="0"/>
    <x v="6"/>
    <n v="4"/>
    <n v="13"/>
    <x v="1"/>
  </r>
  <r>
    <x v="2389"/>
    <x v="8"/>
    <n v="2"/>
    <n v="20.2"/>
    <n v="40.4"/>
    <d v="2025-03-29T00:00:00"/>
    <d v="2025-03-30T00:00:00"/>
    <x v="2"/>
    <x v="0"/>
    <n v="4"/>
    <x v="0"/>
    <x v="6"/>
    <n v="1"/>
    <n v="13"/>
    <x v="2"/>
  </r>
  <r>
    <x v="2390"/>
    <x v="11"/>
    <n v="2"/>
    <n v="26.9"/>
    <n v="53.8"/>
    <d v="2025-03-29T00:00:00"/>
    <d v="2025-03-31T00:00:00"/>
    <x v="2"/>
    <x v="2"/>
    <n v="4"/>
    <x v="0"/>
    <x v="6"/>
    <n v="2"/>
    <n v="13"/>
    <x v="2"/>
  </r>
  <r>
    <x v="2391"/>
    <x v="1"/>
    <n v="2"/>
    <n v="82.4"/>
    <n v="164.8"/>
    <d v="2025-03-29T00:00:00"/>
    <d v="2025-04-01T00:00:00"/>
    <x v="0"/>
    <x v="0"/>
    <n v="4"/>
    <x v="0"/>
    <x v="7"/>
    <n v="3"/>
    <n v="13"/>
    <x v="0"/>
  </r>
  <r>
    <x v="2392"/>
    <x v="2"/>
    <n v="2"/>
    <n v="117.8"/>
    <n v="235.6"/>
    <d v="2025-03-29T00:00:00"/>
    <d v="2025-03-31T00:00:00"/>
    <x v="1"/>
    <x v="1"/>
    <n v="5"/>
    <x v="0"/>
    <x v="8"/>
    <n v="2"/>
    <n v="13"/>
    <x v="1"/>
  </r>
  <r>
    <x v="2393"/>
    <x v="11"/>
    <n v="4"/>
    <n v="36.700000000000003"/>
    <n v="146.80000000000001"/>
    <d v="2025-03-29T00:00:00"/>
    <d v="2025-03-30T00:00:00"/>
    <x v="1"/>
    <x v="1"/>
    <n v="4"/>
    <x v="0"/>
    <x v="8"/>
    <n v="1"/>
    <n v="13"/>
    <x v="1"/>
  </r>
  <r>
    <x v="2394"/>
    <x v="17"/>
    <n v="3"/>
    <n v="46.8"/>
    <n v="140.39999999999998"/>
    <d v="2025-03-29T00:00:00"/>
    <d v="2025-03-30T00:00:00"/>
    <x v="1"/>
    <x v="4"/>
    <n v="5"/>
    <x v="0"/>
    <x v="10"/>
    <n v="1"/>
    <n v="13"/>
    <x v="1"/>
  </r>
  <r>
    <x v="2395"/>
    <x v="3"/>
    <n v="1"/>
    <n v="61.4"/>
    <n v="61.4"/>
    <d v="2025-03-29T00:00:00"/>
    <d v="2025-03-30T00:00:00"/>
    <x v="1"/>
    <x v="1"/>
    <n v="4"/>
    <x v="0"/>
    <x v="10"/>
    <n v="1"/>
    <n v="13"/>
    <x v="1"/>
  </r>
  <r>
    <x v="2396"/>
    <x v="15"/>
    <n v="2"/>
    <n v="22.9"/>
    <n v="45.8"/>
    <d v="2025-03-29T00:00:00"/>
    <d v="2025-03-30T00:00:00"/>
    <x v="1"/>
    <x v="0"/>
    <n v="4"/>
    <x v="0"/>
    <x v="11"/>
    <n v="1"/>
    <n v="13"/>
    <x v="1"/>
  </r>
  <r>
    <x v="2397"/>
    <x v="10"/>
    <n v="2"/>
    <n v="22.1"/>
    <n v="44.2"/>
    <d v="2025-03-29T00:00:00"/>
    <d v="2025-03-30T00:00:00"/>
    <x v="2"/>
    <x v="4"/>
    <n v="4"/>
    <x v="0"/>
    <x v="11"/>
    <n v="1"/>
    <n v="13"/>
    <x v="2"/>
  </r>
  <r>
    <x v="2398"/>
    <x v="12"/>
    <n v="2"/>
    <n v="31"/>
    <n v="62"/>
    <d v="2025-03-29T00:00:00"/>
    <d v="2025-03-31T00:00:00"/>
    <x v="2"/>
    <x v="2"/>
    <n v="4"/>
    <x v="0"/>
    <x v="18"/>
    <n v="2"/>
    <n v="13"/>
    <x v="2"/>
  </r>
  <r>
    <x v="2399"/>
    <x v="18"/>
    <n v="2"/>
    <n v="84.2"/>
    <n v="168.4"/>
    <d v="2025-03-29T00:00:00"/>
    <d v="2025-03-31T00:00:00"/>
    <x v="1"/>
    <x v="2"/>
    <n v="5"/>
    <x v="0"/>
    <x v="13"/>
    <n v="2"/>
    <n v="13"/>
    <x v="1"/>
  </r>
  <r>
    <x v="2400"/>
    <x v="20"/>
    <m/>
    <m/>
    <m/>
    <m/>
    <m/>
    <x v="4"/>
    <x v="5"/>
    <m/>
    <x v="1"/>
    <x v="58"/>
    <m/>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x v="0"/>
    <x v="0"/>
    <d v="2025-01-06T00:00:00"/>
    <x v="0"/>
    <x v="0"/>
    <x v="0"/>
    <s v="California"/>
    <s v="Alpine County"/>
    <x v="0"/>
    <x v="0"/>
    <x v="0"/>
  </r>
  <r>
    <x v="1"/>
    <x v="1"/>
    <x v="1"/>
    <n v="30.6"/>
    <x v="1"/>
    <x v="0"/>
    <d v="2025-01-03T00:00:00"/>
    <x v="1"/>
    <x v="0"/>
    <x v="0"/>
    <s v="California"/>
    <s v="Contra Costa County"/>
    <x v="1"/>
    <x v="0"/>
    <x v="1"/>
  </r>
  <r>
    <x v="2"/>
    <x v="2"/>
    <x v="2"/>
    <n v="109.4"/>
    <x v="2"/>
    <x v="0"/>
    <d v="2025-01-04T00:00:00"/>
    <x v="2"/>
    <x v="0"/>
    <x v="1"/>
    <s v="California"/>
    <s v="Fresno County"/>
    <x v="2"/>
    <x v="0"/>
    <x v="2"/>
  </r>
  <r>
    <x v="3"/>
    <x v="3"/>
    <x v="3"/>
    <n v="37.700000000000003"/>
    <x v="3"/>
    <x v="0"/>
    <d v="2025-01-02T00:00:00"/>
    <x v="2"/>
    <x v="0"/>
    <x v="0"/>
    <s v="California"/>
    <s v="Fresno County"/>
    <x v="3"/>
    <x v="0"/>
    <x v="2"/>
  </r>
  <r>
    <x v="4"/>
    <x v="4"/>
    <x v="2"/>
    <n v="56.7"/>
    <x v="4"/>
    <x v="0"/>
    <d v="2025-01-04T00:00:00"/>
    <x v="2"/>
    <x v="0"/>
    <x v="2"/>
    <s v="California"/>
    <s v="Los Angeles County"/>
    <x v="2"/>
    <x v="0"/>
    <x v="2"/>
  </r>
  <r>
    <x v="5"/>
    <x v="1"/>
    <x v="4"/>
    <n v="83.5"/>
    <x v="5"/>
    <x v="0"/>
    <d v="2025-01-04T00:00:00"/>
    <x v="1"/>
    <x v="1"/>
    <x v="0"/>
    <s v="California"/>
    <s v="Los Angeles County"/>
    <x v="2"/>
    <x v="0"/>
    <x v="1"/>
  </r>
  <r>
    <x v="6"/>
    <x v="5"/>
    <x v="0"/>
    <n v="55.3"/>
    <x v="6"/>
    <x v="0"/>
    <d v="2025-01-02T00:00:00"/>
    <x v="2"/>
    <x v="0"/>
    <x v="0"/>
    <s v="California"/>
    <s v="Los Angeles County"/>
    <x v="3"/>
    <x v="0"/>
    <x v="2"/>
  </r>
  <r>
    <x v="7"/>
    <x v="6"/>
    <x v="1"/>
    <n v="40.299999999999997"/>
    <x v="7"/>
    <x v="0"/>
    <d v="2025-01-02T00:00:00"/>
    <x v="1"/>
    <x v="2"/>
    <x v="2"/>
    <s v="California"/>
    <s v="Los Angeles County"/>
    <x v="3"/>
    <x v="0"/>
    <x v="1"/>
  </r>
  <r>
    <x v="8"/>
    <x v="7"/>
    <x v="5"/>
    <n v="35.700000000000003"/>
    <x v="8"/>
    <x v="0"/>
    <d v="2025-01-02T00:00:00"/>
    <x v="2"/>
    <x v="0"/>
    <x v="0"/>
    <s v="California"/>
    <s v="Los Angeles County"/>
    <x v="3"/>
    <x v="0"/>
    <x v="2"/>
  </r>
  <r>
    <x v="9"/>
    <x v="8"/>
    <x v="3"/>
    <n v="22.4"/>
    <x v="9"/>
    <x v="0"/>
    <d v="2025-01-04T00:00:00"/>
    <x v="1"/>
    <x v="0"/>
    <x v="1"/>
    <s v="California"/>
    <s v="Los Angeles County"/>
    <x v="2"/>
    <x v="0"/>
    <x v="1"/>
  </r>
  <r>
    <x v="10"/>
    <x v="9"/>
    <x v="1"/>
    <n v="54.4"/>
    <x v="10"/>
    <x v="0"/>
    <d v="2025-01-07T00:00:00"/>
    <x v="2"/>
    <x v="0"/>
    <x v="0"/>
    <s v="California"/>
    <s v="Los Angeles County"/>
    <x v="4"/>
    <x v="0"/>
    <x v="2"/>
  </r>
  <r>
    <x v="11"/>
    <x v="9"/>
    <x v="1"/>
    <n v="49"/>
    <x v="11"/>
    <x v="0"/>
    <d v="2025-01-03T00:00:00"/>
    <x v="2"/>
    <x v="2"/>
    <x v="1"/>
    <s v="California"/>
    <s v="Los Angeles County"/>
    <x v="1"/>
    <x v="0"/>
    <x v="2"/>
  </r>
  <r>
    <x v="12"/>
    <x v="5"/>
    <x v="3"/>
    <n v="118.6"/>
    <x v="12"/>
    <x v="0"/>
    <d v="2025-01-05T00:00:00"/>
    <x v="2"/>
    <x v="1"/>
    <x v="0"/>
    <s v="California"/>
    <s v="Nevada County"/>
    <x v="5"/>
    <x v="0"/>
    <x v="2"/>
  </r>
  <r>
    <x v="13"/>
    <x v="6"/>
    <x v="6"/>
    <n v="88.4"/>
    <x v="13"/>
    <x v="0"/>
    <d v="2025-01-08T00:00:00"/>
    <x v="1"/>
    <x v="3"/>
    <x v="0"/>
    <s v="California"/>
    <s v="Placer County"/>
    <x v="6"/>
    <x v="0"/>
    <x v="1"/>
  </r>
  <r>
    <x v="14"/>
    <x v="10"/>
    <x v="0"/>
    <n v="66.7"/>
    <x v="14"/>
    <x v="0"/>
    <d v="2025-01-04T00:00:00"/>
    <x v="1"/>
    <x v="0"/>
    <x v="0"/>
    <s v="California"/>
    <s v="Sacramento County"/>
    <x v="2"/>
    <x v="0"/>
    <x v="1"/>
  </r>
  <r>
    <x v="15"/>
    <x v="9"/>
    <x v="7"/>
    <n v="30.9"/>
    <x v="15"/>
    <x v="0"/>
    <d v="2025-01-02T00:00:00"/>
    <x v="1"/>
    <x v="1"/>
    <x v="2"/>
    <s v="California"/>
    <s v="Sacramento County"/>
    <x v="3"/>
    <x v="0"/>
    <x v="1"/>
  </r>
  <r>
    <x v="16"/>
    <x v="4"/>
    <x v="2"/>
    <n v="31.1"/>
    <x v="16"/>
    <x v="0"/>
    <d v="2025-01-02T00:00:00"/>
    <x v="2"/>
    <x v="0"/>
    <x v="1"/>
    <s v="California"/>
    <s v="Sacramento County"/>
    <x v="3"/>
    <x v="0"/>
    <x v="2"/>
  </r>
  <r>
    <x v="17"/>
    <x v="7"/>
    <x v="2"/>
    <n v="36.6"/>
    <x v="17"/>
    <x v="0"/>
    <d v="2025-01-04T00:00:00"/>
    <x v="2"/>
    <x v="0"/>
    <x v="0"/>
    <s v="California"/>
    <s v="San Bernardino County"/>
    <x v="2"/>
    <x v="0"/>
    <x v="2"/>
  </r>
  <r>
    <x v="18"/>
    <x v="6"/>
    <x v="8"/>
    <n v="51.1"/>
    <x v="18"/>
    <x v="0"/>
    <d v="2025-01-04T00:00:00"/>
    <x v="2"/>
    <x v="2"/>
    <x v="3"/>
    <s v="California"/>
    <s v="San Bernardino County"/>
    <x v="2"/>
    <x v="0"/>
    <x v="2"/>
  </r>
  <r>
    <x v="19"/>
    <x v="9"/>
    <x v="0"/>
    <n v="25.2"/>
    <x v="19"/>
    <x v="0"/>
    <d v="2025-01-02T00:00:00"/>
    <x v="2"/>
    <x v="1"/>
    <x v="2"/>
    <s v="California"/>
    <s v="San Diego County"/>
    <x v="3"/>
    <x v="0"/>
    <x v="2"/>
  </r>
  <r>
    <x v="20"/>
    <x v="9"/>
    <x v="9"/>
    <n v="43.8"/>
    <x v="20"/>
    <x v="0"/>
    <d v="2025-01-04T00:00:00"/>
    <x v="2"/>
    <x v="2"/>
    <x v="0"/>
    <s v="California"/>
    <s v="San Diego County"/>
    <x v="2"/>
    <x v="0"/>
    <x v="2"/>
  </r>
  <r>
    <x v="21"/>
    <x v="8"/>
    <x v="4"/>
    <n v="46.7"/>
    <x v="21"/>
    <x v="0"/>
    <d v="2025-01-02T00:00:00"/>
    <x v="2"/>
    <x v="1"/>
    <x v="1"/>
    <s v="California"/>
    <s v="San Diego County"/>
    <x v="3"/>
    <x v="0"/>
    <x v="2"/>
  </r>
  <r>
    <x v="22"/>
    <x v="3"/>
    <x v="10"/>
    <n v="79.900000000000006"/>
    <x v="22"/>
    <x v="0"/>
    <d v="2025-01-02T00:00:00"/>
    <x v="1"/>
    <x v="0"/>
    <x v="2"/>
    <s v="California"/>
    <s v="San Diego County"/>
    <x v="3"/>
    <x v="0"/>
    <x v="1"/>
  </r>
  <r>
    <x v="23"/>
    <x v="11"/>
    <x v="8"/>
    <n v="26.4"/>
    <x v="23"/>
    <x v="0"/>
    <d v="2025-01-02T00:00:00"/>
    <x v="2"/>
    <x v="3"/>
    <x v="0"/>
    <s v="California"/>
    <s v="San Diego County"/>
    <x v="3"/>
    <x v="0"/>
    <x v="2"/>
  </r>
  <r>
    <x v="24"/>
    <x v="12"/>
    <x v="8"/>
    <n v="88.8"/>
    <x v="24"/>
    <x v="0"/>
    <d v="2025-01-02T00:00:00"/>
    <x v="2"/>
    <x v="4"/>
    <x v="0"/>
    <s v="California"/>
    <s v="San Diego County"/>
    <x v="3"/>
    <x v="0"/>
    <x v="2"/>
  </r>
  <r>
    <x v="25"/>
    <x v="0"/>
    <x v="7"/>
    <n v="17.5"/>
    <x v="25"/>
    <x v="0"/>
    <d v="2025-01-02T00:00:00"/>
    <x v="2"/>
    <x v="2"/>
    <x v="0"/>
    <s v="California"/>
    <s v="San Mateo County"/>
    <x v="3"/>
    <x v="0"/>
    <x v="2"/>
  </r>
  <r>
    <x v="26"/>
    <x v="1"/>
    <x v="11"/>
    <n v="38.700000000000003"/>
    <x v="26"/>
    <x v="0"/>
    <d v="2025-01-04T00:00:00"/>
    <x v="1"/>
    <x v="1"/>
    <x v="0"/>
    <s v="California"/>
    <s v="Santa Barbara County"/>
    <x v="2"/>
    <x v="0"/>
    <x v="1"/>
  </r>
  <r>
    <x v="27"/>
    <x v="13"/>
    <x v="12"/>
    <n v="57.2"/>
    <x v="27"/>
    <x v="0"/>
    <d v="2025-01-03T00:00:00"/>
    <x v="0"/>
    <x v="1"/>
    <x v="2"/>
    <s v="California"/>
    <s v="Santa Clara County"/>
    <x v="1"/>
    <x v="0"/>
    <x v="0"/>
  </r>
  <r>
    <x v="28"/>
    <x v="6"/>
    <x v="9"/>
    <n v="50.9"/>
    <x v="28"/>
    <x v="0"/>
    <d v="2025-01-07T00:00:00"/>
    <x v="0"/>
    <x v="1"/>
    <x v="2"/>
    <s v="California"/>
    <s v="Tehama County"/>
    <x v="4"/>
    <x v="0"/>
    <x v="0"/>
  </r>
  <r>
    <x v="29"/>
    <x v="14"/>
    <x v="3"/>
    <n v="41"/>
    <x v="29"/>
    <x v="0"/>
    <d v="2025-01-05T00:00:00"/>
    <x v="2"/>
    <x v="1"/>
    <x v="0"/>
    <s v="California"/>
    <s v="Ventura County"/>
    <x v="5"/>
    <x v="0"/>
    <x v="2"/>
  </r>
  <r>
    <x v="30"/>
    <x v="8"/>
    <x v="3"/>
    <n v="19.100000000000001"/>
    <x v="30"/>
    <x v="0"/>
    <d v="2025-01-05T00:00:00"/>
    <x v="1"/>
    <x v="0"/>
    <x v="2"/>
    <s v="California"/>
    <s v="Calaveras County"/>
    <x v="5"/>
    <x v="0"/>
    <x v="1"/>
  </r>
  <r>
    <x v="31"/>
    <x v="2"/>
    <x v="9"/>
    <n v="166.1"/>
    <x v="31"/>
    <x v="0"/>
    <d v="2025-01-04T00:00:00"/>
    <x v="1"/>
    <x v="0"/>
    <x v="0"/>
    <s v="California"/>
    <s v="Inyo County"/>
    <x v="2"/>
    <x v="0"/>
    <x v="1"/>
  </r>
  <r>
    <x v="32"/>
    <x v="4"/>
    <x v="2"/>
    <n v="29.9"/>
    <x v="32"/>
    <x v="0"/>
    <d v="2025-01-02T00:00:00"/>
    <x v="1"/>
    <x v="3"/>
    <x v="0"/>
    <s v="California"/>
    <s v="Los Angeles County"/>
    <x v="3"/>
    <x v="0"/>
    <x v="1"/>
  </r>
  <r>
    <x v="33"/>
    <x v="10"/>
    <x v="13"/>
    <n v="21.7"/>
    <x v="33"/>
    <x v="0"/>
    <d v="2025-01-03T00:00:00"/>
    <x v="3"/>
    <x v="2"/>
    <x v="2"/>
    <s v="California"/>
    <s v="Los Angeles County"/>
    <x v="1"/>
    <x v="0"/>
    <x v="3"/>
  </r>
  <r>
    <x v="34"/>
    <x v="11"/>
    <x v="1"/>
    <n v="32"/>
    <x v="34"/>
    <x v="0"/>
    <d v="2025-01-04T00:00:00"/>
    <x v="1"/>
    <x v="0"/>
    <x v="2"/>
    <s v="California"/>
    <s v="Los Angeles County"/>
    <x v="2"/>
    <x v="0"/>
    <x v="1"/>
  </r>
  <r>
    <x v="35"/>
    <x v="8"/>
    <x v="1"/>
    <n v="15.8"/>
    <x v="35"/>
    <x v="0"/>
    <d v="2025-01-02T00:00:00"/>
    <x v="1"/>
    <x v="4"/>
    <x v="2"/>
    <s v="California"/>
    <s v="Los Angeles County"/>
    <x v="3"/>
    <x v="0"/>
    <x v="1"/>
  </r>
  <r>
    <x v="36"/>
    <x v="2"/>
    <x v="14"/>
    <n v="203.1"/>
    <x v="36"/>
    <x v="0"/>
    <d v="2025-01-05T00:00:00"/>
    <x v="1"/>
    <x v="3"/>
    <x v="1"/>
    <s v="California"/>
    <s v="Los Angeles County"/>
    <x v="5"/>
    <x v="0"/>
    <x v="1"/>
  </r>
  <r>
    <x v="37"/>
    <x v="7"/>
    <x v="15"/>
    <n v="39"/>
    <x v="37"/>
    <x v="0"/>
    <d v="2025-01-07T00:00:00"/>
    <x v="1"/>
    <x v="0"/>
    <x v="2"/>
    <s v="California"/>
    <s v="Los Angeles County"/>
    <x v="4"/>
    <x v="0"/>
    <x v="1"/>
  </r>
  <r>
    <x v="38"/>
    <x v="10"/>
    <x v="0"/>
    <n v="26.5"/>
    <x v="38"/>
    <x v="1"/>
    <d v="2025-01-03T00:00:00"/>
    <x v="1"/>
    <x v="2"/>
    <x v="0"/>
    <s v="California"/>
    <s v="Los Angeles County"/>
    <x v="3"/>
    <x v="0"/>
    <x v="1"/>
  </r>
  <r>
    <x v="39"/>
    <x v="5"/>
    <x v="0"/>
    <n v="43.1"/>
    <x v="39"/>
    <x v="1"/>
    <d v="2025-01-03T00:00:00"/>
    <x v="2"/>
    <x v="2"/>
    <x v="1"/>
    <s v="California"/>
    <s v="Los Angeles County"/>
    <x v="3"/>
    <x v="0"/>
    <x v="2"/>
  </r>
  <r>
    <x v="40"/>
    <x v="1"/>
    <x v="2"/>
    <n v="139"/>
    <x v="40"/>
    <x v="1"/>
    <d v="2025-01-03T00:00:00"/>
    <x v="2"/>
    <x v="4"/>
    <x v="2"/>
    <s v="California"/>
    <s v="Los Angeles County"/>
    <x v="3"/>
    <x v="0"/>
    <x v="2"/>
  </r>
  <r>
    <x v="41"/>
    <x v="12"/>
    <x v="0"/>
    <n v="80.7"/>
    <x v="41"/>
    <x v="1"/>
    <d v="2025-01-03T00:00:00"/>
    <x v="1"/>
    <x v="0"/>
    <x v="2"/>
    <s v="California"/>
    <s v="Napa County"/>
    <x v="3"/>
    <x v="0"/>
    <x v="1"/>
  </r>
  <r>
    <x v="42"/>
    <x v="4"/>
    <x v="1"/>
    <n v="54.5"/>
    <x v="42"/>
    <x v="1"/>
    <d v="2025-01-04T00:00:00"/>
    <x v="1"/>
    <x v="1"/>
    <x v="1"/>
    <s v="California"/>
    <s v="Sacramento County"/>
    <x v="1"/>
    <x v="0"/>
    <x v="1"/>
  </r>
  <r>
    <x v="43"/>
    <x v="6"/>
    <x v="2"/>
    <n v="68.599999999999994"/>
    <x v="43"/>
    <x v="1"/>
    <d v="2025-01-02T00:00:00"/>
    <x v="2"/>
    <x v="0"/>
    <x v="1"/>
    <s v="California"/>
    <s v="San Diego County"/>
    <x v="7"/>
    <x v="0"/>
    <x v="2"/>
  </r>
  <r>
    <x v="44"/>
    <x v="2"/>
    <x v="12"/>
    <n v="135.9"/>
    <x v="44"/>
    <x v="1"/>
    <d v="2025-01-03T00:00:00"/>
    <x v="2"/>
    <x v="2"/>
    <x v="2"/>
    <s v="California"/>
    <s v="San Diego County"/>
    <x v="3"/>
    <x v="0"/>
    <x v="2"/>
  </r>
  <r>
    <x v="45"/>
    <x v="2"/>
    <x v="12"/>
    <n v="70.900000000000006"/>
    <x v="45"/>
    <x v="1"/>
    <d v="2025-01-03T00:00:00"/>
    <x v="2"/>
    <x v="0"/>
    <x v="0"/>
    <s v="California"/>
    <s v="San Francisco"/>
    <x v="3"/>
    <x v="0"/>
    <x v="2"/>
  </r>
  <r>
    <x v="46"/>
    <x v="1"/>
    <x v="9"/>
    <n v="63.7"/>
    <x v="46"/>
    <x v="1"/>
    <d v="2025-01-03T00:00:00"/>
    <x v="1"/>
    <x v="1"/>
    <x v="1"/>
    <s v="California"/>
    <s v="San Mateo County"/>
    <x v="3"/>
    <x v="0"/>
    <x v="1"/>
  </r>
  <r>
    <x v="47"/>
    <x v="13"/>
    <x v="0"/>
    <n v="29.7"/>
    <x v="47"/>
    <x v="1"/>
    <d v="2025-01-04T00:00:00"/>
    <x v="2"/>
    <x v="1"/>
    <x v="0"/>
    <s v="California"/>
    <s v="Santa Clara County"/>
    <x v="1"/>
    <x v="0"/>
    <x v="2"/>
  </r>
  <r>
    <x v="48"/>
    <x v="4"/>
    <x v="2"/>
    <n v="26.8"/>
    <x v="48"/>
    <x v="1"/>
    <d v="2025-01-11T00:00:00"/>
    <x v="2"/>
    <x v="1"/>
    <x v="2"/>
    <s v="California"/>
    <s v="Santa Clara County"/>
    <x v="8"/>
    <x v="0"/>
    <x v="2"/>
  </r>
  <r>
    <x v="49"/>
    <x v="14"/>
    <x v="0"/>
    <n v="27"/>
    <x v="49"/>
    <x v="1"/>
    <d v="2025-01-04T00:00:00"/>
    <x v="2"/>
    <x v="0"/>
    <x v="0"/>
    <s v="California"/>
    <s v="Sonoma County"/>
    <x v="1"/>
    <x v="0"/>
    <x v="2"/>
  </r>
  <r>
    <x v="50"/>
    <x v="8"/>
    <x v="0"/>
    <n v="41.4"/>
    <x v="50"/>
    <x v="1"/>
    <d v="2025-01-03T00:00:00"/>
    <x v="1"/>
    <x v="1"/>
    <x v="2"/>
    <s v="California"/>
    <s v="Stanislaus County"/>
    <x v="3"/>
    <x v="0"/>
    <x v="1"/>
  </r>
  <r>
    <x v="51"/>
    <x v="8"/>
    <x v="1"/>
    <n v="24.3"/>
    <x v="51"/>
    <x v="1"/>
    <d v="2025-01-05T00:00:00"/>
    <x v="2"/>
    <x v="1"/>
    <x v="0"/>
    <s v="California"/>
    <s v="Stanislaus County"/>
    <x v="2"/>
    <x v="0"/>
    <x v="2"/>
  </r>
  <r>
    <x v="52"/>
    <x v="8"/>
    <x v="2"/>
    <n v="41.7"/>
    <x v="52"/>
    <x v="1"/>
    <d v="2025-01-04T00:00:00"/>
    <x v="1"/>
    <x v="0"/>
    <x v="2"/>
    <s v="California"/>
    <s v="Tulare County"/>
    <x v="1"/>
    <x v="0"/>
    <x v="1"/>
  </r>
  <r>
    <x v="53"/>
    <x v="0"/>
    <x v="1"/>
    <n v="18"/>
    <x v="53"/>
    <x v="1"/>
    <d v="2025-01-03T00:00:00"/>
    <x v="2"/>
    <x v="0"/>
    <x v="2"/>
    <s v="California"/>
    <s v="Alameda County"/>
    <x v="3"/>
    <x v="0"/>
    <x v="2"/>
  </r>
  <r>
    <x v="54"/>
    <x v="7"/>
    <x v="2"/>
    <n v="91.3"/>
    <x v="54"/>
    <x v="1"/>
    <d v="2025-01-05T00:00:00"/>
    <x v="1"/>
    <x v="2"/>
    <x v="2"/>
    <s v="California"/>
    <s v="Los Angeles County"/>
    <x v="2"/>
    <x v="0"/>
    <x v="1"/>
  </r>
  <r>
    <x v="55"/>
    <x v="8"/>
    <x v="8"/>
    <n v="19.3"/>
    <x v="55"/>
    <x v="1"/>
    <d v="2025-01-03T00:00:00"/>
    <x v="1"/>
    <x v="0"/>
    <x v="0"/>
    <s v="California"/>
    <s v="Los Angeles County"/>
    <x v="3"/>
    <x v="0"/>
    <x v="1"/>
  </r>
  <r>
    <x v="56"/>
    <x v="12"/>
    <x v="15"/>
    <n v="63.2"/>
    <x v="56"/>
    <x v="1"/>
    <d v="2025-01-03T00:00:00"/>
    <x v="2"/>
    <x v="0"/>
    <x v="0"/>
    <s v="California"/>
    <s v="Los Angeles County"/>
    <x v="3"/>
    <x v="0"/>
    <x v="2"/>
  </r>
  <r>
    <x v="57"/>
    <x v="10"/>
    <x v="11"/>
    <n v="33.299999999999997"/>
    <x v="57"/>
    <x v="2"/>
    <d v="2025-01-11T00:00:00"/>
    <x v="2"/>
    <x v="0"/>
    <x v="2"/>
    <s v="California"/>
    <s v="Los Angeles County"/>
    <x v="9"/>
    <x v="0"/>
    <x v="2"/>
  </r>
  <r>
    <x v="58"/>
    <x v="7"/>
    <x v="1"/>
    <n v="64.2"/>
    <x v="58"/>
    <x v="2"/>
    <d v="2025-01-04T00:00:00"/>
    <x v="1"/>
    <x v="0"/>
    <x v="2"/>
    <s v="California"/>
    <s v="Los Angeles County"/>
    <x v="3"/>
    <x v="0"/>
    <x v="1"/>
  </r>
  <r>
    <x v="59"/>
    <x v="9"/>
    <x v="2"/>
    <n v="23.1"/>
    <x v="59"/>
    <x v="2"/>
    <d v="2025-01-06T00:00:00"/>
    <x v="2"/>
    <x v="1"/>
    <x v="2"/>
    <s v="California"/>
    <s v="Los Angeles County"/>
    <x v="2"/>
    <x v="0"/>
    <x v="2"/>
  </r>
  <r>
    <x v="60"/>
    <x v="15"/>
    <x v="1"/>
    <n v="71.099999999999994"/>
    <x v="60"/>
    <x v="2"/>
    <d v="2025-01-05T00:00:00"/>
    <x v="2"/>
    <x v="3"/>
    <x v="1"/>
    <s v="California"/>
    <s v="Los Angeles County"/>
    <x v="1"/>
    <x v="0"/>
    <x v="2"/>
  </r>
  <r>
    <x v="61"/>
    <x v="0"/>
    <x v="1"/>
    <n v="11.5"/>
    <x v="61"/>
    <x v="2"/>
    <d v="2025-01-04T00:00:00"/>
    <x v="2"/>
    <x v="0"/>
    <x v="0"/>
    <s v="California"/>
    <s v="Los Angeles County"/>
    <x v="3"/>
    <x v="0"/>
    <x v="2"/>
  </r>
  <r>
    <x v="62"/>
    <x v="15"/>
    <x v="10"/>
    <n v="69.2"/>
    <x v="62"/>
    <x v="2"/>
    <d v="2025-01-08T00:00:00"/>
    <x v="2"/>
    <x v="0"/>
    <x v="0"/>
    <s v="California"/>
    <s v="Los Angeles County"/>
    <x v="0"/>
    <x v="0"/>
    <x v="2"/>
  </r>
  <r>
    <x v="63"/>
    <x v="0"/>
    <x v="0"/>
    <n v="26.8"/>
    <x v="63"/>
    <x v="2"/>
    <d v="2025-01-04T00:00:00"/>
    <x v="1"/>
    <x v="2"/>
    <x v="4"/>
    <s v="California"/>
    <s v="Los Angeles County"/>
    <x v="3"/>
    <x v="0"/>
    <x v="1"/>
  </r>
  <r>
    <x v="64"/>
    <x v="16"/>
    <x v="2"/>
    <n v="31.2"/>
    <x v="64"/>
    <x v="2"/>
    <d v="2025-01-06T00:00:00"/>
    <x v="2"/>
    <x v="0"/>
    <x v="0"/>
    <s v="California"/>
    <s v="Los Angeles County"/>
    <x v="2"/>
    <x v="0"/>
    <x v="2"/>
  </r>
  <r>
    <x v="65"/>
    <x v="12"/>
    <x v="1"/>
    <n v="113.2"/>
    <x v="65"/>
    <x v="2"/>
    <d v="2025-01-04T00:00:00"/>
    <x v="2"/>
    <x v="4"/>
    <x v="0"/>
    <s v="California"/>
    <s v="Los Angeles County"/>
    <x v="3"/>
    <x v="0"/>
    <x v="2"/>
  </r>
  <r>
    <x v="66"/>
    <x v="10"/>
    <x v="8"/>
    <n v="21"/>
    <x v="66"/>
    <x v="2"/>
    <d v="2025-01-04T00:00:00"/>
    <x v="1"/>
    <x v="0"/>
    <x v="0"/>
    <s v="California"/>
    <s v="Sacramento County"/>
    <x v="3"/>
    <x v="0"/>
    <x v="1"/>
  </r>
  <r>
    <x v="67"/>
    <x v="1"/>
    <x v="1"/>
    <n v="89.1"/>
    <x v="67"/>
    <x v="2"/>
    <d v="2025-01-04T00:00:00"/>
    <x v="2"/>
    <x v="2"/>
    <x v="2"/>
    <s v="California"/>
    <s v="Sacramento County"/>
    <x v="3"/>
    <x v="0"/>
    <x v="2"/>
  </r>
  <r>
    <x v="68"/>
    <x v="1"/>
    <x v="0"/>
    <n v="97.7"/>
    <x v="68"/>
    <x v="2"/>
    <d v="2025-01-05T00:00:00"/>
    <x v="2"/>
    <x v="0"/>
    <x v="1"/>
    <s v="California"/>
    <s v="Sacramento County"/>
    <x v="1"/>
    <x v="0"/>
    <x v="2"/>
  </r>
  <r>
    <x v="69"/>
    <x v="15"/>
    <x v="12"/>
    <n v="97.7"/>
    <x v="69"/>
    <x v="2"/>
    <d v="2025-01-05T00:00:00"/>
    <x v="1"/>
    <x v="3"/>
    <x v="0"/>
    <s v="California"/>
    <s v="Sacramento County"/>
    <x v="1"/>
    <x v="0"/>
    <x v="1"/>
  </r>
  <r>
    <x v="70"/>
    <x v="17"/>
    <x v="2"/>
    <n v="47.4"/>
    <x v="60"/>
    <x v="2"/>
    <d v="2025-01-06T00:00:00"/>
    <x v="1"/>
    <x v="3"/>
    <x v="2"/>
    <s v="California"/>
    <s v="San Diego County"/>
    <x v="2"/>
    <x v="0"/>
    <x v="1"/>
  </r>
  <r>
    <x v="71"/>
    <x v="7"/>
    <x v="0"/>
    <n v="89.6"/>
    <x v="70"/>
    <x v="2"/>
    <d v="2025-01-06T00:00:00"/>
    <x v="2"/>
    <x v="0"/>
    <x v="2"/>
    <s v="California"/>
    <s v="San Diego County"/>
    <x v="2"/>
    <x v="0"/>
    <x v="2"/>
  </r>
  <r>
    <x v="72"/>
    <x v="10"/>
    <x v="16"/>
    <n v="28.4"/>
    <x v="71"/>
    <x v="2"/>
    <d v="2025-01-06T00:00:00"/>
    <x v="2"/>
    <x v="3"/>
    <x v="2"/>
    <s v="California"/>
    <s v="San Francisco"/>
    <x v="2"/>
    <x v="0"/>
    <x v="2"/>
  </r>
  <r>
    <x v="73"/>
    <x v="0"/>
    <x v="1"/>
    <n v="17.899999999999999"/>
    <x v="72"/>
    <x v="2"/>
    <d v="2025-01-04T00:00:00"/>
    <x v="2"/>
    <x v="0"/>
    <x v="2"/>
    <s v="California"/>
    <s v="San Mateo County"/>
    <x v="3"/>
    <x v="0"/>
    <x v="2"/>
  </r>
  <r>
    <x v="74"/>
    <x v="9"/>
    <x v="1"/>
    <n v="48.4"/>
    <x v="73"/>
    <x v="2"/>
    <d v="2025-01-06T00:00:00"/>
    <x v="1"/>
    <x v="1"/>
    <x v="0"/>
    <s v="California"/>
    <s v="San Mateo County"/>
    <x v="2"/>
    <x v="0"/>
    <x v="1"/>
  </r>
  <r>
    <x v="75"/>
    <x v="12"/>
    <x v="12"/>
    <n v="44.4"/>
    <x v="74"/>
    <x v="2"/>
    <d v="2025-01-04T00:00:00"/>
    <x v="3"/>
    <x v="1"/>
    <x v="1"/>
    <s v="California"/>
    <s v="Santa Clara County"/>
    <x v="3"/>
    <x v="0"/>
    <x v="3"/>
  </r>
  <r>
    <x v="76"/>
    <x v="2"/>
    <x v="8"/>
    <n v="103.7"/>
    <x v="75"/>
    <x v="2"/>
    <d v="2025-01-04T00:00:00"/>
    <x v="2"/>
    <x v="0"/>
    <x v="1"/>
    <s v="California"/>
    <s v="Stanislaus County"/>
    <x v="3"/>
    <x v="0"/>
    <x v="2"/>
  </r>
  <r>
    <x v="77"/>
    <x v="5"/>
    <x v="12"/>
    <n v="58.6"/>
    <x v="76"/>
    <x v="2"/>
    <d v="2025-01-05T00:00:00"/>
    <x v="1"/>
    <x v="3"/>
    <x v="0"/>
    <s v="California"/>
    <s v="Stanislaus County"/>
    <x v="1"/>
    <x v="0"/>
    <x v="1"/>
  </r>
  <r>
    <x v="78"/>
    <x v="9"/>
    <x v="12"/>
    <n v="54.8"/>
    <x v="77"/>
    <x v="2"/>
    <d v="2025-01-07T00:00:00"/>
    <x v="2"/>
    <x v="2"/>
    <x v="1"/>
    <s v="California"/>
    <s v="Ventura County"/>
    <x v="5"/>
    <x v="0"/>
    <x v="2"/>
  </r>
  <r>
    <x v="79"/>
    <x v="12"/>
    <x v="2"/>
    <n v="78.8"/>
    <x v="78"/>
    <x v="2"/>
    <d v="2025-01-09T00:00:00"/>
    <x v="2"/>
    <x v="4"/>
    <x v="1"/>
    <s v="California"/>
    <s v="Alameda County"/>
    <x v="4"/>
    <x v="0"/>
    <x v="2"/>
  </r>
  <r>
    <x v="80"/>
    <x v="18"/>
    <x v="9"/>
    <n v="36.799999999999997"/>
    <x v="79"/>
    <x v="2"/>
    <d v="2025-01-06T00:00:00"/>
    <x v="1"/>
    <x v="4"/>
    <x v="1"/>
    <s v="California"/>
    <s v="Kern County"/>
    <x v="2"/>
    <x v="0"/>
    <x v="1"/>
  </r>
  <r>
    <x v="81"/>
    <x v="6"/>
    <x v="13"/>
    <n v="50.6"/>
    <x v="80"/>
    <x v="2"/>
    <d v="2025-01-05T00:00:00"/>
    <x v="2"/>
    <x v="3"/>
    <x v="0"/>
    <s v="California"/>
    <s v="Los Angeles County"/>
    <x v="1"/>
    <x v="0"/>
    <x v="2"/>
  </r>
  <r>
    <x v="82"/>
    <x v="15"/>
    <x v="2"/>
    <n v="36.799999999999997"/>
    <x v="81"/>
    <x v="2"/>
    <d v="2025-01-03T00:00:00"/>
    <x v="1"/>
    <x v="2"/>
    <x v="1"/>
    <s v="California"/>
    <s v="Los Angeles County"/>
    <x v="7"/>
    <x v="0"/>
    <x v="1"/>
  </r>
  <r>
    <x v="83"/>
    <x v="8"/>
    <x v="11"/>
    <n v="41.8"/>
    <x v="82"/>
    <x v="3"/>
    <d v="2025-01-10T00:00:00"/>
    <x v="2"/>
    <x v="3"/>
    <x v="0"/>
    <s v="California"/>
    <s v="Los Angeles County"/>
    <x v="4"/>
    <x v="0"/>
    <x v="2"/>
  </r>
  <r>
    <x v="84"/>
    <x v="18"/>
    <x v="0"/>
    <n v="77.3"/>
    <x v="83"/>
    <x v="3"/>
    <d v="2025-01-05T00:00:00"/>
    <x v="1"/>
    <x v="4"/>
    <x v="4"/>
    <s v="California"/>
    <s v="Los Angeles County"/>
    <x v="3"/>
    <x v="0"/>
    <x v="1"/>
  </r>
  <r>
    <x v="85"/>
    <x v="8"/>
    <x v="12"/>
    <n v="19.8"/>
    <x v="84"/>
    <x v="3"/>
    <d v="2025-01-10T00:00:00"/>
    <x v="1"/>
    <x v="1"/>
    <x v="2"/>
    <s v="California"/>
    <s v="Los Angeles County"/>
    <x v="4"/>
    <x v="0"/>
    <x v="1"/>
  </r>
  <r>
    <x v="86"/>
    <x v="13"/>
    <x v="12"/>
    <n v="15.5"/>
    <x v="85"/>
    <x v="3"/>
    <d v="2025-01-05T00:00:00"/>
    <x v="2"/>
    <x v="1"/>
    <x v="2"/>
    <s v="California"/>
    <s v="Los Angeles County"/>
    <x v="3"/>
    <x v="0"/>
    <x v="2"/>
  </r>
  <r>
    <x v="87"/>
    <x v="12"/>
    <x v="0"/>
    <n v="46.8"/>
    <x v="86"/>
    <x v="3"/>
    <d v="2025-01-08T00:00:00"/>
    <x v="1"/>
    <x v="0"/>
    <x v="2"/>
    <s v="California"/>
    <s v="Los Angeles County"/>
    <x v="5"/>
    <x v="0"/>
    <x v="1"/>
  </r>
  <r>
    <x v="88"/>
    <x v="9"/>
    <x v="11"/>
    <n v="28.6"/>
    <x v="87"/>
    <x v="3"/>
    <d v="2025-01-08T00:00:00"/>
    <x v="1"/>
    <x v="0"/>
    <x v="2"/>
    <s v="California"/>
    <s v="Los Angeles County"/>
    <x v="5"/>
    <x v="0"/>
    <x v="1"/>
  </r>
  <r>
    <x v="89"/>
    <x v="2"/>
    <x v="0"/>
    <n v="97.7"/>
    <x v="68"/>
    <x v="3"/>
    <d v="2025-01-07T00:00:00"/>
    <x v="2"/>
    <x v="1"/>
    <x v="0"/>
    <s v="California"/>
    <s v="Los Angeles County"/>
    <x v="2"/>
    <x v="0"/>
    <x v="2"/>
  </r>
  <r>
    <x v="90"/>
    <x v="9"/>
    <x v="9"/>
    <n v="54.7"/>
    <x v="88"/>
    <x v="3"/>
    <d v="2025-01-07T00:00:00"/>
    <x v="0"/>
    <x v="0"/>
    <x v="2"/>
    <s v="California"/>
    <s v="Riverside County"/>
    <x v="2"/>
    <x v="0"/>
    <x v="0"/>
  </r>
  <r>
    <x v="91"/>
    <x v="2"/>
    <x v="13"/>
    <n v="130.5"/>
    <x v="89"/>
    <x v="3"/>
    <d v="2025-01-06T00:00:00"/>
    <x v="2"/>
    <x v="0"/>
    <x v="1"/>
    <s v="California"/>
    <s v="Riverside County"/>
    <x v="1"/>
    <x v="0"/>
    <x v="2"/>
  </r>
  <r>
    <x v="92"/>
    <x v="11"/>
    <x v="1"/>
    <n v="50.4"/>
    <x v="90"/>
    <x v="3"/>
    <d v="2025-01-06T00:00:00"/>
    <x v="1"/>
    <x v="2"/>
    <x v="2"/>
    <s v="California"/>
    <s v="Sacramento County"/>
    <x v="1"/>
    <x v="0"/>
    <x v="1"/>
  </r>
  <r>
    <x v="93"/>
    <x v="6"/>
    <x v="15"/>
    <n v="61.5"/>
    <x v="91"/>
    <x v="3"/>
    <d v="2025-01-05T00:00:00"/>
    <x v="0"/>
    <x v="3"/>
    <x v="1"/>
    <s v="California"/>
    <s v="Santa Clara County"/>
    <x v="3"/>
    <x v="0"/>
    <x v="0"/>
  </r>
  <r>
    <x v="94"/>
    <x v="9"/>
    <x v="12"/>
    <n v="30.1"/>
    <x v="92"/>
    <x v="3"/>
    <d v="2025-01-05T00:00:00"/>
    <x v="2"/>
    <x v="0"/>
    <x v="2"/>
    <s v="California"/>
    <s v="Alameda County"/>
    <x v="3"/>
    <x v="0"/>
    <x v="2"/>
  </r>
  <r>
    <x v="95"/>
    <x v="2"/>
    <x v="9"/>
    <n v="74.8"/>
    <x v="93"/>
    <x v="3"/>
    <d v="2025-01-05T00:00:00"/>
    <x v="2"/>
    <x v="1"/>
    <x v="0"/>
    <s v="California"/>
    <s v="Contra Costa County"/>
    <x v="3"/>
    <x v="0"/>
    <x v="2"/>
  </r>
  <r>
    <x v="96"/>
    <x v="16"/>
    <x v="2"/>
    <n v="64.900000000000006"/>
    <x v="94"/>
    <x v="3"/>
    <d v="2025-01-11T00:00:00"/>
    <x v="1"/>
    <x v="0"/>
    <x v="0"/>
    <s v="California"/>
    <s v="Fresno County"/>
    <x v="6"/>
    <x v="0"/>
    <x v="1"/>
  </r>
  <r>
    <x v="97"/>
    <x v="9"/>
    <x v="1"/>
    <n v="50.5"/>
    <x v="95"/>
    <x v="3"/>
    <d v="2025-01-06T00:00:00"/>
    <x v="1"/>
    <x v="1"/>
    <x v="0"/>
    <s v="California"/>
    <s v="Kern County"/>
    <x v="1"/>
    <x v="0"/>
    <x v="1"/>
  </r>
  <r>
    <x v="98"/>
    <x v="11"/>
    <x v="3"/>
    <n v="63"/>
    <x v="96"/>
    <x v="3"/>
    <d v="2025-01-07T00:00:00"/>
    <x v="1"/>
    <x v="3"/>
    <x v="2"/>
    <s v="California"/>
    <s v="Los Angeles County"/>
    <x v="2"/>
    <x v="0"/>
    <x v="1"/>
  </r>
  <r>
    <x v="99"/>
    <x v="2"/>
    <x v="2"/>
    <n v="93.6"/>
    <x v="97"/>
    <x v="3"/>
    <d v="2025-01-17T00:00:00"/>
    <x v="2"/>
    <x v="0"/>
    <x v="2"/>
    <s v="California"/>
    <s v="Los Angeles County"/>
    <x v="10"/>
    <x v="0"/>
    <x v="2"/>
  </r>
  <r>
    <x v="100"/>
    <x v="5"/>
    <x v="17"/>
    <n v="41.4"/>
    <x v="98"/>
    <x v="3"/>
    <d v="2025-01-08T00:00:00"/>
    <x v="1"/>
    <x v="2"/>
    <x v="2"/>
    <s v="California"/>
    <s v="Los Angeles County"/>
    <x v="5"/>
    <x v="0"/>
    <x v="1"/>
  </r>
  <r>
    <x v="101"/>
    <x v="2"/>
    <x v="1"/>
    <n v="160"/>
    <x v="99"/>
    <x v="4"/>
    <d v="2025-01-06T00:00:00"/>
    <x v="1"/>
    <x v="2"/>
    <x v="2"/>
    <s v="California"/>
    <s v="Placer County"/>
    <x v="3"/>
    <x v="1"/>
    <x v="1"/>
  </r>
  <r>
    <x v="102"/>
    <x v="19"/>
    <x v="5"/>
    <n v="10.5"/>
    <x v="100"/>
    <x v="4"/>
    <d v="2025-01-08T00:00:00"/>
    <x v="2"/>
    <x v="4"/>
    <x v="0"/>
    <s v="California"/>
    <s v="San Diego County"/>
    <x v="2"/>
    <x v="1"/>
    <x v="2"/>
  </r>
  <r>
    <x v="103"/>
    <x v="10"/>
    <x v="1"/>
    <n v="53"/>
    <x v="101"/>
    <x v="4"/>
    <d v="2025-01-05T00:00:00"/>
    <x v="1"/>
    <x v="2"/>
    <x v="4"/>
    <s v="California"/>
    <s v="San Francisco"/>
    <x v="7"/>
    <x v="1"/>
    <x v="1"/>
  </r>
  <r>
    <x v="104"/>
    <x v="8"/>
    <x v="2"/>
    <n v="18.5"/>
    <x v="102"/>
    <x v="4"/>
    <d v="2025-01-10T00:00:00"/>
    <x v="2"/>
    <x v="1"/>
    <x v="2"/>
    <s v="California"/>
    <s v="Santa Clara County"/>
    <x v="0"/>
    <x v="1"/>
    <x v="2"/>
  </r>
  <r>
    <x v="105"/>
    <x v="16"/>
    <x v="2"/>
    <n v="84.5"/>
    <x v="103"/>
    <x v="4"/>
    <d v="2025-01-07T00:00:00"/>
    <x v="2"/>
    <x v="4"/>
    <x v="1"/>
    <s v="California"/>
    <s v="Ventura County"/>
    <x v="1"/>
    <x v="1"/>
    <x v="2"/>
  </r>
  <r>
    <x v="106"/>
    <x v="15"/>
    <x v="3"/>
    <n v="31.2"/>
    <x v="104"/>
    <x v="4"/>
    <d v="2025-01-05T00:00:00"/>
    <x v="2"/>
    <x v="2"/>
    <x v="2"/>
    <s v="California"/>
    <s v="Los Angeles County"/>
    <x v="7"/>
    <x v="1"/>
    <x v="2"/>
  </r>
  <r>
    <x v="107"/>
    <x v="8"/>
    <x v="16"/>
    <n v="32.6"/>
    <x v="105"/>
    <x v="4"/>
    <d v="2025-01-06T00:00:00"/>
    <x v="1"/>
    <x v="1"/>
    <x v="1"/>
    <s v="California"/>
    <s v="Los Angeles County"/>
    <x v="3"/>
    <x v="1"/>
    <x v="1"/>
  </r>
  <r>
    <x v="108"/>
    <x v="10"/>
    <x v="12"/>
    <n v="45.4"/>
    <x v="106"/>
    <x v="4"/>
    <d v="2025-01-07T00:00:00"/>
    <x v="1"/>
    <x v="1"/>
    <x v="0"/>
    <s v="California"/>
    <s v="Los Angeles County"/>
    <x v="1"/>
    <x v="1"/>
    <x v="1"/>
  </r>
  <r>
    <x v="109"/>
    <x v="2"/>
    <x v="4"/>
    <n v="120"/>
    <x v="107"/>
    <x v="4"/>
    <d v="2025-01-06T00:00:00"/>
    <x v="2"/>
    <x v="2"/>
    <x v="4"/>
    <s v="California"/>
    <s v="Los Angeles County"/>
    <x v="3"/>
    <x v="1"/>
    <x v="2"/>
  </r>
  <r>
    <x v="110"/>
    <x v="0"/>
    <x v="12"/>
    <n v="18.899999999999999"/>
    <x v="108"/>
    <x v="4"/>
    <d v="2025-01-07T00:00:00"/>
    <x v="1"/>
    <x v="0"/>
    <x v="2"/>
    <s v="California"/>
    <s v="Los Angeles County"/>
    <x v="1"/>
    <x v="1"/>
    <x v="1"/>
  </r>
  <r>
    <x v="111"/>
    <x v="4"/>
    <x v="0"/>
    <n v="32"/>
    <x v="109"/>
    <x v="4"/>
    <d v="2025-01-07T00:00:00"/>
    <x v="2"/>
    <x v="4"/>
    <x v="0"/>
    <s v="California"/>
    <s v="Los Angeles County"/>
    <x v="1"/>
    <x v="1"/>
    <x v="2"/>
  </r>
  <r>
    <x v="112"/>
    <x v="7"/>
    <x v="1"/>
    <n v="37.299999999999997"/>
    <x v="110"/>
    <x v="4"/>
    <d v="2025-01-06T00:00:00"/>
    <x v="1"/>
    <x v="2"/>
    <x v="0"/>
    <s v="California"/>
    <s v="Los Angeles County"/>
    <x v="3"/>
    <x v="1"/>
    <x v="1"/>
  </r>
  <r>
    <x v="113"/>
    <x v="18"/>
    <x v="0"/>
    <n v="119.8"/>
    <x v="111"/>
    <x v="4"/>
    <d v="2025-01-06T00:00:00"/>
    <x v="1"/>
    <x v="1"/>
    <x v="1"/>
    <s v="California"/>
    <s v="Los Angeles County"/>
    <x v="3"/>
    <x v="1"/>
    <x v="1"/>
  </r>
  <r>
    <x v="114"/>
    <x v="10"/>
    <x v="1"/>
    <n v="26.4"/>
    <x v="112"/>
    <x v="4"/>
    <d v="2025-01-08T00:00:00"/>
    <x v="1"/>
    <x v="2"/>
    <x v="0"/>
    <s v="California"/>
    <s v="Los Angeles County"/>
    <x v="2"/>
    <x v="1"/>
    <x v="1"/>
  </r>
  <r>
    <x v="115"/>
    <x v="6"/>
    <x v="13"/>
    <n v="76.5"/>
    <x v="113"/>
    <x v="4"/>
    <d v="2025-01-06T00:00:00"/>
    <x v="2"/>
    <x v="1"/>
    <x v="1"/>
    <s v="California"/>
    <s v="Los Angeles County"/>
    <x v="3"/>
    <x v="1"/>
    <x v="2"/>
  </r>
  <r>
    <x v="116"/>
    <x v="4"/>
    <x v="7"/>
    <n v="45.7"/>
    <x v="114"/>
    <x v="4"/>
    <d v="2025-01-06T00:00:00"/>
    <x v="2"/>
    <x v="2"/>
    <x v="0"/>
    <s v="California"/>
    <s v="Merced County"/>
    <x v="3"/>
    <x v="1"/>
    <x v="2"/>
  </r>
  <r>
    <x v="117"/>
    <x v="1"/>
    <x v="4"/>
    <n v="92.6"/>
    <x v="115"/>
    <x v="4"/>
    <d v="2025-01-07T00:00:00"/>
    <x v="2"/>
    <x v="2"/>
    <x v="0"/>
    <s v="California"/>
    <s v="Orange County"/>
    <x v="1"/>
    <x v="1"/>
    <x v="2"/>
  </r>
  <r>
    <x v="118"/>
    <x v="6"/>
    <x v="13"/>
    <n v="60.1"/>
    <x v="116"/>
    <x v="4"/>
    <d v="2025-01-06T00:00:00"/>
    <x v="1"/>
    <x v="1"/>
    <x v="0"/>
    <s v="California"/>
    <s v="Riverside County"/>
    <x v="3"/>
    <x v="1"/>
    <x v="1"/>
  </r>
  <r>
    <x v="119"/>
    <x v="1"/>
    <x v="2"/>
    <n v="73"/>
    <x v="20"/>
    <x v="4"/>
    <d v="2025-01-06T00:00:00"/>
    <x v="2"/>
    <x v="3"/>
    <x v="1"/>
    <s v="California"/>
    <s v="Sacramento County"/>
    <x v="3"/>
    <x v="1"/>
    <x v="2"/>
  </r>
  <r>
    <x v="120"/>
    <x v="6"/>
    <x v="2"/>
    <n v="44.3"/>
    <x v="117"/>
    <x v="4"/>
    <d v="2025-01-09T00:00:00"/>
    <x v="0"/>
    <x v="2"/>
    <x v="2"/>
    <s v="California"/>
    <s v="Sacramento County"/>
    <x v="5"/>
    <x v="1"/>
    <x v="0"/>
  </r>
  <r>
    <x v="121"/>
    <x v="6"/>
    <x v="2"/>
    <n v="63.3"/>
    <x v="118"/>
    <x v="4"/>
    <d v="2025-01-06T00:00:00"/>
    <x v="1"/>
    <x v="2"/>
    <x v="0"/>
    <s v="California"/>
    <s v="Sacramento County"/>
    <x v="3"/>
    <x v="1"/>
    <x v="1"/>
  </r>
  <r>
    <x v="122"/>
    <x v="12"/>
    <x v="0"/>
    <n v="66.8"/>
    <x v="119"/>
    <x v="4"/>
    <d v="2025-01-06T00:00:00"/>
    <x v="2"/>
    <x v="1"/>
    <x v="0"/>
    <s v="California"/>
    <s v="Sacramento County"/>
    <x v="3"/>
    <x v="1"/>
    <x v="2"/>
  </r>
  <r>
    <x v="123"/>
    <x v="2"/>
    <x v="1"/>
    <n v="59.7"/>
    <x v="120"/>
    <x v="4"/>
    <d v="2025-01-06T00:00:00"/>
    <x v="2"/>
    <x v="0"/>
    <x v="0"/>
    <s v="California"/>
    <s v="San Bernardino County"/>
    <x v="3"/>
    <x v="1"/>
    <x v="2"/>
  </r>
  <r>
    <x v="124"/>
    <x v="1"/>
    <x v="13"/>
    <n v="92"/>
    <x v="121"/>
    <x v="4"/>
    <d v="2025-01-07T00:00:00"/>
    <x v="1"/>
    <x v="0"/>
    <x v="4"/>
    <s v="California"/>
    <s v="San Bernardino County"/>
    <x v="1"/>
    <x v="1"/>
    <x v="1"/>
  </r>
  <r>
    <x v="125"/>
    <x v="7"/>
    <x v="1"/>
    <n v="87.6"/>
    <x v="122"/>
    <x v="4"/>
    <d v="2025-01-07T00:00:00"/>
    <x v="1"/>
    <x v="1"/>
    <x v="1"/>
    <s v="California"/>
    <s v="San Diego County"/>
    <x v="1"/>
    <x v="1"/>
    <x v="1"/>
  </r>
  <r>
    <x v="126"/>
    <x v="6"/>
    <x v="2"/>
    <n v="84.5"/>
    <x v="103"/>
    <x v="4"/>
    <d v="2025-01-06T00:00:00"/>
    <x v="2"/>
    <x v="1"/>
    <x v="1"/>
    <s v="California"/>
    <s v="San Diego County"/>
    <x v="3"/>
    <x v="1"/>
    <x v="2"/>
  </r>
  <r>
    <x v="127"/>
    <x v="1"/>
    <x v="1"/>
    <n v="116.3"/>
    <x v="123"/>
    <x v="5"/>
    <d v="2025-01-08T00:00:00"/>
    <x v="1"/>
    <x v="2"/>
    <x v="2"/>
    <s v="California"/>
    <s v="San Diego County"/>
    <x v="1"/>
    <x v="1"/>
    <x v="1"/>
  </r>
  <r>
    <x v="128"/>
    <x v="6"/>
    <x v="9"/>
    <n v="52.7"/>
    <x v="124"/>
    <x v="5"/>
    <d v="2025-01-10T00:00:00"/>
    <x v="1"/>
    <x v="0"/>
    <x v="0"/>
    <s v="California"/>
    <s v="San Diego County"/>
    <x v="5"/>
    <x v="1"/>
    <x v="1"/>
  </r>
  <r>
    <x v="129"/>
    <x v="16"/>
    <x v="2"/>
    <n v="34.200000000000003"/>
    <x v="125"/>
    <x v="5"/>
    <d v="2025-01-07T00:00:00"/>
    <x v="1"/>
    <x v="0"/>
    <x v="2"/>
    <s v="California"/>
    <s v="San Joaquin County"/>
    <x v="3"/>
    <x v="1"/>
    <x v="1"/>
  </r>
  <r>
    <x v="130"/>
    <x v="9"/>
    <x v="0"/>
    <n v="23.3"/>
    <x v="126"/>
    <x v="5"/>
    <d v="2025-01-15T00:00:00"/>
    <x v="3"/>
    <x v="2"/>
    <x v="2"/>
    <s v="California"/>
    <s v="San Mateo County"/>
    <x v="8"/>
    <x v="1"/>
    <x v="3"/>
  </r>
  <r>
    <x v="131"/>
    <x v="0"/>
    <x v="18"/>
    <n v="25.9"/>
    <x v="127"/>
    <x v="5"/>
    <d v="2025-01-09T00:00:00"/>
    <x v="2"/>
    <x v="4"/>
    <x v="1"/>
    <s v="California"/>
    <s v="San Mateo County"/>
    <x v="2"/>
    <x v="1"/>
    <x v="2"/>
  </r>
  <r>
    <x v="132"/>
    <x v="6"/>
    <x v="19"/>
    <n v="54.9"/>
    <x v="128"/>
    <x v="5"/>
    <d v="2025-01-07T00:00:00"/>
    <x v="1"/>
    <x v="1"/>
    <x v="2"/>
    <s v="California"/>
    <s v="San Mateo County"/>
    <x v="3"/>
    <x v="1"/>
    <x v="1"/>
  </r>
  <r>
    <x v="133"/>
    <x v="5"/>
    <x v="2"/>
    <n v="75.8"/>
    <x v="129"/>
    <x v="5"/>
    <d v="2025-01-11T00:00:00"/>
    <x v="3"/>
    <x v="1"/>
    <x v="0"/>
    <s v="California"/>
    <s v="Sonoma County"/>
    <x v="0"/>
    <x v="1"/>
    <x v="3"/>
  </r>
  <r>
    <x v="134"/>
    <x v="1"/>
    <x v="11"/>
    <n v="44.9"/>
    <x v="130"/>
    <x v="5"/>
    <d v="2025-01-09T00:00:00"/>
    <x v="2"/>
    <x v="2"/>
    <x v="2"/>
    <s v="California"/>
    <s v="Fresno County"/>
    <x v="2"/>
    <x v="1"/>
    <x v="2"/>
  </r>
  <r>
    <x v="135"/>
    <x v="11"/>
    <x v="1"/>
    <n v="48.8"/>
    <x v="131"/>
    <x v="5"/>
    <d v="2025-01-08T00:00:00"/>
    <x v="2"/>
    <x v="3"/>
    <x v="0"/>
    <s v="California"/>
    <s v="Glenn County"/>
    <x v="1"/>
    <x v="1"/>
    <x v="2"/>
  </r>
  <r>
    <x v="136"/>
    <x v="15"/>
    <x v="0"/>
    <n v="20.3"/>
    <x v="132"/>
    <x v="5"/>
    <d v="2025-01-07T00:00:00"/>
    <x v="2"/>
    <x v="0"/>
    <x v="2"/>
    <s v="California"/>
    <s v="Kern County"/>
    <x v="3"/>
    <x v="1"/>
    <x v="2"/>
  </r>
  <r>
    <x v="137"/>
    <x v="5"/>
    <x v="3"/>
    <n v="36.4"/>
    <x v="133"/>
    <x v="5"/>
    <d v="2025-01-09T00:00:00"/>
    <x v="2"/>
    <x v="0"/>
    <x v="1"/>
    <s v="California"/>
    <s v="Los Angeles County"/>
    <x v="2"/>
    <x v="1"/>
    <x v="2"/>
  </r>
  <r>
    <x v="138"/>
    <x v="0"/>
    <x v="0"/>
    <n v="19"/>
    <x v="134"/>
    <x v="5"/>
    <d v="2025-01-11T00:00:00"/>
    <x v="2"/>
    <x v="1"/>
    <x v="2"/>
    <s v="California"/>
    <s v="Los Angeles County"/>
    <x v="0"/>
    <x v="1"/>
    <x v="2"/>
  </r>
  <r>
    <x v="139"/>
    <x v="8"/>
    <x v="0"/>
    <n v="17.8"/>
    <x v="135"/>
    <x v="5"/>
    <d v="2025-01-06T00:00:00"/>
    <x v="1"/>
    <x v="0"/>
    <x v="0"/>
    <s v="California"/>
    <s v="Los Angeles County"/>
    <x v="7"/>
    <x v="1"/>
    <x v="1"/>
  </r>
  <r>
    <x v="140"/>
    <x v="2"/>
    <x v="13"/>
    <n v="139.6"/>
    <x v="136"/>
    <x v="5"/>
    <d v="2025-01-09T00:00:00"/>
    <x v="1"/>
    <x v="0"/>
    <x v="0"/>
    <s v="California"/>
    <s v="Los Angeles County"/>
    <x v="2"/>
    <x v="1"/>
    <x v="1"/>
  </r>
  <r>
    <x v="141"/>
    <x v="9"/>
    <x v="0"/>
    <n v="31.7"/>
    <x v="137"/>
    <x v="5"/>
    <d v="2025-01-06T00:00:00"/>
    <x v="0"/>
    <x v="0"/>
    <x v="0"/>
    <s v="California"/>
    <s v="Los Angeles County"/>
    <x v="7"/>
    <x v="1"/>
    <x v="0"/>
  </r>
  <r>
    <x v="142"/>
    <x v="8"/>
    <x v="8"/>
    <n v="26.3"/>
    <x v="138"/>
    <x v="5"/>
    <d v="2025-01-09T00:00:00"/>
    <x v="2"/>
    <x v="4"/>
    <x v="4"/>
    <s v="California"/>
    <s v="Los Angeles County"/>
    <x v="2"/>
    <x v="1"/>
    <x v="2"/>
  </r>
  <r>
    <x v="143"/>
    <x v="4"/>
    <x v="1"/>
    <n v="47.8"/>
    <x v="139"/>
    <x v="5"/>
    <d v="2025-01-07T00:00:00"/>
    <x v="0"/>
    <x v="0"/>
    <x v="0"/>
    <s v="California"/>
    <s v="Los Angeles County"/>
    <x v="3"/>
    <x v="1"/>
    <x v="0"/>
  </r>
  <r>
    <x v="144"/>
    <x v="9"/>
    <x v="2"/>
    <n v="69.400000000000006"/>
    <x v="140"/>
    <x v="5"/>
    <d v="2025-01-10T00:00:00"/>
    <x v="2"/>
    <x v="0"/>
    <x v="0"/>
    <s v="California"/>
    <s v="Los Angeles County"/>
    <x v="5"/>
    <x v="1"/>
    <x v="2"/>
  </r>
  <r>
    <x v="145"/>
    <x v="18"/>
    <x v="4"/>
    <n v="25.8"/>
    <x v="141"/>
    <x v="5"/>
    <d v="2025-01-07T00:00:00"/>
    <x v="1"/>
    <x v="4"/>
    <x v="4"/>
    <s v="California"/>
    <s v="Los Angeles County"/>
    <x v="3"/>
    <x v="1"/>
    <x v="1"/>
  </r>
  <r>
    <x v="146"/>
    <x v="0"/>
    <x v="12"/>
    <n v="26.4"/>
    <x v="142"/>
    <x v="5"/>
    <d v="2025-01-07T00:00:00"/>
    <x v="1"/>
    <x v="1"/>
    <x v="2"/>
    <s v="California"/>
    <s v="Los Angeles County"/>
    <x v="3"/>
    <x v="1"/>
    <x v="1"/>
  </r>
  <r>
    <x v="147"/>
    <x v="8"/>
    <x v="12"/>
    <n v="15.7"/>
    <x v="143"/>
    <x v="5"/>
    <d v="2025-01-07T00:00:00"/>
    <x v="1"/>
    <x v="2"/>
    <x v="0"/>
    <s v="California"/>
    <s v="Los Angeles County"/>
    <x v="3"/>
    <x v="1"/>
    <x v="1"/>
  </r>
  <r>
    <x v="148"/>
    <x v="8"/>
    <x v="0"/>
    <n v="39.700000000000003"/>
    <x v="144"/>
    <x v="5"/>
    <d v="2025-01-10T00:00:00"/>
    <x v="1"/>
    <x v="0"/>
    <x v="0"/>
    <s v="California"/>
    <s v="Los Angeles County"/>
    <x v="5"/>
    <x v="1"/>
    <x v="1"/>
  </r>
  <r>
    <x v="149"/>
    <x v="10"/>
    <x v="12"/>
    <n v="31.1"/>
    <x v="145"/>
    <x v="5"/>
    <d v="2025-01-08T00:00:00"/>
    <x v="2"/>
    <x v="2"/>
    <x v="1"/>
    <s v="California"/>
    <s v="Los Angeles County"/>
    <x v="1"/>
    <x v="1"/>
    <x v="2"/>
  </r>
  <r>
    <x v="150"/>
    <x v="13"/>
    <x v="20"/>
    <n v="23.4"/>
    <x v="146"/>
    <x v="5"/>
    <d v="2025-01-15T00:00:00"/>
    <x v="1"/>
    <x v="0"/>
    <x v="0"/>
    <s v="California"/>
    <s v="Los Angeles County"/>
    <x v="8"/>
    <x v="1"/>
    <x v="1"/>
  </r>
  <r>
    <x v="151"/>
    <x v="1"/>
    <x v="12"/>
    <n v="57.1"/>
    <x v="147"/>
    <x v="6"/>
    <d v="2025-01-08T00:00:00"/>
    <x v="1"/>
    <x v="2"/>
    <x v="0"/>
    <s v="California"/>
    <s v="Orange County"/>
    <x v="3"/>
    <x v="1"/>
    <x v="1"/>
  </r>
  <r>
    <x v="152"/>
    <x v="2"/>
    <x v="9"/>
    <n v="89.9"/>
    <x v="148"/>
    <x v="6"/>
    <d v="2025-01-07T00:00:00"/>
    <x v="2"/>
    <x v="0"/>
    <x v="3"/>
    <s v="California"/>
    <s v="Riverside County"/>
    <x v="7"/>
    <x v="1"/>
    <x v="2"/>
  </r>
  <r>
    <x v="153"/>
    <x v="10"/>
    <x v="3"/>
    <n v="48.1"/>
    <x v="149"/>
    <x v="6"/>
    <d v="2025-01-09T00:00:00"/>
    <x v="2"/>
    <x v="1"/>
    <x v="2"/>
    <s v="California"/>
    <s v="Sacramento County"/>
    <x v="1"/>
    <x v="1"/>
    <x v="2"/>
  </r>
  <r>
    <x v="154"/>
    <x v="8"/>
    <x v="1"/>
    <n v="29.3"/>
    <x v="150"/>
    <x v="6"/>
    <d v="2025-01-07T00:00:00"/>
    <x v="2"/>
    <x v="1"/>
    <x v="1"/>
    <s v="California"/>
    <s v="Sacramento County"/>
    <x v="7"/>
    <x v="1"/>
    <x v="2"/>
  </r>
  <r>
    <x v="155"/>
    <x v="8"/>
    <x v="12"/>
    <n v="28.8"/>
    <x v="151"/>
    <x v="6"/>
    <d v="2025-01-08T00:00:00"/>
    <x v="2"/>
    <x v="0"/>
    <x v="4"/>
    <s v="California"/>
    <s v="Sacramento County"/>
    <x v="3"/>
    <x v="1"/>
    <x v="2"/>
  </r>
  <r>
    <x v="156"/>
    <x v="10"/>
    <x v="9"/>
    <n v="40.5"/>
    <x v="152"/>
    <x v="6"/>
    <d v="2025-01-11T00:00:00"/>
    <x v="2"/>
    <x v="3"/>
    <x v="0"/>
    <s v="California"/>
    <s v="Sacramento County"/>
    <x v="5"/>
    <x v="1"/>
    <x v="2"/>
  </r>
  <r>
    <x v="157"/>
    <x v="18"/>
    <x v="21"/>
    <n v="65.099999999999994"/>
    <x v="153"/>
    <x v="6"/>
    <d v="2025-01-08T00:00:00"/>
    <x v="2"/>
    <x v="4"/>
    <x v="0"/>
    <s v="California"/>
    <s v="San Bernardino County"/>
    <x v="3"/>
    <x v="1"/>
    <x v="2"/>
  </r>
  <r>
    <x v="158"/>
    <x v="8"/>
    <x v="12"/>
    <n v="40.299999999999997"/>
    <x v="154"/>
    <x v="6"/>
    <d v="2025-01-12T00:00:00"/>
    <x v="2"/>
    <x v="2"/>
    <x v="0"/>
    <s v="California"/>
    <s v="San Bernardino County"/>
    <x v="0"/>
    <x v="1"/>
    <x v="2"/>
  </r>
  <r>
    <x v="159"/>
    <x v="6"/>
    <x v="9"/>
    <n v="51.8"/>
    <x v="155"/>
    <x v="6"/>
    <d v="2025-01-08T00:00:00"/>
    <x v="1"/>
    <x v="2"/>
    <x v="2"/>
    <s v="California"/>
    <s v="San Diego County"/>
    <x v="3"/>
    <x v="1"/>
    <x v="1"/>
  </r>
  <r>
    <x v="160"/>
    <x v="6"/>
    <x v="2"/>
    <n v="61.3"/>
    <x v="156"/>
    <x v="6"/>
    <d v="2025-01-08T00:00:00"/>
    <x v="2"/>
    <x v="3"/>
    <x v="0"/>
    <s v="California"/>
    <s v="San Diego County"/>
    <x v="3"/>
    <x v="1"/>
    <x v="2"/>
  </r>
  <r>
    <x v="161"/>
    <x v="2"/>
    <x v="12"/>
    <n v="122.5"/>
    <x v="157"/>
    <x v="6"/>
    <d v="2025-01-08T00:00:00"/>
    <x v="1"/>
    <x v="0"/>
    <x v="0"/>
    <s v="California"/>
    <s v="San Diego County"/>
    <x v="3"/>
    <x v="1"/>
    <x v="1"/>
  </r>
  <r>
    <x v="162"/>
    <x v="0"/>
    <x v="11"/>
    <n v="12.5"/>
    <x v="158"/>
    <x v="6"/>
    <d v="2025-01-08T00:00:00"/>
    <x v="0"/>
    <x v="1"/>
    <x v="2"/>
    <s v="California"/>
    <s v="San Diego County"/>
    <x v="3"/>
    <x v="1"/>
    <x v="0"/>
  </r>
  <r>
    <x v="163"/>
    <x v="15"/>
    <x v="8"/>
    <n v="37.5"/>
    <x v="159"/>
    <x v="6"/>
    <d v="2025-01-08T00:00:00"/>
    <x v="2"/>
    <x v="0"/>
    <x v="0"/>
    <s v="California"/>
    <s v="San Mateo County"/>
    <x v="3"/>
    <x v="1"/>
    <x v="2"/>
  </r>
  <r>
    <x v="164"/>
    <x v="6"/>
    <x v="2"/>
    <n v="40"/>
    <x v="160"/>
    <x v="6"/>
    <d v="2025-01-10T00:00:00"/>
    <x v="1"/>
    <x v="0"/>
    <x v="4"/>
    <s v="California"/>
    <s v="Santa Clara County"/>
    <x v="2"/>
    <x v="1"/>
    <x v="1"/>
  </r>
  <r>
    <x v="165"/>
    <x v="17"/>
    <x v="8"/>
    <n v="38.5"/>
    <x v="161"/>
    <x v="6"/>
    <d v="2025-01-12T00:00:00"/>
    <x v="2"/>
    <x v="2"/>
    <x v="1"/>
    <s v="California"/>
    <s v="Santa Clara County"/>
    <x v="0"/>
    <x v="1"/>
    <x v="2"/>
  </r>
  <r>
    <x v="166"/>
    <x v="2"/>
    <x v="1"/>
    <n v="86.4"/>
    <x v="162"/>
    <x v="6"/>
    <d v="2025-01-09T00:00:00"/>
    <x v="2"/>
    <x v="0"/>
    <x v="0"/>
    <s v="California"/>
    <s v="Sonoma County"/>
    <x v="1"/>
    <x v="1"/>
    <x v="2"/>
  </r>
  <r>
    <x v="167"/>
    <x v="10"/>
    <x v="0"/>
    <n v="50.7"/>
    <x v="163"/>
    <x v="6"/>
    <d v="2025-01-11T00:00:00"/>
    <x v="2"/>
    <x v="1"/>
    <x v="0"/>
    <s v="California"/>
    <s v="Sonoma County"/>
    <x v="5"/>
    <x v="1"/>
    <x v="2"/>
  </r>
  <r>
    <x v="168"/>
    <x v="10"/>
    <x v="1"/>
    <n v="61"/>
    <x v="164"/>
    <x v="6"/>
    <d v="2025-01-18T00:00:00"/>
    <x v="2"/>
    <x v="4"/>
    <x v="1"/>
    <s v="California"/>
    <s v="Sonoma County"/>
    <x v="11"/>
    <x v="1"/>
    <x v="2"/>
  </r>
  <r>
    <x v="169"/>
    <x v="4"/>
    <x v="1"/>
    <n v="19.899999999999999"/>
    <x v="165"/>
    <x v="6"/>
    <d v="2025-01-10T00:00:00"/>
    <x v="2"/>
    <x v="1"/>
    <x v="0"/>
    <s v="California"/>
    <s v="Yolo County"/>
    <x v="2"/>
    <x v="1"/>
    <x v="2"/>
  </r>
  <r>
    <x v="170"/>
    <x v="5"/>
    <x v="0"/>
    <n v="78.3"/>
    <x v="166"/>
    <x v="6"/>
    <d v="2025-01-07T00:00:00"/>
    <x v="2"/>
    <x v="0"/>
    <x v="2"/>
    <s v="California"/>
    <s v="Contra Costa County"/>
    <x v="7"/>
    <x v="1"/>
    <x v="2"/>
  </r>
  <r>
    <x v="171"/>
    <x v="0"/>
    <x v="10"/>
    <n v="10.4"/>
    <x v="167"/>
    <x v="6"/>
    <d v="2025-01-09T00:00:00"/>
    <x v="1"/>
    <x v="0"/>
    <x v="2"/>
    <s v="California"/>
    <s v="Fresno County"/>
    <x v="1"/>
    <x v="1"/>
    <x v="1"/>
  </r>
  <r>
    <x v="172"/>
    <x v="10"/>
    <x v="0"/>
    <n v="36.1"/>
    <x v="168"/>
    <x v="6"/>
    <d v="2025-01-10T00:00:00"/>
    <x v="1"/>
    <x v="3"/>
    <x v="2"/>
    <s v="California"/>
    <s v="Los Angeles County"/>
    <x v="2"/>
    <x v="1"/>
    <x v="1"/>
  </r>
  <r>
    <x v="173"/>
    <x v="14"/>
    <x v="1"/>
    <n v="17.3"/>
    <x v="169"/>
    <x v="6"/>
    <d v="2025-01-09T00:00:00"/>
    <x v="2"/>
    <x v="1"/>
    <x v="2"/>
    <s v="California"/>
    <s v="Los Angeles County"/>
    <x v="1"/>
    <x v="1"/>
    <x v="2"/>
  </r>
  <r>
    <x v="174"/>
    <x v="10"/>
    <x v="1"/>
    <n v="30.5"/>
    <x v="170"/>
    <x v="6"/>
    <d v="2025-01-08T00:00:00"/>
    <x v="2"/>
    <x v="1"/>
    <x v="2"/>
    <s v="California"/>
    <s v="Los Angeles County"/>
    <x v="3"/>
    <x v="1"/>
    <x v="2"/>
  </r>
  <r>
    <x v="175"/>
    <x v="18"/>
    <x v="22"/>
    <n v="70.099999999999994"/>
    <x v="171"/>
    <x v="6"/>
    <d v="2025-01-07T00:00:00"/>
    <x v="2"/>
    <x v="2"/>
    <x v="0"/>
    <s v="California"/>
    <s v="Los Angeles County"/>
    <x v="7"/>
    <x v="1"/>
    <x v="2"/>
  </r>
  <r>
    <x v="176"/>
    <x v="3"/>
    <x v="0"/>
    <n v="76.099999999999994"/>
    <x v="172"/>
    <x v="6"/>
    <d v="2025-01-07T00:00:00"/>
    <x v="2"/>
    <x v="2"/>
    <x v="1"/>
    <s v="California"/>
    <s v="Los Angeles County"/>
    <x v="7"/>
    <x v="1"/>
    <x v="2"/>
  </r>
  <r>
    <x v="177"/>
    <x v="15"/>
    <x v="15"/>
    <n v="34.200000000000003"/>
    <x v="173"/>
    <x v="6"/>
    <d v="2025-01-08T00:00:00"/>
    <x v="1"/>
    <x v="0"/>
    <x v="0"/>
    <s v="California"/>
    <s v="Los Angeles County"/>
    <x v="3"/>
    <x v="1"/>
    <x v="1"/>
  </r>
  <r>
    <x v="178"/>
    <x v="8"/>
    <x v="9"/>
    <n v="30.3"/>
    <x v="174"/>
    <x v="6"/>
    <d v="2025-01-12T00:00:00"/>
    <x v="2"/>
    <x v="4"/>
    <x v="0"/>
    <s v="California"/>
    <s v="Los Angeles County"/>
    <x v="0"/>
    <x v="1"/>
    <x v="2"/>
  </r>
  <r>
    <x v="179"/>
    <x v="6"/>
    <x v="9"/>
    <n v="52.5"/>
    <x v="175"/>
    <x v="6"/>
    <d v="2025-01-11T00:00:00"/>
    <x v="0"/>
    <x v="3"/>
    <x v="0"/>
    <s v="California"/>
    <s v="Los Angeles County"/>
    <x v="5"/>
    <x v="1"/>
    <x v="0"/>
  </r>
  <r>
    <x v="180"/>
    <x v="9"/>
    <x v="5"/>
    <n v="28.7"/>
    <x v="176"/>
    <x v="6"/>
    <d v="2025-01-08T00:00:00"/>
    <x v="2"/>
    <x v="2"/>
    <x v="0"/>
    <s v="California"/>
    <s v="Los Angeles County"/>
    <x v="3"/>
    <x v="1"/>
    <x v="2"/>
  </r>
  <r>
    <x v="181"/>
    <x v="7"/>
    <x v="3"/>
    <n v="52"/>
    <x v="177"/>
    <x v="6"/>
    <d v="2025-01-08T00:00:00"/>
    <x v="1"/>
    <x v="1"/>
    <x v="4"/>
    <s v="California"/>
    <s v="Los Angeles County"/>
    <x v="3"/>
    <x v="1"/>
    <x v="1"/>
  </r>
  <r>
    <x v="182"/>
    <x v="0"/>
    <x v="0"/>
    <n v="13.3"/>
    <x v="178"/>
    <x v="7"/>
    <d v="2025-01-12T00:00:00"/>
    <x v="2"/>
    <x v="2"/>
    <x v="1"/>
    <s v="California"/>
    <s v="Los Angeles County"/>
    <x v="5"/>
    <x v="1"/>
    <x v="2"/>
  </r>
  <r>
    <x v="183"/>
    <x v="0"/>
    <x v="2"/>
    <n v="15.7"/>
    <x v="179"/>
    <x v="7"/>
    <d v="2025-01-09T00:00:00"/>
    <x v="2"/>
    <x v="1"/>
    <x v="0"/>
    <s v="California"/>
    <s v="Mendocino County"/>
    <x v="3"/>
    <x v="1"/>
    <x v="2"/>
  </r>
  <r>
    <x v="184"/>
    <x v="8"/>
    <x v="1"/>
    <n v="25.6"/>
    <x v="180"/>
    <x v="7"/>
    <d v="2025-01-09T00:00:00"/>
    <x v="1"/>
    <x v="0"/>
    <x v="2"/>
    <s v="California"/>
    <s v="Riverside County"/>
    <x v="3"/>
    <x v="1"/>
    <x v="1"/>
  </r>
  <r>
    <x v="185"/>
    <x v="8"/>
    <x v="0"/>
    <n v="43.4"/>
    <x v="181"/>
    <x v="7"/>
    <d v="2025-01-13T00:00:00"/>
    <x v="1"/>
    <x v="0"/>
    <x v="0"/>
    <s v="California"/>
    <s v="Sacramento County"/>
    <x v="0"/>
    <x v="1"/>
    <x v="1"/>
  </r>
  <r>
    <x v="186"/>
    <x v="11"/>
    <x v="11"/>
    <n v="33.4"/>
    <x v="182"/>
    <x v="7"/>
    <d v="2025-01-08T00:00:00"/>
    <x v="2"/>
    <x v="0"/>
    <x v="0"/>
    <s v="California"/>
    <s v="San Diego County"/>
    <x v="7"/>
    <x v="1"/>
    <x v="2"/>
  </r>
  <r>
    <x v="187"/>
    <x v="8"/>
    <x v="10"/>
    <n v="55"/>
    <x v="183"/>
    <x v="7"/>
    <d v="2025-01-09T00:00:00"/>
    <x v="2"/>
    <x v="1"/>
    <x v="2"/>
    <s v="California"/>
    <s v="San Diego County"/>
    <x v="3"/>
    <x v="1"/>
    <x v="2"/>
  </r>
  <r>
    <x v="188"/>
    <x v="8"/>
    <x v="2"/>
    <n v="23.6"/>
    <x v="184"/>
    <x v="7"/>
    <d v="2025-01-09T00:00:00"/>
    <x v="1"/>
    <x v="0"/>
    <x v="2"/>
    <s v="California"/>
    <s v="San Diego County"/>
    <x v="3"/>
    <x v="1"/>
    <x v="1"/>
  </r>
  <r>
    <x v="189"/>
    <x v="12"/>
    <x v="11"/>
    <n v="104"/>
    <x v="185"/>
    <x v="7"/>
    <d v="2025-01-10T00:00:00"/>
    <x v="2"/>
    <x v="2"/>
    <x v="2"/>
    <s v="California"/>
    <s v="San Francisco"/>
    <x v="1"/>
    <x v="1"/>
    <x v="2"/>
  </r>
  <r>
    <x v="190"/>
    <x v="6"/>
    <x v="1"/>
    <n v="51.8"/>
    <x v="186"/>
    <x v="7"/>
    <d v="2025-01-12T00:00:00"/>
    <x v="0"/>
    <x v="0"/>
    <x v="2"/>
    <s v="California"/>
    <s v="Santa Barbara County"/>
    <x v="5"/>
    <x v="1"/>
    <x v="0"/>
  </r>
  <r>
    <x v="191"/>
    <x v="10"/>
    <x v="9"/>
    <n v="34.5"/>
    <x v="187"/>
    <x v="7"/>
    <d v="2025-01-10T00:00:00"/>
    <x v="0"/>
    <x v="2"/>
    <x v="2"/>
    <s v="California"/>
    <s v="Santa Clara County"/>
    <x v="1"/>
    <x v="1"/>
    <x v="0"/>
  </r>
  <r>
    <x v="192"/>
    <x v="6"/>
    <x v="1"/>
    <n v="51.8"/>
    <x v="186"/>
    <x v="7"/>
    <d v="2025-01-10T00:00:00"/>
    <x v="1"/>
    <x v="1"/>
    <x v="2"/>
    <s v="California"/>
    <s v="Siskiyou County"/>
    <x v="1"/>
    <x v="1"/>
    <x v="1"/>
  </r>
  <r>
    <x v="193"/>
    <x v="18"/>
    <x v="23"/>
    <n v="131.5"/>
    <x v="188"/>
    <x v="7"/>
    <d v="2025-01-09T00:00:00"/>
    <x v="2"/>
    <x v="0"/>
    <x v="2"/>
    <s v="California"/>
    <s v="Sonoma County"/>
    <x v="3"/>
    <x v="1"/>
    <x v="2"/>
  </r>
  <r>
    <x v="194"/>
    <x v="8"/>
    <x v="3"/>
    <n v="47.8"/>
    <x v="189"/>
    <x v="7"/>
    <d v="2025-01-08T00:00:00"/>
    <x v="2"/>
    <x v="0"/>
    <x v="0"/>
    <s v="California"/>
    <s v="Stanislaus County"/>
    <x v="7"/>
    <x v="1"/>
    <x v="2"/>
  </r>
  <r>
    <x v="195"/>
    <x v="0"/>
    <x v="1"/>
    <n v="10.199999999999999"/>
    <x v="190"/>
    <x v="7"/>
    <d v="2025-01-10T00:00:00"/>
    <x v="2"/>
    <x v="0"/>
    <x v="0"/>
    <s v="California"/>
    <s v="Stanislaus County"/>
    <x v="1"/>
    <x v="1"/>
    <x v="2"/>
  </r>
  <r>
    <x v="196"/>
    <x v="8"/>
    <x v="8"/>
    <n v="41"/>
    <x v="191"/>
    <x v="7"/>
    <d v="2025-01-08T00:00:00"/>
    <x v="2"/>
    <x v="1"/>
    <x v="2"/>
    <s v="California"/>
    <s v="Stanislaus County"/>
    <x v="7"/>
    <x v="1"/>
    <x v="2"/>
  </r>
  <r>
    <x v="197"/>
    <x v="10"/>
    <x v="3"/>
    <n v="50.8"/>
    <x v="192"/>
    <x v="7"/>
    <d v="2025-01-11T00:00:00"/>
    <x v="2"/>
    <x v="1"/>
    <x v="0"/>
    <s v="California"/>
    <s v="Alameda County"/>
    <x v="2"/>
    <x v="1"/>
    <x v="2"/>
  </r>
  <r>
    <x v="198"/>
    <x v="18"/>
    <x v="2"/>
    <n v="39.6"/>
    <x v="193"/>
    <x v="7"/>
    <d v="2025-01-09T00:00:00"/>
    <x v="1"/>
    <x v="2"/>
    <x v="2"/>
    <s v="California"/>
    <s v="Contra Costa County"/>
    <x v="3"/>
    <x v="1"/>
    <x v="1"/>
  </r>
  <r>
    <x v="199"/>
    <x v="5"/>
    <x v="1"/>
    <n v="69.5"/>
    <x v="194"/>
    <x v="7"/>
    <d v="2025-01-10T00:00:00"/>
    <x v="1"/>
    <x v="0"/>
    <x v="2"/>
    <s v="California"/>
    <s v="Fresno County"/>
    <x v="1"/>
    <x v="1"/>
    <x v="1"/>
  </r>
  <r>
    <x v="200"/>
    <x v="8"/>
    <x v="8"/>
    <n v="32.6"/>
    <x v="195"/>
    <x v="7"/>
    <d v="2025-01-11T00:00:00"/>
    <x v="1"/>
    <x v="1"/>
    <x v="0"/>
    <s v="California"/>
    <s v="Los Angeles County"/>
    <x v="2"/>
    <x v="1"/>
    <x v="1"/>
  </r>
  <r>
    <x v="201"/>
    <x v="7"/>
    <x v="1"/>
    <n v="49.1"/>
    <x v="196"/>
    <x v="7"/>
    <d v="2025-01-16T00:00:00"/>
    <x v="1"/>
    <x v="3"/>
    <x v="2"/>
    <s v="California"/>
    <s v="Los Angeles County"/>
    <x v="9"/>
    <x v="1"/>
    <x v="1"/>
  </r>
  <r>
    <x v="202"/>
    <x v="6"/>
    <x v="1"/>
    <n v="49.4"/>
    <x v="197"/>
    <x v="8"/>
    <d v="2025-01-10T00:00:00"/>
    <x v="2"/>
    <x v="2"/>
    <x v="0"/>
    <s v="California"/>
    <s v="Los Angeles County"/>
    <x v="3"/>
    <x v="1"/>
    <x v="2"/>
  </r>
  <r>
    <x v="203"/>
    <x v="7"/>
    <x v="3"/>
    <n v="65.099999999999994"/>
    <x v="198"/>
    <x v="8"/>
    <d v="2025-01-12T00:00:00"/>
    <x v="2"/>
    <x v="2"/>
    <x v="2"/>
    <s v="California"/>
    <s v="Los Angeles County"/>
    <x v="2"/>
    <x v="1"/>
    <x v="2"/>
  </r>
  <r>
    <x v="204"/>
    <x v="3"/>
    <x v="1"/>
    <n v="52.1"/>
    <x v="199"/>
    <x v="8"/>
    <d v="2025-01-13T00:00:00"/>
    <x v="2"/>
    <x v="2"/>
    <x v="0"/>
    <s v="California"/>
    <s v="Los Angeles County"/>
    <x v="5"/>
    <x v="1"/>
    <x v="2"/>
  </r>
  <r>
    <x v="205"/>
    <x v="2"/>
    <x v="12"/>
    <n v="129.19999999999999"/>
    <x v="200"/>
    <x v="8"/>
    <d v="2025-01-10T00:00:00"/>
    <x v="2"/>
    <x v="1"/>
    <x v="0"/>
    <s v="California"/>
    <s v="Los Angeles County"/>
    <x v="3"/>
    <x v="1"/>
    <x v="2"/>
  </r>
  <r>
    <x v="206"/>
    <x v="1"/>
    <x v="10"/>
    <n v="81.8"/>
    <x v="201"/>
    <x v="8"/>
    <d v="2025-01-09T00:00:00"/>
    <x v="2"/>
    <x v="1"/>
    <x v="1"/>
    <s v="California"/>
    <s v="Los Angeles County"/>
    <x v="7"/>
    <x v="1"/>
    <x v="2"/>
  </r>
  <r>
    <x v="207"/>
    <x v="17"/>
    <x v="0"/>
    <n v="24.9"/>
    <x v="202"/>
    <x v="8"/>
    <d v="2025-01-13T00:00:00"/>
    <x v="2"/>
    <x v="1"/>
    <x v="0"/>
    <s v="California"/>
    <s v="Los Angeles County"/>
    <x v="5"/>
    <x v="1"/>
    <x v="2"/>
  </r>
  <r>
    <x v="208"/>
    <x v="0"/>
    <x v="2"/>
    <n v="49.4"/>
    <x v="203"/>
    <x v="8"/>
    <d v="2025-01-12T00:00:00"/>
    <x v="2"/>
    <x v="4"/>
    <x v="4"/>
    <s v="California"/>
    <s v="Los Angeles County"/>
    <x v="2"/>
    <x v="1"/>
    <x v="2"/>
  </r>
  <r>
    <x v="209"/>
    <x v="8"/>
    <x v="1"/>
    <n v="22.7"/>
    <x v="204"/>
    <x v="8"/>
    <d v="2025-01-10T00:00:00"/>
    <x v="1"/>
    <x v="3"/>
    <x v="2"/>
    <s v="California"/>
    <s v="Los Angeles County"/>
    <x v="3"/>
    <x v="1"/>
    <x v="1"/>
  </r>
  <r>
    <x v="210"/>
    <x v="1"/>
    <x v="0"/>
    <n v="77.3"/>
    <x v="83"/>
    <x v="8"/>
    <d v="2025-01-09T00:00:00"/>
    <x v="2"/>
    <x v="0"/>
    <x v="2"/>
    <s v="California"/>
    <s v="Sacramento County"/>
    <x v="7"/>
    <x v="1"/>
    <x v="2"/>
  </r>
  <r>
    <x v="211"/>
    <x v="1"/>
    <x v="9"/>
    <n v="109.1"/>
    <x v="205"/>
    <x v="8"/>
    <d v="2025-01-12T00:00:00"/>
    <x v="2"/>
    <x v="0"/>
    <x v="0"/>
    <s v="California"/>
    <s v="Sacramento County"/>
    <x v="2"/>
    <x v="1"/>
    <x v="2"/>
  </r>
  <r>
    <x v="212"/>
    <x v="2"/>
    <x v="12"/>
    <n v="53.9"/>
    <x v="206"/>
    <x v="8"/>
    <d v="2025-01-10T00:00:00"/>
    <x v="1"/>
    <x v="0"/>
    <x v="1"/>
    <s v="California"/>
    <s v="San Diego County"/>
    <x v="3"/>
    <x v="1"/>
    <x v="1"/>
  </r>
  <r>
    <x v="213"/>
    <x v="9"/>
    <x v="18"/>
    <n v="21.2"/>
    <x v="207"/>
    <x v="8"/>
    <d v="2025-01-09T00:00:00"/>
    <x v="2"/>
    <x v="0"/>
    <x v="0"/>
    <s v="California"/>
    <s v="San Mateo County"/>
    <x v="7"/>
    <x v="1"/>
    <x v="2"/>
  </r>
  <r>
    <x v="214"/>
    <x v="16"/>
    <x v="12"/>
    <n v="69"/>
    <x v="208"/>
    <x v="8"/>
    <d v="2025-01-11T00:00:00"/>
    <x v="2"/>
    <x v="1"/>
    <x v="1"/>
    <s v="California"/>
    <s v="Sonoma County"/>
    <x v="1"/>
    <x v="1"/>
    <x v="2"/>
  </r>
  <r>
    <x v="215"/>
    <x v="6"/>
    <x v="2"/>
    <n v="46.2"/>
    <x v="209"/>
    <x v="8"/>
    <d v="2025-01-11T00:00:00"/>
    <x v="2"/>
    <x v="0"/>
    <x v="2"/>
    <s v="California"/>
    <s v="Sutter County"/>
    <x v="1"/>
    <x v="1"/>
    <x v="2"/>
  </r>
  <r>
    <x v="216"/>
    <x v="1"/>
    <x v="9"/>
    <n v="97.4"/>
    <x v="210"/>
    <x v="8"/>
    <d v="2025-01-13T00:00:00"/>
    <x v="2"/>
    <x v="4"/>
    <x v="2"/>
    <s v="California"/>
    <s v="Alameda County"/>
    <x v="5"/>
    <x v="1"/>
    <x v="2"/>
  </r>
  <r>
    <x v="217"/>
    <x v="8"/>
    <x v="9"/>
    <n v="21"/>
    <x v="211"/>
    <x v="8"/>
    <d v="2025-01-10T00:00:00"/>
    <x v="1"/>
    <x v="0"/>
    <x v="1"/>
    <s v="California"/>
    <s v="Alameda County"/>
    <x v="3"/>
    <x v="1"/>
    <x v="1"/>
  </r>
  <r>
    <x v="218"/>
    <x v="5"/>
    <x v="1"/>
    <n v="32.700000000000003"/>
    <x v="212"/>
    <x v="9"/>
    <d v="2025-01-13T00:00:00"/>
    <x v="2"/>
    <x v="1"/>
    <x v="0"/>
    <s v="California"/>
    <s v="Fresno County"/>
    <x v="2"/>
    <x v="1"/>
    <x v="2"/>
  </r>
  <r>
    <x v="219"/>
    <x v="6"/>
    <x v="12"/>
    <n v="48"/>
    <x v="213"/>
    <x v="9"/>
    <d v="2025-01-11T00:00:00"/>
    <x v="1"/>
    <x v="3"/>
    <x v="0"/>
    <s v="California"/>
    <s v="Los Angeles County"/>
    <x v="3"/>
    <x v="1"/>
    <x v="1"/>
  </r>
  <r>
    <x v="220"/>
    <x v="6"/>
    <x v="2"/>
    <n v="68.2"/>
    <x v="214"/>
    <x v="9"/>
    <d v="2025-01-14T00:00:00"/>
    <x v="0"/>
    <x v="0"/>
    <x v="2"/>
    <s v="California"/>
    <s v="Los Angeles County"/>
    <x v="5"/>
    <x v="1"/>
    <x v="0"/>
  </r>
  <r>
    <x v="221"/>
    <x v="5"/>
    <x v="0"/>
    <n v="45.4"/>
    <x v="204"/>
    <x v="9"/>
    <d v="2025-01-12T00:00:00"/>
    <x v="1"/>
    <x v="1"/>
    <x v="0"/>
    <s v="California"/>
    <s v="Los Angeles County"/>
    <x v="1"/>
    <x v="1"/>
    <x v="1"/>
  </r>
  <r>
    <x v="222"/>
    <x v="12"/>
    <x v="1"/>
    <n v="53.9"/>
    <x v="215"/>
    <x v="9"/>
    <d v="2025-01-11T00:00:00"/>
    <x v="2"/>
    <x v="2"/>
    <x v="0"/>
    <s v="California"/>
    <s v="Los Angeles County"/>
    <x v="3"/>
    <x v="1"/>
    <x v="2"/>
  </r>
  <r>
    <x v="223"/>
    <x v="2"/>
    <x v="12"/>
    <n v="62.1"/>
    <x v="216"/>
    <x v="9"/>
    <d v="2025-01-14T00:00:00"/>
    <x v="2"/>
    <x v="0"/>
    <x v="0"/>
    <s v="California"/>
    <s v="Nevada County"/>
    <x v="5"/>
    <x v="1"/>
    <x v="2"/>
  </r>
  <r>
    <x v="224"/>
    <x v="13"/>
    <x v="3"/>
    <n v="33.1"/>
    <x v="217"/>
    <x v="9"/>
    <d v="2025-01-15T00:00:00"/>
    <x v="1"/>
    <x v="1"/>
    <x v="0"/>
    <s v="California"/>
    <s v="Sacramento County"/>
    <x v="0"/>
    <x v="1"/>
    <x v="1"/>
  </r>
  <r>
    <x v="225"/>
    <x v="18"/>
    <x v="9"/>
    <n v="35.200000000000003"/>
    <x v="218"/>
    <x v="9"/>
    <d v="2025-01-10T00:00:00"/>
    <x v="2"/>
    <x v="1"/>
    <x v="0"/>
    <s v="California"/>
    <s v="Sacramento County"/>
    <x v="7"/>
    <x v="1"/>
    <x v="2"/>
  </r>
  <r>
    <x v="226"/>
    <x v="9"/>
    <x v="2"/>
    <n v="32.1"/>
    <x v="219"/>
    <x v="9"/>
    <d v="2025-01-15T00:00:00"/>
    <x v="1"/>
    <x v="3"/>
    <x v="0"/>
    <s v="California"/>
    <s v="San Diego County"/>
    <x v="0"/>
    <x v="1"/>
    <x v="1"/>
  </r>
  <r>
    <x v="227"/>
    <x v="11"/>
    <x v="0"/>
    <n v="38.1"/>
    <x v="220"/>
    <x v="9"/>
    <d v="2025-01-15T00:00:00"/>
    <x v="2"/>
    <x v="0"/>
    <x v="2"/>
    <s v="California"/>
    <s v="San Diego County"/>
    <x v="0"/>
    <x v="1"/>
    <x v="2"/>
  </r>
  <r>
    <x v="228"/>
    <x v="8"/>
    <x v="0"/>
    <n v="65.2"/>
    <x v="221"/>
    <x v="9"/>
    <d v="2025-01-15T00:00:00"/>
    <x v="2"/>
    <x v="3"/>
    <x v="1"/>
    <s v="California"/>
    <s v="San Diego County"/>
    <x v="0"/>
    <x v="1"/>
    <x v="2"/>
  </r>
  <r>
    <x v="229"/>
    <x v="10"/>
    <x v="3"/>
    <n v="55.2"/>
    <x v="222"/>
    <x v="9"/>
    <d v="2025-01-11T00:00:00"/>
    <x v="1"/>
    <x v="2"/>
    <x v="0"/>
    <s v="California"/>
    <s v="Santa Clara County"/>
    <x v="3"/>
    <x v="1"/>
    <x v="1"/>
  </r>
  <r>
    <x v="230"/>
    <x v="6"/>
    <x v="0"/>
    <n v="62"/>
    <x v="85"/>
    <x v="9"/>
    <d v="2025-01-14T00:00:00"/>
    <x v="2"/>
    <x v="0"/>
    <x v="0"/>
    <s v="California"/>
    <s v="Santa Clara County"/>
    <x v="5"/>
    <x v="1"/>
    <x v="2"/>
  </r>
  <r>
    <x v="231"/>
    <x v="7"/>
    <x v="2"/>
    <n v="45.9"/>
    <x v="223"/>
    <x v="9"/>
    <d v="2025-01-11T00:00:00"/>
    <x v="2"/>
    <x v="2"/>
    <x v="0"/>
    <s v="California"/>
    <s v="Santa Cruz County"/>
    <x v="3"/>
    <x v="1"/>
    <x v="2"/>
  </r>
  <r>
    <x v="232"/>
    <x v="18"/>
    <x v="2"/>
    <n v="58.3"/>
    <x v="224"/>
    <x v="9"/>
    <d v="2025-01-10T00:00:00"/>
    <x v="1"/>
    <x v="1"/>
    <x v="1"/>
    <s v="California"/>
    <s v="Sonoma County"/>
    <x v="7"/>
    <x v="1"/>
    <x v="1"/>
  </r>
  <r>
    <x v="233"/>
    <x v="8"/>
    <x v="1"/>
    <n v="22.3"/>
    <x v="225"/>
    <x v="9"/>
    <d v="2025-01-13T00:00:00"/>
    <x v="2"/>
    <x v="0"/>
    <x v="2"/>
    <s v="California"/>
    <s v="Tulare County"/>
    <x v="2"/>
    <x v="1"/>
    <x v="2"/>
  </r>
  <r>
    <x v="234"/>
    <x v="19"/>
    <x v="9"/>
    <n v="24"/>
    <x v="160"/>
    <x v="9"/>
    <d v="2025-01-11T00:00:00"/>
    <x v="1"/>
    <x v="4"/>
    <x v="0"/>
    <s v="California"/>
    <s v="Contra Costa County"/>
    <x v="3"/>
    <x v="1"/>
    <x v="1"/>
  </r>
  <r>
    <x v="235"/>
    <x v="0"/>
    <x v="7"/>
    <n v="21.3"/>
    <x v="226"/>
    <x v="9"/>
    <d v="2025-01-10T00:00:00"/>
    <x v="2"/>
    <x v="1"/>
    <x v="2"/>
    <s v="California"/>
    <s v="Kern County"/>
    <x v="7"/>
    <x v="1"/>
    <x v="2"/>
  </r>
  <r>
    <x v="236"/>
    <x v="6"/>
    <x v="24"/>
    <n v="57.8"/>
    <x v="227"/>
    <x v="9"/>
    <d v="2025-01-12T00:00:00"/>
    <x v="2"/>
    <x v="0"/>
    <x v="2"/>
    <s v="California"/>
    <s v="Los Angeles County"/>
    <x v="1"/>
    <x v="1"/>
    <x v="2"/>
  </r>
  <r>
    <x v="237"/>
    <x v="10"/>
    <x v="2"/>
    <n v="67.599999999999994"/>
    <x v="228"/>
    <x v="9"/>
    <d v="2025-01-11T00:00:00"/>
    <x v="2"/>
    <x v="0"/>
    <x v="0"/>
    <s v="California"/>
    <s v="Los Angeles County"/>
    <x v="3"/>
    <x v="1"/>
    <x v="2"/>
  </r>
  <r>
    <x v="238"/>
    <x v="6"/>
    <x v="13"/>
    <n v="66.7"/>
    <x v="229"/>
    <x v="9"/>
    <d v="2025-01-14T00:00:00"/>
    <x v="1"/>
    <x v="4"/>
    <x v="1"/>
    <s v="California"/>
    <s v="Los Angeles County"/>
    <x v="5"/>
    <x v="1"/>
    <x v="1"/>
  </r>
  <r>
    <x v="239"/>
    <x v="1"/>
    <x v="12"/>
    <n v="53.1"/>
    <x v="230"/>
    <x v="9"/>
    <d v="2025-01-12T00:00:00"/>
    <x v="2"/>
    <x v="1"/>
    <x v="0"/>
    <s v="California"/>
    <s v="Los Angeles County"/>
    <x v="1"/>
    <x v="1"/>
    <x v="2"/>
  </r>
  <r>
    <x v="240"/>
    <x v="12"/>
    <x v="2"/>
    <n v="57.4"/>
    <x v="231"/>
    <x v="9"/>
    <d v="2025-01-13T00:00:00"/>
    <x v="2"/>
    <x v="0"/>
    <x v="2"/>
    <s v="California"/>
    <s v="Mendocino County"/>
    <x v="2"/>
    <x v="1"/>
    <x v="2"/>
  </r>
  <r>
    <x v="241"/>
    <x v="2"/>
    <x v="9"/>
    <n v="58.1"/>
    <x v="232"/>
    <x v="9"/>
    <d v="2025-01-10T00:00:00"/>
    <x v="1"/>
    <x v="2"/>
    <x v="2"/>
    <s v="California"/>
    <s v="Sacramento County"/>
    <x v="7"/>
    <x v="1"/>
    <x v="1"/>
  </r>
  <r>
    <x v="242"/>
    <x v="5"/>
    <x v="2"/>
    <n v="31.8"/>
    <x v="233"/>
    <x v="10"/>
    <d v="2025-01-13T00:00:00"/>
    <x v="1"/>
    <x v="3"/>
    <x v="0"/>
    <s v="California"/>
    <s v="Sacramento County"/>
    <x v="1"/>
    <x v="1"/>
    <x v="1"/>
  </r>
  <r>
    <x v="243"/>
    <x v="4"/>
    <x v="2"/>
    <n v="31.5"/>
    <x v="234"/>
    <x v="10"/>
    <d v="2025-01-14T00:00:00"/>
    <x v="1"/>
    <x v="0"/>
    <x v="1"/>
    <s v="California"/>
    <s v="San Diego County"/>
    <x v="2"/>
    <x v="1"/>
    <x v="1"/>
  </r>
  <r>
    <x v="244"/>
    <x v="6"/>
    <x v="3"/>
    <n v="55.9"/>
    <x v="235"/>
    <x v="10"/>
    <d v="2025-01-15T00:00:00"/>
    <x v="2"/>
    <x v="1"/>
    <x v="2"/>
    <s v="California"/>
    <s v="San Diego County"/>
    <x v="5"/>
    <x v="1"/>
    <x v="2"/>
  </r>
  <r>
    <x v="245"/>
    <x v="8"/>
    <x v="1"/>
    <n v="36.4"/>
    <x v="236"/>
    <x v="10"/>
    <d v="2025-01-12T00:00:00"/>
    <x v="1"/>
    <x v="1"/>
    <x v="1"/>
    <s v="California"/>
    <s v="San Mateo County"/>
    <x v="3"/>
    <x v="1"/>
    <x v="1"/>
  </r>
  <r>
    <x v="246"/>
    <x v="1"/>
    <x v="9"/>
    <n v="47.3"/>
    <x v="237"/>
    <x v="10"/>
    <d v="2025-01-14T00:00:00"/>
    <x v="1"/>
    <x v="2"/>
    <x v="0"/>
    <s v="California"/>
    <s v="Santa Barbara County"/>
    <x v="2"/>
    <x v="1"/>
    <x v="1"/>
  </r>
  <r>
    <x v="247"/>
    <x v="6"/>
    <x v="2"/>
    <n v="82.5"/>
    <x v="238"/>
    <x v="10"/>
    <d v="2025-01-12T00:00:00"/>
    <x v="1"/>
    <x v="0"/>
    <x v="0"/>
    <s v="California"/>
    <s v="Santa Clara County"/>
    <x v="3"/>
    <x v="1"/>
    <x v="1"/>
  </r>
  <r>
    <x v="248"/>
    <x v="0"/>
    <x v="0"/>
    <n v="14.3"/>
    <x v="239"/>
    <x v="10"/>
    <d v="2025-01-12T00:00:00"/>
    <x v="2"/>
    <x v="0"/>
    <x v="0"/>
    <s v="California"/>
    <s v="Alameda County"/>
    <x v="3"/>
    <x v="1"/>
    <x v="2"/>
  </r>
  <r>
    <x v="249"/>
    <x v="2"/>
    <x v="13"/>
    <n v="57.6"/>
    <x v="240"/>
    <x v="10"/>
    <d v="2025-01-25T00:00:00"/>
    <x v="2"/>
    <x v="0"/>
    <x v="0"/>
    <s v="California"/>
    <s v="Alameda County"/>
    <x v="12"/>
    <x v="1"/>
    <x v="2"/>
  </r>
  <r>
    <x v="250"/>
    <x v="2"/>
    <x v="2"/>
    <n v="142.4"/>
    <x v="241"/>
    <x v="10"/>
    <d v="2025-01-13T00:00:00"/>
    <x v="1"/>
    <x v="4"/>
    <x v="1"/>
    <s v="California"/>
    <s v="Alameda County"/>
    <x v="1"/>
    <x v="1"/>
    <x v="1"/>
  </r>
  <r>
    <x v="251"/>
    <x v="12"/>
    <x v="0"/>
    <n v="30.2"/>
    <x v="242"/>
    <x v="10"/>
    <d v="2025-01-15T00:00:00"/>
    <x v="1"/>
    <x v="1"/>
    <x v="2"/>
    <s v="California"/>
    <s v="Fresno County"/>
    <x v="5"/>
    <x v="1"/>
    <x v="1"/>
  </r>
  <r>
    <x v="252"/>
    <x v="18"/>
    <x v="2"/>
    <n v="65.3"/>
    <x v="243"/>
    <x v="10"/>
    <d v="2025-01-12T00:00:00"/>
    <x v="3"/>
    <x v="1"/>
    <x v="0"/>
    <s v="California"/>
    <s v="Imperial County"/>
    <x v="3"/>
    <x v="1"/>
    <x v="3"/>
  </r>
  <r>
    <x v="253"/>
    <x v="0"/>
    <x v="1"/>
    <n v="33.4"/>
    <x v="119"/>
    <x v="10"/>
    <d v="2025-01-12T00:00:00"/>
    <x v="1"/>
    <x v="1"/>
    <x v="1"/>
    <s v="California"/>
    <s v="Kern County"/>
    <x v="3"/>
    <x v="1"/>
    <x v="1"/>
  </r>
  <r>
    <x v="254"/>
    <x v="7"/>
    <x v="1"/>
    <n v="45.1"/>
    <x v="244"/>
    <x v="10"/>
    <d v="2025-01-19T00:00:00"/>
    <x v="1"/>
    <x v="0"/>
    <x v="0"/>
    <s v="California"/>
    <s v="Kings County"/>
    <x v="9"/>
    <x v="1"/>
    <x v="1"/>
  </r>
  <r>
    <x v="255"/>
    <x v="2"/>
    <x v="3"/>
    <n v="61.7"/>
    <x v="245"/>
    <x v="10"/>
    <d v="2025-01-13T00:00:00"/>
    <x v="2"/>
    <x v="4"/>
    <x v="0"/>
    <s v="California"/>
    <s v="Los Angeles County"/>
    <x v="1"/>
    <x v="1"/>
    <x v="2"/>
  </r>
  <r>
    <x v="256"/>
    <x v="9"/>
    <x v="2"/>
    <n v="45.1"/>
    <x v="246"/>
    <x v="11"/>
    <d v="2025-01-13T00:00:00"/>
    <x v="1"/>
    <x v="4"/>
    <x v="1"/>
    <s v="California"/>
    <s v="Los Angeles County"/>
    <x v="3"/>
    <x v="2"/>
    <x v="1"/>
  </r>
  <r>
    <x v="257"/>
    <x v="15"/>
    <x v="9"/>
    <n v="22.7"/>
    <x v="247"/>
    <x v="11"/>
    <d v="2025-01-17T00:00:00"/>
    <x v="1"/>
    <x v="0"/>
    <x v="2"/>
    <s v="California"/>
    <s v="Plumas County"/>
    <x v="0"/>
    <x v="2"/>
    <x v="1"/>
  </r>
  <r>
    <x v="258"/>
    <x v="8"/>
    <x v="0"/>
    <n v="17.600000000000001"/>
    <x v="248"/>
    <x v="11"/>
    <d v="2025-01-13T00:00:00"/>
    <x v="2"/>
    <x v="0"/>
    <x v="2"/>
    <s v="California"/>
    <s v="Riverside County"/>
    <x v="3"/>
    <x v="2"/>
    <x v="2"/>
  </r>
  <r>
    <x v="259"/>
    <x v="14"/>
    <x v="1"/>
    <n v="11.3"/>
    <x v="249"/>
    <x v="11"/>
    <d v="2025-01-15T00:00:00"/>
    <x v="2"/>
    <x v="3"/>
    <x v="2"/>
    <s v="California"/>
    <s v="Riverside County"/>
    <x v="2"/>
    <x v="2"/>
    <x v="2"/>
  </r>
  <r>
    <x v="260"/>
    <x v="6"/>
    <x v="2"/>
    <n v="53.4"/>
    <x v="250"/>
    <x v="11"/>
    <d v="2025-01-15T00:00:00"/>
    <x v="1"/>
    <x v="3"/>
    <x v="2"/>
    <s v="California"/>
    <s v="San Benito County"/>
    <x v="2"/>
    <x v="2"/>
    <x v="1"/>
  </r>
  <r>
    <x v="261"/>
    <x v="6"/>
    <x v="5"/>
    <n v="51.1"/>
    <x v="251"/>
    <x v="11"/>
    <d v="2025-01-14T00:00:00"/>
    <x v="2"/>
    <x v="2"/>
    <x v="2"/>
    <s v="California"/>
    <s v="San Diego County"/>
    <x v="1"/>
    <x v="2"/>
    <x v="2"/>
  </r>
  <r>
    <x v="262"/>
    <x v="8"/>
    <x v="1"/>
    <n v="27.5"/>
    <x v="252"/>
    <x v="11"/>
    <d v="2025-01-13T00:00:00"/>
    <x v="1"/>
    <x v="4"/>
    <x v="1"/>
    <s v="California"/>
    <s v="San Diego County"/>
    <x v="3"/>
    <x v="2"/>
    <x v="1"/>
  </r>
  <r>
    <x v="263"/>
    <x v="9"/>
    <x v="0"/>
    <n v="33.5"/>
    <x v="253"/>
    <x v="11"/>
    <d v="2025-01-14T00:00:00"/>
    <x v="2"/>
    <x v="0"/>
    <x v="4"/>
    <s v="California"/>
    <s v="San Diego County"/>
    <x v="1"/>
    <x v="2"/>
    <x v="2"/>
  </r>
  <r>
    <x v="264"/>
    <x v="4"/>
    <x v="0"/>
    <n v="59.5"/>
    <x v="254"/>
    <x v="11"/>
    <d v="2025-01-12T00:00:00"/>
    <x v="1"/>
    <x v="0"/>
    <x v="2"/>
    <s v="California"/>
    <s v="Sonoma County"/>
    <x v="7"/>
    <x v="2"/>
    <x v="1"/>
  </r>
  <r>
    <x v="265"/>
    <x v="17"/>
    <x v="12"/>
    <n v="23.5"/>
    <x v="255"/>
    <x v="11"/>
    <d v="2025-01-13T00:00:00"/>
    <x v="2"/>
    <x v="3"/>
    <x v="3"/>
    <s v="California"/>
    <s v="Stanislaus County"/>
    <x v="3"/>
    <x v="2"/>
    <x v="2"/>
  </r>
  <r>
    <x v="266"/>
    <x v="6"/>
    <x v="0"/>
    <n v="49.7"/>
    <x v="256"/>
    <x v="11"/>
    <d v="2025-01-13T00:00:00"/>
    <x v="0"/>
    <x v="1"/>
    <x v="2"/>
    <s v="California"/>
    <s v="Tulare County"/>
    <x v="3"/>
    <x v="2"/>
    <x v="0"/>
  </r>
  <r>
    <x v="267"/>
    <x v="6"/>
    <x v="12"/>
    <n v="44.2"/>
    <x v="257"/>
    <x v="11"/>
    <d v="2025-01-15T00:00:00"/>
    <x v="2"/>
    <x v="0"/>
    <x v="2"/>
    <s v="California"/>
    <s v="Alameda County"/>
    <x v="2"/>
    <x v="2"/>
    <x v="2"/>
  </r>
  <r>
    <x v="268"/>
    <x v="8"/>
    <x v="0"/>
    <n v="22.1"/>
    <x v="258"/>
    <x v="11"/>
    <d v="2025-01-16T00:00:00"/>
    <x v="2"/>
    <x v="1"/>
    <x v="1"/>
    <s v="California"/>
    <s v="Imperial County"/>
    <x v="5"/>
    <x v="2"/>
    <x v="2"/>
  </r>
  <r>
    <x v="269"/>
    <x v="6"/>
    <x v="2"/>
    <n v="90.9"/>
    <x v="259"/>
    <x v="11"/>
    <d v="2025-01-13T00:00:00"/>
    <x v="2"/>
    <x v="2"/>
    <x v="4"/>
    <s v="California"/>
    <s v="Los Angeles County"/>
    <x v="3"/>
    <x v="2"/>
    <x v="2"/>
  </r>
  <r>
    <x v="270"/>
    <x v="8"/>
    <x v="2"/>
    <n v="44.5"/>
    <x v="260"/>
    <x v="11"/>
    <d v="2025-01-13T00:00:00"/>
    <x v="2"/>
    <x v="1"/>
    <x v="0"/>
    <s v="California"/>
    <s v="Los Angeles County"/>
    <x v="3"/>
    <x v="2"/>
    <x v="2"/>
  </r>
  <r>
    <x v="271"/>
    <x v="9"/>
    <x v="13"/>
    <n v="32.299999999999997"/>
    <x v="261"/>
    <x v="11"/>
    <d v="2025-01-16T00:00:00"/>
    <x v="2"/>
    <x v="0"/>
    <x v="0"/>
    <s v="California"/>
    <s v="Los Angeles County"/>
    <x v="5"/>
    <x v="2"/>
    <x v="2"/>
  </r>
  <r>
    <x v="272"/>
    <x v="17"/>
    <x v="2"/>
    <n v="87.5"/>
    <x v="175"/>
    <x v="11"/>
    <d v="2025-01-13T00:00:00"/>
    <x v="2"/>
    <x v="1"/>
    <x v="1"/>
    <s v="California"/>
    <s v="Los Angeles County"/>
    <x v="3"/>
    <x v="2"/>
    <x v="2"/>
  </r>
  <r>
    <x v="273"/>
    <x v="16"/>
    <x v="9"/>
    <n v="48.7"/>
    <x v="262"/>
    <x v="11"/>
    <d v="2025-01-13T00:00:00"/>
    <x v="1"/>
    <x v="2"/>
    <x v="0"/>
    <s v="California"/>
    <s v="Los Angeles County"/>
    <x v="3"/>
    <x v="2"/>
    <x v="1"/>
  </r>
  <r>
    <x v="274"/>
    <x v="0"/>
    <x v="9"/>
    <n v="22.5"/>
    <x v="158"/>
    <x v="11"/>
    <d v="2025-01-13T00:00:00"/>
    <x v="1"/>
    <x v="0"/>
    <x v="0"/>
    <s v="California"/>
    <s v="Los Angeles County"/>
    <x v="3"/>
    <x v="2"/>
    <x v="1"/>
  </r>
  <r>
    <x v="275"/>
    <x v="1"/>
    <x v="8"/>
    <n v="65.900000000000006"/>
    <x v="263"/>
    <x v="11"/>
    <d v="2025-01-15T00:00:00"/>
    <x v="2"/>
    <x v="1"/>
    <x v="2"/>
    <s v="California"/>
    <s v="Los Angeles County"/>
    <x v="2"/>
    <x v="2"/>
    <x v="2"/>
  </r>
  <r>
    <x v="276"/>
    <x v="6"/>
    <x v="9"/>
    <n v="41.9"/>
    <x v="264"/>
    <x v="11"/>
    <d v="2025-01-19T00:00:00"/>
    <x v="0"/>
    <x v="0"/>
    <x v="0"/>
    <s v="California"/>
    <s v="Los Angeles County"/>
    <x v="6"/>
    <x v="2"/>
    <x v="0"/>
  </r>
  <r>
    <x v="277"/>
    <x v="1"/>
    <x v="9"/>
    <n v="67.5"/>
    <x v="265"/>
    <x v="11"/>
    <d v="2025-01-13T00:00:00"/>
    <x v="2"/>
    <x v="0"/>
    <x v="2"/>
    <s v="California"/>
    <s v="Los Angeles County"/>
    <x v="3"/>
    <x v="2"/>
    <x v="2"/>
  </r>
  <r>
    <x v="278"/>
    <x v="9"/>
    <x v="0"/>
    <n v="60.4"/>
    <x v="266"/>
    <x v="12"/>
    <d v="2025-01-15T00:00:00"/>
    <x v="2"/>
    <x v="1"/>
    <x v="1"/>
    <s v="California"/>
    <s v="Los Angeles County"/>
    <x v="1"/>
    <x v="2"/>
    <x v="2"/>
  </r>
  <r>
    <x v="279"/>
    <x v="1"/>
    <x v="3"/>
    <n v="30.4"/>
    <x v="267"/>
    <x v="12"/>
    <d v="2025-01-16T00:00:00"/>
    <x v="2"/>
    <x v="4"/>
    <x v="0"/>
    <s v="California"/>
    <s v="Los Angeles County"/>
    <x v="2"/>
    <x v="2"/>
    <x v="2"/>
  </r>
  <r>
    <x v="280"/>
    <x v="14"/>
    <x v="1"/>
    <n v="24.5"/>
    <x v="268"/>
    <x v="12"/>
    <d v="2025-01-14T00:00:00"/>
    <x v="1"/>
    <x v="3"/>
    <x v="2"/>
    <s v="California"/>
    <s v="Los Angeles County"/>
    <x v="3"/>
    <x v="2"/>
    <x v="1"/>
  </r>
  <r>
    <x v="281"/>
    <x v="2"/>
    <x v="2"/>
    <n v="105.9"/>
    <x v="269"/>
    <x v="12"/>
    <d v="2025-01-18T00:00:00"/>
    <x v="1"/>
    <x v="0"/>
    <x v="0"/>
    <s v="California"/>
    <s v="Madera County"/>
    <x v="0"/>
    <x v="2"/>
    <x v="1"/>
  </r>
  <r>
    <x v="282"/>
    <x v="10"/>
    <x v="25"/>
    <n v="25.9"/>
    <x v="270"/>
    <x v="12"/>
    <d v="2025-01-14T00:00:00"/>
    <x v="2"/>
    <x v="4"/>
    <x v="0"/>
    <s v="California"/>
    <s v="Riverside County"/>
    <x v="3"/>
    <x v="2"/>
    <x v="2"/>
  </r>
  <r>
    <x v="283"/>
    <x v="6"/>
    <x v="2"/>
    <n v="66.8"/>
    <x v="271"/>
    <x v="12"/>
    <d v="2025-01-13T00:00:00"/>
    <x v="1"/>
    <x v="0"/>
    <x v="0"/>
    <s v="California"/>
    <s v="Riverside County"/>
    <x v="7"/>
    <x v="2"/>
    <x v="1"/>
  </r>
  <r>
    <x v="284"/>
    <x v="6"/>
    <x v="2"/>
    <n v="112.3"/>
    <x v="272"/>
    <x v="12"/>
    <d v="2025-01-14T00:00:00"/>
    <x v="1"/>
    <x v="2"/>
    <x v="4"/>
    <s v="California"/>
    <s v="Sacramento County"/>
    <x v="3"/>
    <x v="2"/>
    <x v="1"/>
  </r>
  <r>
    <x v="285"/>
    <x v="1"/>
    <x v="13"/>
    <n v="94.1"/>
    <x v="273"/>
    <x v="12"/>
    <d v="2025-01-14T00:00:00"/>
    <x v="2"/>
    <x v="0"/>
    <x v="4"/>
    <s v="California"/>
    <s v="Sacramento County"/>
    <x v="3"/>
    <x v="2"/>
    <x v="2"/>
  </r>
  <r>
    <x v="286"/>
    <x v="5"/>
    <x v="0"/>
    <n v="40.700000000000003"/>
    <x v="274"/>
    <x v="12"/>
    <d v="2025-01-16T00:00:00"/>
    <x v="2"/>
    <x v="2"/>
    <x v="0"/>
    <s v="California"/>
    <s v="Sacramento County"/>
    <x v="2"/>
    <x v="2"/>
    <x v="2"/>
  </r>
  <r>
    <x v="287"/>
    <x v="3"/>
    <x v="1"/>
    <n v="71.400000000000006"/>
    <x v="275"/>
    <x v="12"/>
    <d v="2025-01-14T00:00:00"/>
    <x v="1"/>
    <x v="0"/>
    <x v="0"/>
    <s v="California"/>
    <s v="San Bernardino County"/>
    <x v="3"/>
    <x v="2"/>
    <x v="1"/>
  </r>
  <r>
    <x v="288"/>
    <x v="0"/>
    <x v="16"/>
    <n v="15.6"/>
    <x v="276"/>
    <x v="12"/>
    <d v="2025-01-14T00:00:00"/>
    <x v="1"/>
    <x v="1"/>
    <x v="3"/>
    <s v="California"/>
    <s v="San Diego County"/>
    <x v="3"/>
    <x v="2"/>
    <x v="1"/>
  </r>
  <r>
    <x v="289"/>
    <x v="10"/>
    <x v="12"/>
    <n v="37.799999999999997"/>
    <x v="277"/>
    <x v="12"/>
    <d v="2025-01-14T00:00:00"/>
    <x v="1"/>
    <x v="2"/>
    <x v="2"/>
    <s v="California"/>
    <s v="San Diego County"/>
    <x v="3"/>
    <x v="2"/>
    <x v="1"/>
  </r>
  <r>
    <x v="290"/>
    <x v="4"/>
    <x v="2"/>
    <n v="28.1"/>
    <x v="278"/>
    <x v="12"/>
    <d v="2025-01-17T00:00:00"/>
    <x v="1"/>
    <x v="0"/>
    <x v="0"/>
    <s v="California"/>
    <s v="San Diego County"/>
    <x v="5"/>
    <x v="2"/>
    <x v="1"/>
  </r>
  <r>
    <x v="291"/>
    <x v="7"/>
    <x v="13"/>
    <n v="51.4"/>
    <x v="279"/>
    <x v="12"/>
    <d v="2025-01-17T00:00:00"/>
    <x v="1"/>
    <x v="0"/>
    <x v="0"/>
    <s v="California"/>
    <s v="San Diego County"/>
    <x v="5"/>
    <x v="2"/>
    <x v="1"/>
  </r>
  <r>
    <x v="292"/>
    <x v="7"/>
    <x v="1"/>
    <n v="97.7"/>
    <x v="280"/>
    <x v="12"/>
    <d v="2025-01-15T00:00:00"/>
    <x v="2"/>
    <x v="4"/>
    <x v="2"/>
    <s v="California"/>
    <s v="San Francisco"/>
    <x v="1"/>
    <x v="2"/>
    <x v="2"/>
  </r>
  <r>
    <x v="293"/>
    <x v="1"/>
    <x v="12"/>
    <n v="63.8"/>
    <x v="281"/>
    <x v="12"/>
    <d v="2025-01-14T00:00:00"/>
    <x v="1"/>
    <x v="2"/>
    <x v="0"/>
    <s v="California"/>
    <s v="Solano County"/>
    <x v="3"/>
    <x v="2"/>
    <x v="1"/>
  </r>
  <r>
    <x v="294"/>
    <x v="13"/>
    <x v="1"/>
    <n v="20.100000000000001"/>
    <x v="282"/>
    <x v="12"/>
    <d v="2025-01-15T00:00:00"/>
    <x v="1"/>
    <x v="0"/>
    <x v="2"/>
    <s v="California"/>
    <s v="Tulare County"/>
    <x v="1"/>
    <x v="2"/>
    <x v="1"/>
  </r>
  <r>
    <x v="295"/>
    <x v="11"/>
    <x v="2"/>
    <n v="50.4"/>
    <x v="277"/>
    <x v="12"/>
    <d v="2025-01-16T00:00:00"/>
    <x v="2"/>
    <x v="3"/>
    <x v="0"/>
    <s v="California"/>
    <s v="Ventura County"/>
    <x v="2"/>
    <x v="2"/>
    <x v="2"/>
  </r>
  <r>
    <x v="296"/>
    <x v="0"/>
    <x v="0"/>
    <n v="16.2"/>
    <x v="283"/>
    <x v="12"/>
    <d v="2025-01-26T00:00:00"/>
    <x v="2"/>
    <x v="1"/>
    <x v="0"/>
    <s v="California"/>
    <s v="Contra Costa County"/>
    <x v="10"/>
    <x v="2"/>
    <x v="2"/>
  </r>
  <r>
    <x v="297"/>
    <x v="6"/>
    <x v="3"/>
    <n v="80.900000000000006"/>
    <x v="284"/>
    <x v="12"/>
    <d v="2025-01-15T00:00:00"/>
    <x v="1"/>
    <x v="4"/>
    <x v="4"/>
    <s v="California"/>
    <s v="Fresno County"/>
    <x v="1"/>
    <x v="2"/>
    <x v="1"/>
  </r>
  <r>
    <x v="298"/>
    <x v="9"/>
    <x v="13"/>
    <n v="95.2"/>
    <x v="285"/>
    <x v="12"/>
    <d v="2025-01-15T00:00:00"/>
    <x v="2"/>
    <x v="0"/>
    <x v="2"/>
    <s v="California"/>
    <s v="Fresno County"/>
    <x v="1"/>
    <x v="2"/>
    <x v="2"/>
  </r>
  <r>
    <x v="299"/>
    <x v="5"/>
    <x v="8"/>
    <n v="70.400000000000006"/>
    <x v="286"/>
    <x v="12"/>
    <d v="2025-01-14T00:00:00"/>
    <x v="1"/>
    <x v="1"/>
    <x v="1"/>
    <s v="California"/>
    <s v="Los Angeles County"/>
    <x v="3"/>
    <x v="2"/>
    <x v="1"/>
  </r>
  <r>
    <x v="300"/>
    <x v="0"/>
    <x v="9"/>
    <n v="10.7"/>
    <x v="287"/>
    <x v="12"/>
    <d v="2025-01-17T00:00:00"/>
    <x v="2"/>
    <x v="2"/>
    <x v="0"/>
    <s v="California"/>
    <s v="Los Angeles County"/>
    <x v="5"/>
    <x v="2"/>
    <x v="2"/>
  </r>
  <r>
    <x v="301"/>
    <x v="8"/>
    <x v="9"/>
    <n v="19.600000000000001"/>
    <x v="11"/>
    <x v="12"/>
    <d v="2025-01-15T00:00:00"/>
    <x v="2"/>
    <x v="0"/>
    <x v="3"/>
    <s v="California"/>
    <s v="Los Angeles County"/>
    <x v="1"/>
    <x v="2"/>
    <x v="2"/>
  </r>
  <r>
    <x v="302"/>
    <x v="8"/>
    <x v="5"/>
    <n v="34.700000000000003"/>
    <x v="288"/>
    <x v="12"/>
    <d v="2025-01-15T00:00:00"/>
    <x v="2"/>
    <x v="0"/>
    <x v="2"/>
    <s v="California"/>
    <s v="Los Angeles County"/>
    <x v="1"/>
    <x v="2"/>
    <x v="2"/>
  </r>
  <r>
    <x v="303"/>
    <x v="10"/>
    <x v="11"/>
    <n v="34.1"/>
    <x v="289"/>
    <x v="12"/>
    <d v="2025-01-14T00:00:00"/>
    <x v="2"/>
    <x v="4"/>
    <x v="1"/>
    <s v="California"/>
    <s v="Los Angeles County"/>
    <x v="3"/>
    <x v="2"/>
    <x v="2"/>
  </r>
  <r>
    <x v="304"/>
    <x v="0"/>
    <x v="26"/>
    <n v="29.3"/>
    <x v="290"/>
    <x v="12"/>
    <d v="2025-01-13T00:00:00"/>
    <x v="1"/>
    <x v="0"/>
    <x v="1"/>
    <s v="California"/>
    <s v="Los Angeles County"/>
    <x v="7"/>
    <x v="2"/>
    <x v="1"/>
  </r>
  <r>
    <x v="305"/>
    <x v="1"/>
    <x v="0"/>
    <n v="55.2"/>
    <x v="291"/>
    <x v="12"/>
    <d v="2025-01-14T00:00:00"/>
    <x v="2"/>
    <x v="0"/>
    <x v="1"/>
    <s v="California"/>
    <s v="Los Angeles County"/>
    <x v="3"/>
    <x v="2"/>
    <x v="2"/>
  </r>
  <r>
    <x v="306"/>
    <x v="18"/>
    <x v="2"/>
    <n v="26"/>
    <x v="292"/>
    <x v="12"/>
    <d v="2025-01-16T00:00:00"/>
    <x v="2"/>
    <x v="0"/>
    <x v="2"/>
    <s v="California"/>
    <s v="Los Angeles County"/>
    <x v="2"/>
    <x v="2"/>
    <x v="2"/>
  </r>
  <r>
    <x v="307"/>
    <x v="14"/>
    <x v="1"/>
    <n v="14.2"/>
    <x v="293"/>
    <x v="12"/>
    <d v="2025-01-18T00:00:00"/>
    <x v="2"/>
    <x v="3"/>
    <x v="0"/>
    <s v="California"/>
    <s v="Modoc County"/>
    <x v="0"/>
    <x v="2"/>
    <x v="2"/>
  </r>
  <r>
    <x v="308"/>
    <x v="8"/>
    <x v="11"/>
    <n v="22.7"/>
    <x v="294"/>
    <x v="13"/>
    <d v="2025-01-15T00:00:00"/>
    <x v="1"/>
    <x v="1"/>
    <x v="0"/>
    <s v="California"/>
    <s v="Sacramento County"/>
    <x v="3"/>
    <x v="2"/>
    <x v="1"/>
  </r>
  <r>
    <x v="309"/>
    <x v="0"/>
    <x v="20"/>
    <n v="19.8"/>
    <x v="295"/>
    <x v="13"/>
    <d v="2025-01-14T00:00:00"/>
    <x v="2"/>
    <x v="0"/>
    <x v="2"/>
    <s v="California"/>
    <s v="Sacramento County"/>
    <x v="7"/>
    <x v="2"/>
    <x v="2"/>
  </r>
  <r>
    <x v="310"/>
    <x v="0"/>
    <x v="2"/>
    <n v="31.7"/>
    <x v="296"/>
    <x v="13"/>
    <d v="2025-01-15T00:00:00"/>
    <x v="1"/>
    <x v="2"/>
    <x v="0"/>
    <s v="California"/>
    <s v="Sacramento County"/>
    <x v="3"/>
    <x v="2"/>
    <x v="1"/>
  </r>
  <r>
    <x v="311"/>
    <x v="8"/>
    <x v="12"/>
    <n v="30.4"/>
    <x v="297"/>
    <x v="13"/>
    <d v="2025-01-18T00:00:00"/>
    <x v="1"/>
    <x v="0"/>
    <x v="0"/>
    <s v="California"/>
    <s v="Sacramento County"/>
    <x v="5"/>
    <x v="2"/>
    <x v="1"/>
  </r>
  <r>
    <x v="312"/>
    <x v="0"/>
    <x v="12"/>
    <n v="25.6"/>
    <x v="298"/>
    <x v="13"/>
    <d v="2025-01-15T00:00:00"/>
    <x v="1"/>
    <x v="3"/>
    <x v="0"/>
    <s v="California"/>
    <s v="San Diego County"/>
    <x v="3"/>
    <x v="2"/>
    <x v="1"/>
  </r>
  <r>
    <x v="313"/>
    <x v="5"/>
    <x v="1"/>
    <n v="34.9"/>
    <x v="299"/>
    <x v="13"/>
    <d v="2025-01-15T00:00:00"/>
    <x v="2"/>
    <x v="2"/>
    <x v="0"/>
    <s v="California"/>
    <s v="San Mateo County"/>
    <x v="3"/>
    <x v="2"/>
    <x v="2"/>
  </r>
  <r>
    <x v="314"/>
    <x v="7"/>
    <x v="13"/>
    <n v="42.7"/>
    <x v="300"/>
    <x v="13"/>
    <d v="2025-01-17T00:00:00"/>
    <x v="1"/>
    <x v="2"/>
    <x v="1"/>
    <s v="California"/>
    <s v="Santa Clara County"/>
    <x v="2"/>
    <x v="2"/>
    <x v="1"/>
  </r>
  <r>
    <x v="315"/>
    <x v="8"/>
    <x v="0"/>
    <n v="23.9"/>
    <x v="301"/>
    <x v="13"/>
    <d v="2025-01-16T00:00:00"/>
    <x v="2"/>
    <x v="3"/>
    <x v="0"/>
    <s v="California"/>
    <s v="Santa Clara County"/>
    <x v="1"/>
    <x v="2"/>
    <x v="2"/>
  </r>
  <r>
    <x v="316"/>
    <x v="6"/>
    <x v="0"/>
    <n v="124.3"/>
    <x v="302"/>
    <x v="13"/>
    <d v="2025-01-15T00:00:00"/>
    <x v="0"/>
    <x v="2"/>
    <x v="1"/>
    <s v="California"/>
    <s v="Alameda County"/>
    <x v="3"/>
    <x v="2"/>
    <x v="0"/>
  </r>
  <r>
    <x v="317"/>
    <x v="8"/>
    <x v="13"/>
    <n v="35.9"/>
    <x v="303"/>
    <x v="13"/>
    <d v="2025-01-15T00:00:00"/>
    <x v="2"/>
    <x v="0"/>
    <x v="1"/>
    <s v="California"/>
    <s v="Contra Costa County"/>
    <x v="3"/>
    <x v="2"/>
    <x v="2"/>
  </r>
  <r>
    <x v="318"/>
    <x v="2"/>
    <x v="1"/>
    <n v="69.099999999999994"/>
    <x v="304"/>
    <x v="13"/>
    <d v="2025-01-17T00:00:00"/>
    <x v="2"/>
    <x v="0"/>
    <x v="2"/>
    <s v="California"/>
    <s v="Kern County"/>
    <x v="2"/>
    <x v="2"/>
    <x v="2"/>
  </r>
  <r>
    <x v="319"/>
    <x v="7"/>
    <x v="0"/>
    <n v="58.4"/>
    <x v="305"/>
    <x v="13"/>
    <d v="2025-01-18T00:00:00"/>
    <x v="1"/>
    <x v="0"/>
    <x v="0"/>
    <s v="California"/>
    <s v="Kern County"/>
    <x v="5"/>
    <x v="2"/>
    <x v="1"/>
  </r>
  <r>
    <x v="320"/>
    <x v="5"/>
    <x v="0"/>
    <n v="65.2"/>
    <x v="221"/>
    <x v="13"/>
    <d v="2025-01-16T00:00:00"/>
    <x v="3"/>
    <x v="4"/>
    <x v="4"/>
    <s v="California"/>
    <s v="Los Angeles County"/>
    <x v="1"/>
    <x v="2"/>
    <x v="3"/>
  </r>
  <r>
    <x v="321"/>
    <x v="8"/>
    <x v="14"/>
    <n v="32.700000000000003"/>
    <x v="306"/>
    <x v="13"/>
    <d v="2025-01-21T00:00:00"/>
    <x v="0"/>
    <x v="4"/>
    <x v="0"/>
    <s v="California"/>
    <s v="Los Angeles County"/>
    <x v="6"/>
    <x v="2"/>
    <x v="0"/>
  </r>
  <r>
    <x v="322"/>
    <x v="10"/>
    <x v="3"/>
    <n v="24.4"/>
    <x v="307"/>
    <x v="13"/>
    <d v="2025-01-15T00:00:00"/>
    <x v="2"/>
    <x v="0"/>
    <x v="0"/>
    <s v="California"/>
    <s v="Los Angeles County"/>
    <x v="3"/>
    <x v="2"/>
    <x v="2"/>
  </r>
  <r>
    <x v="323"/>
    <x v="14"/>
    <x v="1"/>
    <n v="50.4"/>
    <x v="90"/>
    <x v="13"/>
    <d v="2025-01-20T00:00:00"/>
    <x v="1"/>
    <x v="0"/>
    <x v="1"/>
    <s v="California"/>
    <s v="Los Angeles County"/>
    <x v="4"/>
    <x v="2"/>
    <x v="1"/>
  </r>
  <r>
    <x v="324"/>
    <x v="1"/>
    <x v="1"/>
    <n v="100"/>
    <x v="308"/>
    <x v="13"/>
    <d v="2025-01-15T00:00:00"/>
    <x v="2"/>
    <x v="0"/>
    <x v="0"/>
    <s v="California"/>
    <s v="Los Angeles County"/>
    <x v="3"/>
    <x v="2"/>
    <x v="2"/>
  </r>
  <r>
    <x v="325"/>
    <x v="10"/>
    <x v="2"/>
    <n v="43"/>
    <x v="309"/>
    <x v="14"/>
    <d v="2025-01-15T00:00:00"/>
    <x v="2"/>
    <x v="2"/>
    <x v="1"/>
    <s v="California"/>
    <s v="Los Angeles County"/>
    <x v="7"/>
    <x v="2"/>
    <x v="2"/>
  </r>
  <r>
    <x v="326"/>
    <x v="1"/>
    <x v="9"/>
    <n v="64.400000000000006"/>
    <x v="310"/>
    <x v="14"/>
    <d v="2025-01-17T00:00:00"/>
    <x v="1"/>
    <x v="2"/>
    <x v="1"/>
    <s v="California"/>
    <s v="Los Angeles County"/>
    <x v="1"/>
    <x v="2"/>
    <x v="1"/>
  </r>
  <r>
    <x v="327"/>
    <x v="18"/>
    <x v="1"/>
    <n v="57.4"/>
    <x v="311"/>
    <x v="14"/>
    <d v="2025-01-16T00:00:00"/>
    <x v="1"/>
    <x v="2"/>
    <x v="1"/>
    <s v="California"/>
    <s v="Los Angeles County"/>
    <x v="3"/>
    <x v="2"/>
    <x v="1"/>
  </r>
  <r>
    <x v="328"/>
    <x v="2"/>
    <x v="2"/>
    <n v="55.1"/>
    <x v="312"/>
    <x v="14"/>
    <d v="2025-01-18T00:00:00"/>
    <x v="2"/>
    <x v="1"/>
    <x v="0"/>
    <s v="California"/>
    <s v="Los Angeles County"/>
    <x v="2"/>
    <x v="2"/>
    <x v="2"/>
  </r>
  <r>
    <x v="329"/>
    <x v="7"/>
    <x v="12"/>
    <n v="45.4"/>
    <x v="106"/>
    <x v="14"/>
    <d v="2025-01-16T00:00:00"/>
    <x v="2"/>
    <x v="1"/>
    <x v="0"/>
    <s v="California"/>
    <s v="Los Angeles County"/>
    <x v="3"/>
    <x v="2"/>
    <x v="2"/>
  </r>
  <r>
    <x v="330"/>
    <x v="3"/>
    <x v="2"/>
    <n v="93.3"/>
    <x v="313"/>
    <x v="14"/>
    <d v="2025-01-16T00:00:00"/>
    <x v="2"/>
    <x v="0"/>
    <x v="0"/>
    <s v="California"/>
    <s v="Mariposa County"/>
    <x v="3"/>
    <x v="2"/>
    <x v="2"/>
  </r>
  <r>
    <x v="331"/>
    <x v="2"/>
    <x v="10"/>
    <n v="158.19999999999999"/>
    <x v="314"/>
    <x v="14"/>
    <d v="2025-01-16T00:00:00"/>
    <x v="2"/>
    <x v="1"/>
    <x v="2"/>
    <s v="California"/>
    <s v="Napa County"/>
    <x v="3"/>
    <x v="2"/>
    <x v="2"/>
  </r>
  <r>
    <x v="332"/>
    <x v="2"/>
    <x v="1"/>
    <n v="74.900000000000006"/>
    <x v="315"/>
    <x v="14"/>
    <d v="2025-01-17T00:00:00"/>
    <x v="1"/>
    <x v="3"/>
    <x v="0"/>
    <s v="California"/>
    <s v="Sacramento County"/>
    <x v="1"/>
    <x v="2"/>
    <x v="1"/>
  </r>
  <r>
    <x v="333"/>
    <x v="8"/>
    <x v="3"/>
    <n v="26"/>
    <x v="316"/>
    <x v="14"/>
    <d v="2025-01-18T00:00:00"/>
    <x v="2"/>
    <x v="1"/>
    <x v="0"/>
    <s v="California"/>
    <s v="San Diego County"/>
    <x v="2"/>
    <x v="2"/>
    <x v="2"/>
  </r>
  <r>
    <x v="334"/>
    <x v="9"/>
    <x v="13"/>
    <n v="37.5"/>
    <x v="317"/>
    <x v="14"/>
    <d v="2025-01-16T00:00:00"/>
    <x v="2"/>
    <x v="0"/>
    <x v="1"/>
    <s v="California"/>
    <s v="San Diego County"/>
    <x v="3"/>
    <x v="2"/>
    <x v="2"/>
  </r>
  <r>
    <x v="335"/>
    <x v="6"/>
    <x v="1"/>
    <n v="75.8"/>
    <x v="318"/>
    <x v="14"/>
    <d v="2025-01-21T00:00:00"/>
    <x v="1"/>
    <x v="0"/>
    <x v="0"/>
    <s v="California"/>
    <s v="San Diego County"/>
    <x v="4"/>
    <x v="2"/>
    <x v="1"/>
  </r>
  <r>
    <x v="336"/>
    <x v="7"/>
    <x v="0"/>
    <n v="48.5"/>
    <x v="319"/>
    <x v="14"/>
    <d v="2025-01-27T00:00:00"/>
    <x v="0"/>
    <x v="4"/>
    <x v="2"/>
    <s v="California"/>
    <s v="San Diego County"/>
    <x v="13"/>
    <x v="2"/>
    <x v="0"/>
  </r>
  <r>
    <x v="337"/>
    <x v="6"/>
    <x v="2"/>
    <n v="98.9"/>
    <x v="320"/>
    <x v="14"/>
    <d v="2025-01-17T00:00:00"/>
    <x v="2"/>
    <x v="4"/>
    <x v="1"/>
    <s v="California"/>
    <s v="San Diego County"/>
    <x v="1"/>
    <x v="2"/>
    <x v="2"/>
  </r>
  <r>
    <x v="338"/>
    <x v="1"/>
    <x v="4"/>
    <n v="50.9"/>
    <x v="321"/>
    <x v="14"/>
    <d v="2025-01-15T00:00:00"/>
    <x v="1"/>
    <x v="4"/>
    <x v="0"/>
    <s v="California"/>
    <s v="San Diego County"/>
    <x v="7"/>
    <x v="2"/>
    <x v="1"/>
  </r>
  <r>
    <x v="339"/>
    <x v="12"/>
    <x v="13"/>
    <n v="84.7"/>
    <x v="322"/>
    <x v="14"/>
    <d v="2025-01-15T00:00:00"/>
    <x v="2"/>
    <x v="2"/>
    <x v="0"/>
    <s v="California"/>
    <s v="San Diego County"/>
    <x v="7"/>
    <x v="2"/>
    <x v="2"/>
  </r>
  <r>
    <x v="340"/>
    <x v="8"/>
    <x v="0"/>
    <n v="20.7"/>
    <x v="323"/>
    <x v="14"/>
    <d v="2025-01-17T00:00:00"/>
    <x v="2"/>
    <x v="3"/>
    <x v="2"/>
    <s v="California"/>
    <s v="San Diego County"/>
    <x v="1"/>
    <x v="2"/>
    <x v="2"/>
  </r>
  <r>
    <x v="341"/>
    <x v="12"/>
    <x v="11"/>
    <n v="57.8"/>
    <x v="324"/>
    <x v="14"/>
    <d v="2025-01-26T00:00:00"/>
    <x v="1"/>
    <x v="0"/>
    <x v="4"/>
    <s v="California"/>
    <s v="San Francisco"/>
    <x v="11"/>
    <x v="2"/>
    <x v="1"/>
  </r>
  <r>
    <x v="342"/>
    <x v="2"/>
    <x v="1"/>
    <n v="106.9"/>
    <x v="325"/>
    <x v="14"/>
    <d v="2025-01-17T00:00:00"/>
    <x v="2"/>
    <x v="0"/>
    <x v="2"/>
    <s v="California"/>
    <s v="San Luis Obispo County"/>
    <x v="1"/>
    <x v="2"/>
    <x v="2"/>
  </r>
  <r>
    <x v="343"/>
    <x v="3"/>
    <x v="9"/>
    <n v="45.2"/>
    <x v="326"/>
    <x v="14"/>
    <d v="2025-01-19T00:00:00"/>
    <x v="2"/>
    <x v="1"/>
    <x v="0"/>
    <s v="California"/>
    <s v="Alameda County"/>
    <x v="5"/>
    <x v="2"/>
    <x v="2"/>
  </r>
  <r>
    <x v="344"/>
    <x v="8"/>
    <x v="15"/>
    <n v="34.6"/>
    <x v="327"/>
    <x v="14"/>
    <d v="2025-01-15T00:00:00"/>
    <x v="2"/>
    <x v="1"/>
    <x v="1"/>
    <s v="California"/>
    <s v="Alameda County"/>
    <x v="7"/>
    <x v="2"/>
    <x v="2"/>
  </r>
  <r>
    <x v="345"/>
    <x v="15"/>
    <x v="0"/>
    <n v="43.8"/>
    <x v="328"/>
    <x v="14"/>
    <d v="2025-01-17T00:00:00"/>
    <x v="0"/>
    <x v="0"/>
    <x v="2"/>
    <s v="California"/>
    <s v="Alameda County"/>
    <x v="1"/>
    <x v="2"/>
    <x v="0"/>
  </r>
  <r>
    <x v="346"/>
    <x v="15"/>
    <x v="0"/>
    <n v="20.399999999999999"/>
    <x v="190"/>
    <x v="14"/>
    <d v="2025-01-17T00:00:00"/>
    <x v="1"/>
    <x v="4"/>
    <x v="1"/>
    <s v="California"/>
    <s v="Alameda County"/>
    <x v="1"/>
    <x v="2"/>
    <x v="1"/>
  </r>
  <r>
    <x v="347"/>
    <x v="1"/>
    <x v="0"/>
    <n v="36.700000000000003"/>
    <x v="329"/>
    <x v="14"/>
    <d v="2025-01-16T00:00:00"/>
    <x v="1"/>
    <x v="0"/>
    <x v="1"/>
    <s v="California"/>
    <s v="Contra Costa County"/>
    <x v="3"/>
    <x v="2"/>
    <x v="1"/>
  </r>
  <r>
    <x v="348"/>
    <x v="8"/>
    <x v="2"/>
    <n v="27.2"/>
    <x v="330"/>
    <x v="14"/>
    <d v="2025-01-19T00:00:00"/>
    <x v="1"/>
    <x v="0"/>
    <x v="2"/>
    <s v="California"/>
    <s v="Contra Costa County"/>
    <x v="5"/>
    <x v="2"/>
    <x v="1"/>
  </r>
  <r>
    <x v="349"/>
    <x v="6"/>
    <x v="0"/>
    <n v="58.2"/>
    <x v="331"/>
    <x v="14"/>
    <d v="2025-01-16T00:00:00"/>
    <x v="2"/>
    <x v="0"/>
    <x v="2"/>
    <s v="California"/>
    <s v="El Dorado County"/>
    <x v="3"/>
    <x v="2"/>
    <x v="2"/>
  </r>
  <r>
    <x v="350"/>
    <x v="8"/>
    <x v="2"/>
    <n v="25.6"/>
    <x v="332"/>
    <x v="14"/>
    <d v="2025-01-16T00:00:00"/>
    <x v="1"/>
    <x v="4"/>
    <x v="4"/>
    <s v="California"/>
    <s v="Fresno County"/>
    <x v="3"/>
    <x v="2"/>
    <x v="1"/>
  </r>
  <r>
    <x v="351"/>
    <x v="10"/>
    <x v="0"/>
    <n v="21.2"/>
    <x v="333"/>
    <x v="14"/>
    <d v="2025-01-15T00:00:00"/>
    <x v="2"/>
    <x v="1"/>
    <x v="2"/>
    <s v="California"/>
    <s v="Los Angeles County"/>
    <x v="7"/>
    <x v="2"/>
    <x v="2"/>
  </r>
  <r>
    <x v="352"/>
    <x v="6"/>
    <x v="1"/>
    <n v="48.2"/>
    <x v="334"/>
    <x v="14"/>
    <d v="2025-01-23T00:00:00"/>
    <x v="2"/>
    <x v="0"/>
    <x v="2"/>
    <s v="California"/>
    <s v="Los Angeles County"/>
    <x v="9"/>
    <x v="2"/>
    <x v="2"/>
  </r>
  <r>
    <x v="353"/>
    <x v="1"/>
    <x v="12"/>
    <n v="83.4"/>
    <x v="335"/>
    <x v="15"/>
    <d v="2025-01-17T00:00:00"/>
    <x v="1"/>
    <x v="0"/>
    <x v="0"/>
    <s v="California"/>
    <s v="Los Angeles County"/>
    <x v="3"/>
    <x v="2"/>
    <x v="1"/>
  </r>
  <r>
    <x v="354"/>
    <x v="9"/>
    <x v="2"/>
    <n v="45.3"/>
    <x v="336"/>
    <x v="15"/>
    <d v="2025-01-22T00:00:00"/>
    <x v="1"/>
    <x v="2"/>
    <x v="1"/>
    <s v="California"/>
    <s v="Los Angeles County"/>
    <x v="4"/>
    <x v="2"/>
    <x v="1"/>
  </r>
  <r>
    <x v="355"/>
    <x v="17"/>
    <x v="0"/>
    <n v="42"/>
    <x v="337"/>
    <x v="15"/>
    <d v="2025-01-17T00:00:00"/>
    <x v="0"/>
    <x v="0"/>
    <x v="0"/>
    <s v="California"/>
    <s v="Los Angeles County"/>
    <x v="3"/>
    <x v="2"/>
    <x v="0"/>
  </r>
  <r>
    <x v="356"/>
    <x v="0"/>
    <x v="11"/>
    <n v="21.8"/>
    <x v="338"/>
    <x v="15"/>
    <d v="2025-01-18T00:00:00"/>
    <x v="2"/>
    <x v="1"/>
    <x v="0"/>
    <s v="California"/>
    <s v="Los Angeles County"/>
    <x v="1"/>
    <x v="2"/>
    <x v="2"/>
  </r>
  <r>
    <x v="357"/>
    <x v="8"/>
    <x v="16"/>
    <n v="21.4"/>
    <x v="339"/>
    <x v="15"/>
    <d v="2025-01-19T00:00:00"/>
    <x v="2"/>
    <x v="1"/>
    <x v="2"/>
    <s v="California"/>
    <s v="Los Angeles County"/>
    <x v="2"/>
    <x v="2"/>
    <x v="2"/>
  </r>
  <r>
    <x v="358"/>
    <x v="10"/>
    <x v="2"/>
    <n v="45"/>
    <x v="340"/>
    <x v="15"/>
    <d v="2025-01-16T00:00:00"/>
    <x v="2"/>
    <x v="1"/>
    <x v="2"/>
    <s v="California"/>
    <s v="Los Angeles County"/>
    <x v="7"/>
    <x v="2"/>
    <x v="2"/>
  </r>
  <r>
    <x v="359"/>
    <x v="14"/>
    <x v="0"/>
    <n v="39.6"/>
    <x v="341"/>
    <x v="15"/>
    <d v="2025-01-17T00:00:00"/>
    <x v="1"/>
    <x v="0"/>
    <x v="2"/>
    <s v="California"/>
    <s v="Los Angeles County"/>
    <x v="3"/>
    <x v="2"/>
    <x v="1"/>
  </r>
  <r>
    <x v="360"/>
    <x v="12"/>
    <x v="2"/>
    <n v="79.8"/>
    <x v="342"/>
    <x v="15"/>
    <d v="2025-01-22T00:00:00"/>
    <x v="2"/>
    <x v="1"/>
    <x v="4"/>
    <s v="California"/>
    <s v="Los Angeles County"/>
    <x v="4"/>
    <x v="2"/>
    <x v="2"/>
  </r>
  <r>
    <x v="361"/>
    <x v="1"/>
    <x v="12"/>
    <n v="63.6"/>
    <x v="343"/>
    <x v="15"/>
    <d v="2025-01-17T00:00:00"/>
    <x v="3"/>
    <x v="0"/>
    <x v="2"/>
    <s v="California"/>
    <s v="Merced County"/>
    <x v="3"/>
    <x v="2"/>
    <x v="3"/>
  </r>
  <r>
    <x v="362"/>
    <x v="7"/>
    <x v="7"/>
    <n v="92.7"/>
    <x v="344"/>
    <x v="15"/>
    <d v="2025-01-20T00:00:00"/>
    <x v="1"/>
    <x v="1"/>
    <x v="2"/>
    <s v="California"/>
    <s v="Sacramento County"/>
    <x v="5"/>
    <x v="2"/>
    <x v="1"/>
  </r>
  <r>
    <x v="363"/>
    <x v="1"/>
    <x v="12"/>
    <n v="48.4"/>
    <x v="345"/>
    <x v="15"/>
    <d v="2025-01-18T00:00:00"/>
    <x v="2"/>
    <x v="1"/>
    <x v="2"/>
    <s v="California"/>
    <s v="Sacramento County"/>
    <x v="1"/>
    <x v="2"/>
    <x v="2"/>
  </r>
  <r>
    <x v="364"/>
    <x v="9"/>
    <x v="8"/>
    <n v="36"/>
    <x v="346"/>
    <x v="15"/>
    <d v="2025-01-19T00:00:00"/>
    <x v="1"/>
    <x v="2"/>
    <x v="2"/>
    <s v="California"/>
    <s v="San Diego County"/>
    <x v="2"/>
    <x v="2"/>
    <x v="1"/>
  </r>
  <r>
    <x v="365"/>
    <x v="8"/>
    <x v="4"/>
    <n v="27"/>
    <x v="347"/>
    <x v="15"/>
    <d v="2025-01-18T00:00:00"/>
    <x v="2"/>
    <x v="2"/>
    <x v="1"/>
    <s v="California"/>
    <s v="San Diego County"/>
    <x v="1"/>
    <x v="2"/>
    <x v="2"/>
  </r>
  <r>
    <x v="366"/>
    <x v="2"/>
    <x v="8"/>
    <n v="53.9"/>
    <x v="348"/>
    <x v="15"/>
    <d v="2025-01-17T00:00:00"/>
    <x v="0"/>
    <x v="0"/>
    <x v="0"/>
    <s v="California"/>
    <s v="San Diego County"/>
    <x v="3"/>
    <x v="2"/>
    <x v="0"/>
  </r>
  <r>
    <x v="367"/>
    <x v="3"/>
    <x v="11"/>
    <n v="48.4"/>
    <x v="349"/>
    <x v="15"/>
    <d v="2025-01-17T00:00:00"/>
    <x v="2"/>
    <x v="1"/>
    <x v="0"/>
    <s v="California"/>
    <s v="San Mateo County"/>
    <x v="3"/>
    <x v="2"/>
    <x v="2"/>
  </r>
  <r>
    <x v="368"/>
    <x v="17"/>
    <x v="1"/>
    <n v="49.9"/>
    <x v="350"/>
    <x v="15"/>
    <d v="2025-01-21T00:00:00"/>
    <x v="1"/>
    <x v="4"/>
    <x v="4"/>
    <s v="California"/>
    <s v="Santa Barbara County"/>
    <x v="0"/>
    <x v="2"/>
    <x v="1"/>
  </r>
  <r>
    <x v="369"/>
    <x v="1"/>
    <x v="2"/>
    <n v="51.7"/>
    <x v="351"/>
    <x v="15"/>
    <d v="2025-01-17T00:00:00"/>
    <x v="2"/>
    <x v="0"/>
    <x v="2"/>
    <s v="California"/>
    <s v="Santa Clara County"/>
    <x v="3"/>
    <x v="2"/>
    <x v="2"/>
  </r>
  <r>
    <x v="370"/>
    <x v="8"/>
    <x v="2"/>
    <n v="41.8"/>
    <x v="352"/>
    <x v="15"/>
    <d v="2025-01-18T00:00:00"/>
    <x v="2"/>
    <x v="2"/>
    <x v="0"/>
    <s v="California"/>
    <s v="Sonoma County"/>
    <x v="1"/>
    <x v="2"/>
    <x v="2"/>
  </r>
  <r>
    <x v="371"/>
    <x v="4"/>
    <x v="12"/>
    <n v="36.200000000000003"/>
    <x v="353"/>
    <x v="16"/>
    <d v="2025-01-18T00:00:00"/>
    <x v="1"/>
    <x v="2"/>
    <x v="2"/>
    <s v="California"/>
    <s v="Alameda County"/>
    <x v="3"/>
    <x v="2"/>
    <x v="1"/>
  </r>
  <r>
    <x v="372"/>
    <x v="2"/>
    <x v="0"/>
    <n v="150.9"/>
    <x v="354"/>
    <x v="16"/>
    <d v="2025-01-27T00:00:00"/>
    <x v="1"/>
    <x v="0"/>
    <x v="0"/>
    <s v="California"/>
    <s v="Contra Costa County"/>
    <x v="14"/>
    <x v="2"/>
    <x v="1"/>
  </r>
  <r>
    <x v="373"/>
    <x v="18"/>
    <x v="12"/>
    <n v="77.599999999999994"/>
    <x v="355"/>
    <x v="16"/>
    <d v="2025-01-18T00:00:00"/>
    <x v="0"/>
    <x v="2"/>
    <x v="0"/>
    <s v="California"/>
    <s v="Los Angeles County"/>
    <x v="3"/>
    <x v="2"/>
    <x v="0"/>
  </r>
  <r>
    <x v="374"/>
    <x v="13"/>
    <x v="9"/>
    <n v="65.5"/>
    <x v="356"/>
    <x v="16"/>
    <d v="2025-01-17T00:00:00"/>
    <x v="1"/>
    <x v="1"/>
    <x v="0"/>
    <s v="California"/>
    <s v="Los Angeles County"/>
    <x v="7"/>
    <x v="2"/>
    <x v="1"/>
  </r>
  <r>
    <x v="375"/>
    <x v="6"/>
    <x v="2"/>
    <n v="90.1"/>
    <x v="357"/>
    <x v="16"/>
    <d v="2025-01-19T00:00:00"/>
    <x v="2"/>
    <x v="0"/>
    <x v="0"/>
    <s v="California"/>
    <s v="Los Angeles County"/>
    <x v="1"/>
    <x v="2"/>
    <x v="2"/>
  </r>
  <r>
    <x v="376"/>
    <x v="1"/>
    <x v="1"/>
    <n v="108.3"/>
    <x v="358"/>
    <x v="16"/>
    <d v="2025-01-20T00:00:00"/>
    <x v="3"/>
    <x v="4"/>
    <x v="0"/>
    <s v="California"/>
    <s v="Los Angeles County"/>
    <x v="2"/>
    <x v="2"/>
    <x v="3"/>
  </r>
  <r>
    <x v="377"/>
    <x v="5"/>
    <x v="2"/>
    <n v="59.9"/>
    <x v="359"/>
    <x v="16"/>
    <d v="2025-01-21T00:00:00"/>
    <x v="2"/>
    <x v="0"/>
    <x v="0"/>
    <s v="California"/>
    <s v="Los Angeles County"/>
    <x v="5"/>
    <x v="2"/>
    <x v="2"/>
  </r>
  <r>
    <x v="378"/>
    <x v="2"/>
    <x v="14"/>
    <n v="139"/>
    <x v="360"/>
    <x v="16"/>
    <d v="2025-01-19T00:00:00"/>
    <x v="2"/>
    <x v="1"/>
    <x v="4"/>
    <s v="California"/>
    <s v="Los Angeles County"/>
    <x v="1"/>
    <x v="2"/>
    <x v="2"/>
  </r>
  <r>
    <x v="379"/>
    <x v="6"/>
    <x v="2"/>
    <n v="87.3"/>
    <x v="361"/>
    <x v="16"/>
    <d v="2025-01-18T00:00:00"/>
    <x v="2"/>
    <x v="0"/>
    <x v="0"/>
    <s v="California"/>
    <s v="Los Angeles County"/>
    <x v="3"/>
    <x v="2"/>
    <x v="2"/>
  </r>
  <r>
    <x v="380"/>
    <x v="11"/>
    <x v="12"/>
    <n v="42.3"/>
    <x v="362"/>
    <x v="16"/>
    <d v="2025-01-17T00:00:00"/>
    <x v="1"/>
    <x v="0"/>
    <x v="0"/>
    <s v="California"/>
    <s v="Los Angeles County"/>
    <x v="7"/>
    <x v="2"/>
    <x v="1"/>
  </r>
  <r>
    <x v="381"/>
    <x v="14"/>
    <x v="8"/>
    <n v="103.6"/>
    <x v="363"/>
    <x v="16"/>
    <d v="2025-01-18T00:00:00"/>
    <x v="3"/>
    <x v="0"/>
    <x v="1"/>
    <s v="California"/>
    <s v="Los Angeles County"/>
    <x v="3"/>
    <x v="2"/>
    <x v="3"/>
  </r>
  <r>
    <x v="382"/>
    <x v="6"/>
    <x v="1"/>
    <n v="90.9"/>
    <x v="364"/>
    <x v="16"/>
    <d v="2025-01-18T00:00:00"/>
    <x v="1"/>
    <x v="1"/>
    <x v="0"/>
    <s v="California"/>
    <s v="Sacramento County"/>
    <x v="3"/>
    <x v="2"/>
    <x v="1"/>
  </r>
  <r>
    <x v="383"/>
    <x v="9"/>
    <x v="27"/>
    <n v="100.9"/>
    <x v="365"/>
    <x v="16"/>
    <d v="2025-01-18T00:00:00"/>
    <x v="2"/>
    <x v="1"/>
    <x v="0"/>
    <s v="California"/>
    <s v="Sacramento County"/>
    <x v="3"/>
    <x v="2"/>
    <x v="2"/>
  </r>
  <r>
    <x v="384"/>
    <x v="4"/>
    <x v="9"/>
    <n v="36"/>
    <x v="366"/>
    <x v="16"/>
    <d v="2025-01-19T00:00:00"/>
    <x v="2"/>
    <x v="1"/>
    <x v="0"/>
    <s v="California"/>
    <s v="San Bernardino County"/>
    <x v="1"/>
    <x v="2"/>
    <x v="2"/>
  </r>
  <r>
    <x v="385"/>
    <x v="6"/>
    <x v="13"/>
    <n v="83.3"/>
    <x v="367"/>
    <x v="16"/>
    <d v="2025-01-20T00:00:00"/>
    <x v="0"/>
    <x v="2"/>
    <x v="0"/>
    <s v="California"/>
    <s v="San Bernardino County"/>
    <x v="2"/>
    <x v="2"/>
    <x v="0"/>
  </r>
  <r>
    <x v="386"/>
    <x v="2"/>
    <x v="14"/>
    <n v="60.3"/>
    <x v="368"/>
    <x v="16"/>
    <d v="2025-01-18T00:00:00"/>
    <x v="1"/>
    <x v="2"/>
    <x v="1"/>
    <s v="California"/>
    <s v="San Bernardino County"/>
    <x v="3"/>
    <x v="2"/>
    <x v="1"/>
  </r>
  <r>
    <x v="387"/>
    <x v="2"/>
    <x v="13"/>
    <n v="120.3"/>
    <x v="369"/>
    <x v="16"/>
    <d v="2025-01-18T00:00:00"/>
    <x v="1"/>
    <x v="2"/>
    <x v="0"/>
    <s v="California"/>
    <s v="San Diego County"/>
    <x v="3"/>
    <x v="2"/>
    <x v="1"/>
  </r>
  <r>
    <x v="388"/>
    <x v="4"/>
    <x v="7"/>
    <n v="34"/>
    <x v="370"/>
    <x v="16"/>
    <d v="2025-01-21T00:00:00"/>
    <x v="2"/>
    <x v="2"/>
    <x v="0"/>
    <s v="California"/>
    <s v="San Diego County"/>
    <x v="5"/>
    <x v="2"/>
    <x v="2"/>
  </r>
  <r>
    <x v="389"/>
    <x v="10"/>
    <x v="9"/>
    <n v="42.6"/>
    <x v="226"/>
    <x v="16"/>
    <d v="2025-01-20T00:00:00"/>
    <x v="1"/>
    <x v="1"/>
    <x v="0"/>
    <s v="California"/>
    <s v="San Diego County"/>
    <x v="2"/>
    <x v="2"/>
    <x v="1"/>
  </r>
  <r>
    <x v="390"/>
    <x v="5"/>
    <x v="28"/>
    <n v="47.4"/>
    <x v="371"/>
    <x v="16"/>
    <d v="2025-01-17T00:00:00"/>
    <x v="2"/>
    <x v="2"/>
    <x v="1"/>
    <s v="California"/>
    <s v="San Francisco"/>
    <x v="7"/>
    <x v="2"/>
    <x v="2"/>
  </r>
  <r>
    <x v="391"/>
    <x v="2"/>
    <x v="0"/>
    <n v="74"/>
    <x v="372"/>
    <x v="17"/>
    <d v="2025-01-19T00:00:00"/>
    <x v="1"/>
    <x v="1"/>
    <x v="0"/>
    <s v="California"/>
    <s v="Santa Clara County"/>
    <x v="3"/>
    <x v="2"/>
    <x v="1"/>
  </r>
  <r>
    <x v="392"/>
    <x v="2"/>
    <x v="9"/>
    <n v="60.4"/>
    <x v="373"/>
    <x v="17"/>
    <d v="2025-01-21T00:00:00"/>
    <x v="2"/>
    <x v="1"/>
    <x v="4"/>
    <s v="California"/>
    <s v="Sonoma County"/>
    <x v="2"/>
    <x v="2"/>
    <x v="2"/>
  </r>
  <r>
    <x v="393"/>
    <x v="12"/>
    <x v="1"/>
    <n v="69.3"/>
    <x v="374"/>
    <x v="17"/>
    <d v="2025-01-21T00:00:00"/>
    <x v="1"/>
    <x v="1"/>
    <x v="1"/>
    <s v="California"/>
    <s v="Ventura County"/>
    <x v="2"/>
    <x v="2"/>
    <x v="1"/>
  </r>
  <r>
    <x v="394"/>
    <x v="5"/>
    <x v="9"/>
    <n v="81"/>
    <x v="375"/>
    <x v="17"/>
    <d v="2025-01-24T00:00:00"/>
    <x v="1"/>
    <x v="3"/>
    <x v="0"/>
    <s v="California"/>
    <s v="Alameda County"/>
    <x v="4"/>
    <x v="2"/>
    <x v="1"/>
  </r>
  <r>
    <x v="395"/>
    <x v="15"/>
    <x v="2"/>
    <n v="41.5"/>
    <x v="376"/>
    <x v="17"/>
    <d v="2025-01-20T00:00:00"/>
    <x v="3"/>
    <x v="1"/>
    <x v="0"/>
    <s v="California"/>
    <s v="Alameda County"/>
    <x v="1"/>
    <x v="2"/>
    <x v="3"/>
  </r>
  <r>
    <x v="396"/>
    <x v="18"/>
    <x v="1"/>
    <n v="69.7"/>
    <x v="377"/>
    <x v="17"/>
    <d v="2025-01-23T00:00:00"/>
    <x v="1"/>
    <x v="1"/>
    <x v="0"/>
    <s v="California"/>
    <s v="Alameda County"/>
    <x v="0"/>
    <x v="2"/>
    <x v="1"/>
  </r>
  <r>
    <x v="397"/>
    <x v="2"/>
    <x v="9"/>
    <n v="83.6"/>
    <x v="378"/>
    <x v="17"/>
    <d v="2025-01-18T00:00:00"/>
    <x v="2"/>
    <x v="4"/>
    <x v="0"/>
    <s v="California"/>
    <s v="Contra Costa County"/>
    <x v="7"/>
    <x v="2"/>
    <x v="2"/>
  </r>
  <r>
    <x v="398"/>
    <x v="8"/>
    <x v="3"/>
    <n v="21.5"/>
    <x v="379"/>
    <x v="17"/>
    <d v="2025-01-20T00:00:00"/>
    <x v="1"/>
    <x v="1"/>
    <x v="4"/>
    <s v="California"/>
    <s v="Kings County"/>
    <x v="1"/>
    <x v="2"/>
    <x v="1"/>
  </r>
  <r>
    <x v="399"/>
    <x v="8"/>
    <x v="8"/>
    <n v="28.6"/>
    <x v="27"/>
    <x v="17"/>
    <d v="2025-01-19T00:00:00"/>
    <x v="1"/>
    <x v="0"/>
    <x v="0"/>
    <s v="California"/>
    <s v="Los Angeles County"/>
    <x v="3"/>
    <x v="2"/>
    <x v="1"/>
  </r>
  <r>
    <x v="400"/>
    <x v="8"/>
    <x v="13"/>
    <n v="18.8"/>
    <x v="380"/>
    <x v="17"/>
    <d v="2025-01-21T00:00:00"/>
    <x v="1"/>
    <x v="3"/>
    <x v="2"/>
    <s v="California"/>
    <s v="Los Angeles County"/>
    <x v="2"/>
    <x v="2"/>
    <x v="1"/>
  </r>
  <r>
    <x v="401"/>
    <x v="10"/>
    <x v="12"/>
    <n v="35.1"/>
    <x v="381"/>
    <x v="17"/>
    <d v="2025-01-18T00:00:00"/>
    <x v="2"/>
    <x v="1"/>
    <x v="1"/>
    <s v="California"/>
    <s v="Los Angeles County"/>
    <x v="7"/>
    <x v="2"/>
    <x v="2"/>
  </r>
  <r>
    <x v="402"/>
    <x v="0"/>
    <x v="1"/>
    <n v="12.7"/>
    <x v="382"/>
    <x v="17"/>
    <d v="2025-01-20T00:00:00"/>
    <x v="2"/>
    <x v="1"/>
    <x v="2"/>
    <s v="California"/>
    <s v="Los Angeles County"/>
    <x v="1"/>
    <x v="2"/>
    <x v="2"/>
  </r>
  <r>
    <x v="403"/>
    <x v="8"/>
    <x v="9"/>
    <n v="27.4"/>
    <x v="383"/>
    <x v="17"/>
    <d v="2025-01-20T00:00:00"/>
    <x v="3"/>
    <x v="0"/>
    <x v="0"/>
    <s v="California"/>
    <s v="Los Angeles County"/>
    <x v="1"/>
    <x v="2"/>
    <x v="3"/>
  </r>
  <r>
    <x v="404"/>
    <x v="10"/>
    <x v="1"/>
    <n v="61.3"/>
    <x v="384"/>
    <x v="17"/>
    <d v="2025-01-19T00:00:00"/>
    <x v="2"/>
    <x v="1"/>
    <x v="0"/>
    <s v="California"/>
    <s v="Sacramento County"/>
    <x v="3"/>
    <x v="2"/>
    <x v="2"/>
  </r>
  <r>
    <x v="405"/>
    <x v="8"/>
    <x v="1"/>
    <n v="64.7"/>
    <x v="385"/>
    <x v="17"/>
    <d v="2025-01-20T00:00:00"/>
    <x v="2"/>
    <x v="3"/>
    <x v="2"/>
    <s v="California"/>
    <s v="Sacramento County"/>
    <x v="1"/>
    <x v="2"/>
    <x v="2"/>
  </r>
  <r>
    <x v="406"/>
    <x v="7"/>
    <x v="12"/>
    <n v="91.4"/>
    <x v="386"/>
    <x v="17"/>
    <d v="2025-01-20T00:00:00"/>
    <x v="2"/>
    <x v="0"/>
    <x v="0"/>
    <s v="California"/>
    <s v="San Diego County"/>
    <x v="1"/>
    <x v="2"/>
    <x v="2"/>
  </r>
  <r>
    <x v="407"/>
    <x v="0"/>
    <x v="1"/>
    <n v="33.1"/>
    <x v="387"/>
    <x v="18"/>
    <d v="2025-01-20T00:00:00"/>
    <x v="1"/>
    <x v="0"/>
    <x v="2"/>
    <s v="California"/>
    <s v="San Diego County"/>
    <x v="3"/>
    <x v="3"/>
    <x v="1"/>
  </r>
  <r>
    <x v="408"/>
    <x v="3"/>
    <x v="1"/>
    <n v="105.6"/>
    <x v="23"/>
    <x v="18"/>
    <d v="2025-01-20T00:00:00"/>
    <x v="1"/>
    <x v="2"/>
    <x v="1"/>
    <s v="California"/>
    <s v="San Diego County"/>
    <x v="3"/>
    <x v="3"/>
    <x v="1"/>
  </r>
  <r>
    <x v="409"/>
    <x v="10"/>
    <x v="2"/>
    <n v="46.4"/>
    <x v="388"/>
    <x v="18"/>
    <d v="2025-01-20T00:00:00"/>
    <x v="1"/>
    <x v="2"/>
    <x v="0"/>
    <s v="California"/>
    <s v="San Mateo County"/>
    <x v="3"/>
    <x v="3"/>
    <x v="1"/>
  </r>
  <r>
    <x v="410"/>
    <x v="9"/>
    <x v="21"/>
    <n v="35.299999999999997"/>
    <x v="389"/>
    <x v="18"/>
    <d v="2025-01-22T00:00:00"/>
    <x v="2"/>
    <x v="4"/>
    <x v="1"/>
    <s v="California"/>
    <s v="Santa Clara County"/>
    <x v="2"/>
    <x v="3"/>
    <x v="2"/>
  </r>
  <r>
    <x v="411"/>
    <x v="0"/>
    <x v="1"/>
    <n v="16.100000000000001"/>
    <x v="390"/>
    <x v="18"/>
    <d v="2025-01-21T00:00:00"/>
    <x v="1"/>
    <x v="3"/>
    <x v="2"/>
    <s v="California"/>
    <s v="Santa Cruz County"/>
    <x v="1"/>
    <x v="3"/>
    <x v="1"/>
  </r>
  <r>
    <x v="412"/>
    <x v="4"/>
    <x v="1"/>
    <n v="27.9"/>
    <x v="391"/>
    <x v="18"/>
    <d v="2025-01-22T00:00:00"/>
    <x v="1"/>
    <x v="0"/>
    <x v="0"/>
    <s v="California"/>
    <s v="Ventura County"/>
    <x v="2"/>
    <x v="3"/>
    <x v="1"/>
  </r>
  <r>
    <x v="413"/>
    <x v="8"/>
    <x v="0"/>
    <n v="47.1"/>
    <x v="392"/>
    <x v="18"/>
    <d v="2025-01-27T00:00:00"/>
    <x v="2"/>
    <x v="1"/>
    <x v="0"/>
    <s v="California"/>
    <s v="Fresno County"/>
    <x v="9"/>
    <x v="3"/>
    <x v="2"/>
  </r>
  <r>
    <x v="414"/>
    <x v="6"/>
    <x v="1"/>
    <n v="85"/>
    <x v="393"/>
    <x v="18"/>
    <d v="2025-01-22T00:00:00"/>
    <x v="0"/>
    <x v="2"/>
    <x v="2"/>
    <s v="California"/>
    <s v="Kern County"/>
    <x v="2"/>
    <x v="3"/>
    <x v="0"/>
  </r>
  <r>
    <x v="415"/>
    <x v="18"/>
    <x v="1"/>
    <n v="89"/>
    <x v="394"/>
    <x v="18"/>
    <d v="2025-01-21T00:00:00"/>
    <x v="2"/>
    <x v="0"/>
    <x v="0"/>
    <s v="California"/>
    <s v="Los Angeles County"/>
    <x v="1"/>
    <x v="3"/>
    <x v="2"/>
  </r>
  <r>
    <x v="416"/>
    <x v="16"/>
    <x v="2"/>
    <n v="36.6"/>
    <x v="17"/>
    <x v="18"/>
    <d v="2025-01-20T00:00:00"/>
    <x v="3"/>
    <x v="3"/>
    <x v="2"/>
    <s v="California"/>
    <s v="Los Angeles County"/>
    <x v="3"/>
    <x v="3"/>
    <x v="3"/>
  </r>
  <r>
    <x v="417"/>
    <x v="6"/>
    <x v="3"/>
    <n v="43.5"/>
    <x v="395"/>
    <x v="18"/>
    <d v="2025-01-20T00:00:00"/>
    <x v="1"/>
    <x v="1"/>
    <x v="2"/>
    <s v="California"/>
    <s v="Los Angeles County"/>
    <x v="3"/>
    <x v="3"/>
    <x v="1"/>
  </r>
  <r>
    <x v="418"/>
    <x v="9"/>
    <x v="10"/>
    <n v="30.5"/>
    <x v="396"/>
    <x v="18"/>
    <d v="2025-01-19T00:00:00"/>
    <x v="2"/>
    <x v="3"/>
    <x v="0"/>
    <s v="California"/>
    <s v="Los Angeles County"/>
    <x v="7"/>
    <x v="3"/>
    <x v="2"/>
  </r>
  <r>
    <x v="419"/>
    <x v="1"/>
    <x v="1"/>
    <n v="107.7"/>
    <x v="397"/>
    <x v="18"/>
    <d v="2025-01-23T00:00:00"/>
    <x v="1"/>
    <x v="3"/>
    <x v="4"/>
    <s v="California"/>
    <s v="Los Angeles County"/>
    <x v="5"/>
    <x v="3"/>
    <x v="1"/>
  </r>
  <r>
    <x v="420"/>
    <x v="17"/>
    <x v="18"/>
    <n v="57.1"/>
    <x v="398"/>
    <x v="18"/>
    <d v="2025-01-20T00:00:00"/>
    <x v="1"/>
    <x v="1"/>
    <x v="0"/>
    <s v="California"/>
    <s v="Los Angeles County"/>
    <x v="3"/>
    <x v="3"/>
    <x v="1"/>
  </r>
  <r>
    <x v="421"/>
    <x v="2"/>
    <x v="7"/>
    <n v="111.7"/>
    <x v="399"/>
    <x v="18"/>
    <d v="2025-01-20T00:00:00"/>
    <x v="2"/>
    <x v="4"/>
    <x v="2"/>
    <s v="California"/>
    <s v="Los Angeles County"/>
    <x v="3"/>
    <x v="3"/>
    <x v="2"/>
  </r>
  <r>
    <x v="422"/>
    <x v="18"/>
    <x v="3"/>
    <n v="44.3"/>
    <x v="400"/>
    <x v="18"/>
    <d v="2025-01-22T00:00:00"/>
    <x v="1"/>
    <x v="3"/>
    <x v="2"/>
    <s v="California"/>
    <s v="Los Angeles County"/>
    <x v="2"/>
    <x v="3"/>
    <x v="1"/>
  </r>
  <r>
    <x v="423"/>
    <x v="2"/>
    <x v="8"/>
    <n v="95.8"/>
    <x v="401"/>
    <x v="18"/>
    <d v="2025-01-25T00:00:00"/>
    <x v="3"/>
    <x v="0"/>
    <x v="0"/>
    <s v="California"/>
    <s v="Los Angeles County"/>
    <x v="4"/>
    <x v="3"/>
    <x v="3"/>
  </r>
  <r>
    <x v="424"/>
    <x v="10"/>
    <x v="3"/>
    <n v="22.6"/>
    <x v="402"/>
    <x v="18"/>
    <d v="2025-01-22T00:00:00"/>
    <x v="2"/>
    <x v="3"/>
    <x v="1"/>
    <s v="California"/>
    <s v="Los Angeles County"/>
    <x v="2"/>
    <x v="3"/>
    <x v="2"/>
  </r>
  <r>
    <x v="425"/>
    <x v="8"/>
    <x v="8"/>
    <n v="25.6"/>
    <x v="403"/>
    <x v="18"/>
    <d v="2025-01-21T00:00:00"/>
    <x v="2"/>
    <x v="4"/>
    <x v="0"/>
    <s v="California"/>
    <s v="Los Angeles County"/>
    <x v="1"/>
    <x v="3"/>
    <x v="2"/>
  </r>
  <r>
    <x v="426"/>
    <x v="6"/>
    <x v="27"/>
    <n v="54.3"/>
    <x v="404"/>
    <x v="18"/>
    <d v="2025-01-22T00:00:00"/>
    <x v="2"/>
    <x v="4"/>
    <x v="0"/>
    <s v="California"/>
    <s v="Los Angeles County"/>
    <x v="2"/>
    <x v="3"/>
    <x v="2"/>
  </r>
  <r>
    <x v="427"/>
    <x v="18"/>
    <x v="15"/>
    <n v="51.3"/>
    <x v="405"/>
    <x v="18"/>
    <d v="2025-01-21T00:00:00"/>
    <x v="1"/>
    <x v="0"/>
    <x v="2"/>
    <s v="California"/>
    <s v="Los Angeles County"/>
    <x v="1"/>
    <x v="3"/>
    <x v="1"/>
  </r>
  <r>
    <x v="428"/>
    <x v="0"/>
    <x v="8"/>
    <n v="25.6"/>
    <x v="403"/>
    <x v="18"/>
    <d v="2025-01-20T00:00:00"/>
    <x v="2"/>
    <x v="1"/>
    <x v="1"/>
    <s v="California"/>
    <s v="Los Angeles County"/>
    <x v="3"/>
    <x v="3"/>
    <x v="2"/>
  </r>
  <r>
    <x v="429"/>
    <x v="0"/>
    <x v="1"/>
    <n v="15.6"/>
    <x v="406"/>
    <x v="18"/>
    <d v="2025-01-20T00:00:00"/>
    <x v="2"/>
    <x v="2"/>
    <x v="2"/>
    <s v="California"/>
    <s v="Los Angeles County"/>
    <x v="3"/>
    <x v="3"/>
    <x v="2"/>
  </r>
  <r>
    <x v="430"/>
    <x v="8"/>
    <x v="2"/>
    <n v="30.3"/>
    <x v="407"/>
    <x v="18"/>
    <d v="2025-01-23T00:00:00"/>
    <x v="2"/>
    <x v="0"/>
    <x v="1"/>
    <s v="California"/>
    <s v="Los Angeles County"/>
    <x v="5"/>
    <x v="3"/>
    <x v="2"/>
  </r>
  <r>
    <x v="431"/>
    <x v="12"/>
    <x v="1"/>
    <n v="30.3"/>
    <x v="408"/>
    <x v="18"/>
    <d v="2025-01-24T00:00:00"/>
    <x v="2"/>
    <x v="0"/>
    <x v="2"/>
    <s v="California"/>
    <s v="Madera County"/>
    <x v="0"/>
    <x v="3"/>
    <x v="2"/>
  </r>
  <r>
    <x v="432"/>
    <x v="10"/>
    <x v="2"/>
    <n v="53"/>
    <x v="409"/>
    <x v="18"/>
    <d v="2025-01-26T00:00:00"/>
    <x v="2"/>
    <x v="2"/>
    <x v="0"/>
    <s v="California"/>
    <s v="Merced County"/>
    <x v="6"/>
    <x v="3"/>
    <x v="2"/>
  </r>
  <r>
    <x v="433"/>
    <x v="5"/>
    <x v="16"/>
    <n v="59.9"/>
    <x v="410"/>
    <x v="18"/>
    <d v="2025-01-22T00:00:00"/>
    <x v="1"/>
    <x v="2"/>
    <x v="4"/>
    <s v="California"/>
    <s v="Orange County"/>
    <x v="2"/>
    <x v="3"/>
    <x v="1"/>
  </r>
  <r>
    <x v="434"/>
    <x v="9"/>
    <x v="1"/>
    <n v="45.7"/>
    <x v="411"/>
    <x v="18"/>
    <d v="2025-01-20T00:00:00"/>
    <x v="2"/>
    <x v="1"/>
    <x v="2"/>
    <s v="California"/>
    <s v="Sacramento County"/>
    <x v="3"/>
    <x v="3"/>
    <x v="2"/>
  </r>
  <r>
    <x v="435"/>
    <x v="8"/>
    <x v="12"/>
    <n v="46.1"/>
    <x v="412"/>
    <x v="18"/>
    <d v="2025-01-20T00:00:00"/>
    <x v="1"/>
    <x v="0"/>
    <x v="0"/>
    <s v="California"/>
    <s v="Sacramento County"/>
    <x v="3"/>
    <x v="3"/>
    <x v="1"/>
  </r>
  <r>
    <x v="436"/>
    <x v="8"/>
    <x v="2"/>
    <n v="17.5"/>
    <x v="413"/>
    <x v="18"/>
    <d v="2025-01-20T00:00:00"/>
    <x v="2"/>
    <x v="0"/>
    <x v="2"/>
    <s v="California"/>
    <s v="San Diego County"/>
    <x v="3"/>
    <x v="3"/>
    <x v="2"/>
  </r>
  <r>
    <x v="437"/>
    <x v="10"/>
    <x v="2"/>
    <n v="36.5"/>
    <x v="414"/>
    <x v="18"/>
    <d v="2025-01-30T00:00:00"/>
    <x v="1"/>
    <x v="2"/>
    <x v="0"/>
    <s v="California"/>
    <s v="San Diego County"/>
    <x v="11"/>
    <x v="3"/>
    <x v="1"/>
  </r>
  <r>
    <x v="438"/>
    <x v="8"/>
    <x v="1"/>
    <n v="47.5"/>
    <x v="415"/>
    <x v="19"/>
    <d v="2025-01-22T00:00:00"/>
    <x v="2"/>
    <x v="1"/>
    <x v="0"/>
    <s v="California"/>
    <s v="San Diego County"/>
    <x v="1"/>
    <x v="3"/>
    <x v="2"/>
  </r>
  <r>
    <x v="439"/>
    <x v="6"/>
    <x v="9"/>
    <n v="45.6"/>
    <x v="416"/>
    <x v="19"/>
    <d v="2025-01-22T00:00:00"/>
    <x v="2"/>
    <x v="0"/>
    <x v="2"/>
    <s v="California"/>
    <s v="San Diego County"/>
    <x v="1"/>
    <x v="3"/>
    <x v="2"/>
  </r>
  <r>
    <x v="440"/>
    <x v="9"/>
    <x v="1"/>
    <n v="50.5"/>
    <x v="95"/>
    <x v="19"/>
    <d v="2025-01-22T00:00:00"/>
    <x v="1"/>
    <x v="0"/>
    <x v="1"/>
    <s v="California"/>
    <s v="San Francisco"/>
    <x v="1"/>
    <x v="3"/>
    <x v="1"/>
  </r>
  <r>
    <x v="441"/>
    <x v="2"/>
    <x v="7"/>
    <n v="99.8"/>
    <x v="417"/>
    <x v="19"/>
    <d v="2025-01-23T00:00:00"/>
    <x v="2"/>
    <x v="2"/>
    <x v="1"/>
    <s v="California"/>
    <s v="San Francisco"/>
    <x v="2"/>
    <x v="3"/>
    <x v="2"/>
  </r>
  <r>
    <x v="442"/>
    <x v="8"/>
    <x v="20"/>
    <n v="19.2"/>
    <x v="346"/>
    <x v="19"/>
    <d v="2025-01-22T00:00:00"/>
    <x v="3"/>
    <x v="4"/>
    <x v="1"/>
    <s v="California"/>
    <s v="San Joaquin County"/>
    <x v="1"/>
    <x v="3"/>
    <x v="3"/>
  </r>
  <r>
    <x v="443"/>
    <x v="17"/>
    <x v="2"/>
    <n v="22.6"/>
    <x v="418"/>
    <x v="19"/>
    <d v="2025-01-21T00:00:00"/>
    <x v="1"/>
    <x v="1"/>
    <x v="0"/>
    <s v="California"/>
    <s v="Santa Clara County"/>
    <x v="3"/>
    <x v="3"/>
    <x v="1"/>
  </r>
  <r>
    <x v="444"/>
    <x v="1"/>
    <x v="20"/>
    <n v="126.9"/>
    <x v="419"/>
    <x v="19"/>
    <d v="2025-01-22T00:00:00"/>
    <x v="2"/>
    <x v="0"/>
    <x v="2"/>
    <s v="California"/>
    <s v="Santa Clara County"/>
    <x v="1"/>
    <x v="3"/>
    <x v="2"/>
  </r>
  <r>
    <x v="445"/>
    <x v="2"/>
    <x v="1"/>
    <n v="100.3"/>
    <x v="420"/>
    <x v="19"/>
    <d v="2025-01-21T00:00:00"/>
    <x v="2"/>
    <x v="0"/>
    <x v="1"/>
    <s v="California"/>
    <s v="Santa Clara County"/>
    <x v="3"/>
    <x v="3"/>
    <x v="2"/>
  </r>
  <r>
    <x v="446"/>
    <x v="4"/>
    <x v="16"/>
    <n v="24.6"/>
    <x v="421"/>
    <x v="19"/>
    <d v="2025-01-21T00:00:00"/>
    <x v="2"/>
    <x v="4"/>
    <x v="0"/>
    <s v="California"/>
    <s v="Ventura County"/>
    <x v="3"/>
    <x v="3"/>
    <x v="2"/>
  </r>
  <r>
    <x v="447"/>
    <x v="6"/>
    <x v="1"/>
    <n v="47.3"/>
    <x v="422"/>
    <x v="19"/>
    <d v="2025-01-21T00:00:00"/>
    <x v="1"/>
    <x v="1"/>
    <x v="2"/>
    <s v="California"/>
    <s v="Ventura County"/>
    <x v="3"/>
    <x v="3"/>
    <x v="1"/>
  </r>
  <r>
    <x v="448"/>
    <x v="6"/>
    <x v="3"/>
    <n v="40.799999999999997"/>
    <x v="423"/>
    <x v="19"/>
    <d v="2025-01-23T00:00:00"/>
    <x v="2"/>
    <x v="2"/>
    <x v="2"/>
    <s v="California"/>
    <s v="Alameda County"/>
    <x v="2"/>
    <x v="3"/>
    <x v="2"/>
  </r>
  <r>
    <x v="449"/>
    <x v="8"/>
    <x v="8"/>
    <n v="49.2"/>
    <x v="424"/>
    <x v="19"/>
    <d v="2025-01-22T00:00:00"/>
    <x v="2"/>
    <x v="0"/>
    <x v="0"/>
    <s v="California"/>
    <s v="Contra Costa County"/>
    <x v="1"/>
    <x v="3"/>
    <x v="2"/>
  </r>
  <r>
    <x v="450"/>
    <x v="8"/>
    <x v="0"/>
    <n v="28.5"/>
    <x v="425"/>
    <x v="19"/>
    <d v="2025-01-22T00:00:00"/>
    <x v="0"/>
    <x v="2"/>
    <x v="1"/>
    <s v="California"/>
    <s v="Los Angeles County"/>
    <x v="1"/>
    <x v="3"/>
    <x v="0"/>
  </r>
  <r>
    <x v="451"/>
    <x v="18"/>
    <x v="1"/>
    <n v="36.799999999999997"/>
    <x v="426"/>
    <x v="19"/>
    <d v="2025-01-26T00:00:00"/>
    <x v="2"/>
    <x v="0"/>
    <x v="2"/>
    <s v="California"/>
    <s v="Los Angeles County"/>
    <x v="4"/>
    <x v="3"/>
    <x v="2"/>
  </r>
  <r>
    <x v="452"/>
    <x v="7"/>
    <x v="2"/>
    <n v="33.5"/>
    <x v="427"/>
    <x v="19"/>
    <d v="2025-01-21T00:00:00"/>
    <x v="2"/>
    <x v="0"/>
    <x v="1"/>
    <s v="California"/>
    <s v="Los Angeles County"/>
    <x v="3"/>
    <x v="3"/>
    <x v="2"/>
  </r>
  <r>
    <x v="453"/>
    <x v="6"/>
    <x v="13"/>
    <n v="62.5"/>
    <x v="428"/>
    <x v="19"/>
    <d v="2025-01-22T00:00:00"/>
    <x v="2"/>
    <x v="0"/>
    <x v="0"/>
    <s v="California"/>
    <s v="Los Angeles County"/>
    <x v="1"/>
    <x v="3"/>
    <x v="2"/>
  </r>
  <r>
    <x v="454"/>
    <x v="8"/>
    <x v="29"/>
    <n v="47.9"/>
    <x v="429"/>
    <x v="19"/>
    <d v="2025-01-21T00:00:00"/>
    <x v="2"/>
    <x v="3"/>
    <x v="0"/>
    <s v="California"/>
    <s v="Los Angeles County"/>
    <x v="3"/>
    <x v="3"/>
    <x v="2"/>
  </r>
  <r>
    <x v="455"/>
    <x v="6"/>
    <x v="13"/>
    <n v="92.9"/>
    <x v="430"/>
    <x v="19"/>
    <d v="2025-01-31T00:00:00"/>
    <x v="2"/>
    <x v="0"/>
    <x v="4"/>
    <s v="California"/>
    <s v="Los Angeles County"/>
    <x v="11"/>
    <x v="3"/>
    <x v="2"/>
  </r>
  <r>
    <x v="456"/>
    <x v="12"/>
    <x v="2"/>
    <n v="44.1"/>
    <x v="431"/>
    <x v="19"/>
    <d v="2025-01-20T00:00:00"/>
    <x v="2"/>
    <x v="1"/>
    <x v="1"/>
    <s v="California"/>
    <s v="Marin County"/>
    <x v="7"/>
    <x v="3"/>
    <x v="2"/>
  </r>
  <r>
    <x v="457"/>
    <x v="0"/>
    <x v="0"/>
    <n v="11.4"/>
    <x v="432"/>
    <x v="20"/>
    <d v="2025-01-23T00:00:00"/>
    <x v="2"/>
    <x v="2"/>
    <x v="0"/>
    <s v="California"/>
    <s v="Placer County"/>
    <x v="1"/>
    <x v="3"/>
    <x v="2"/>
  </r>
  <r>
    <x v="458"/>
    <x v="6"/>
    <x v="0"/>
    <n v="83.7"/>
    <x v="433"/>
    <x v="20"/>
    <d v="2025-01-23T00:00:00"/>
    <x v="2"/>
    <x v="0"/>
    <x v="2"/>
    <s v="California"/>
    <s v="Sacramento County"/>
    <x v="1"/>
    <x v="3"/>
    <x v="2"/>
  </r>
  <r>
    <x v="459"/>
    <x v="10"/>
    <x v="1"/>
    <n v="23.2"/>
    <x v="434"/>
    <x v="20"/>
    <d v="2025-01-22T00:00:00"/>
    <x v="1"/>
    <x v="2"/>
    <x v="0"/>
    <s v="California"/>
    <s v="San Diego County"/>
    <x v="3"/>
    <x v="3"/>
    <x v="1"/>
  </r>
  <r>
    <x v="460"/>
    <x v="2"/>
    <x v="0"/>
    <n v="162.1"/>
    <x v="435"/>
    <x v="20"/>
    <d v="2025-01-24T00:00:00"/>
    <x v="2"/>
    <x v="0"/>
    <x v="2"/>
    <s v="California"/>
    <s v="San Mateo County"/>
    <x v="2"/>
    <x v="3"/>
    <x v="2"/>
  </r>
  <r>
    <x v="461"/>
    <x v="6"/>
    <x v="12"/>
    <n v="49.2"/>
    <x v="436"/>
    <x v="20"/>
    <d v="2025-01-25T00:00:00"/>
    <x v="1"/>
    <x v="1"/>
    <x v="0"/>
    <s v="California"/>
    <s v="San Mateo County"/>
    <x v="5"/>
    <x v="3"/>
    <x v="1"/>
  </r>
  <r>
    <x v="462"/>
    <x v="1"/>
    <x v="1"/>
    <n v="61"/>
    <x v="164"/>
    <x v="20"/>
    <d v="2025-01-22T00:00:00"/>
    <x v="1"/>
    <x v="3"/>
    <x v="0"/>
    <s v="California"/>
    <s v="Santa Barbara County"/>
    <x v="3"/>
    <x v="3"/>
    <x v="1"/>
  </r>
  <r>
    <x v="463"/>
    <x v="2"/>
    <x v="7"/>
    <n v="53.1"/>
    <x v="437"/>
    <x v="20"/>
    <d v="2025-01-23T00:00:00"/>
    <x v="1"/>
    <x v="0"/>
    <x v="0"/>
    <s v="California"/>
    <s v="Santa Clara County"/>
    <x v="1"/>
    <x v="3"/>
    <x v="1"/>
  </r>
  <r>
    <x v="464"/>
    <x v="4"/>
    <x v="1"/>
    <n v="22.4"/>
    <x v="438"/>
    <x v="20"/>
    <d v="2025-01-23T00:00:00"/>
    <x v="0"/>
    <x v="1"/>
    <x v="2"/>
    <s v="California"/>
    <s v="Ventura County"/>
    <x v="1"/>
    <x v="3"/>
    <x v="0"/>
  </r>
  <r>
    <x v="465"/>
    <x v="1"/>
    <x v="9"/>
    <n v="75.3"/>
    <x v="439"/>
    <x v="20"/>
    <d v="2025-01-22T00:00:00"/>
    <x v="1"/>
    <x v="0"/>
    <x v="0"/>
    <s v="California"/>
    <s v="Alameda County"/>
    <x v="3"/>
    <x v="3"/>
    <x v="1"/>
  </r>
  <r>
    <x v="466"/>
    <x v="6"/>
    <x v="0"/>
    <n v="48.5"/>
    <x v="319"/>
    <x v="20"/>
    <d v="2025-01-22T00:00:00"/>
    <x v="2"/>
    <x v="0"/>
    <x v="1"/>
    <s v="California"/>
    <s v="Alameda County"/>
    <x v="3"/>
    <x v="3"/>
    <x v="2"/>
  </r>
  <r>
    <x v="467"/>
    <x v="6"/>
    <x v="0"/>
    <n v="42.6"/>
    <x v="440"/>
    <x v="20"/>
    <d v="2025-01-25T00:00:00"/>
    <x v="2"/>
    <x v="3"/>
    <x v="0"/>
    <s v="California"/>
    <s v="Contra Costa County"/>
    <x v="5"/>
    <x v="3"/>
    <x v="2"/>
  </r>
  <r>
    <x v="468"/>
    <x v="5"/>
    <x v="9"/>
    <n v="49"/>
    <x v="441"/>
    <x v="20"/>
    <d v="2025-01-22T00:00:00"/>
    <x v="1"/>
    <x v="0"/>
    <x v="0"/>
    <s v="California"/>
    <s v="Kern County"/>
    <x v="3"/>
    <x v="3"/>
    <x v="1"/>
  </r>
  <r>
    <x v="469"/>
    <x v="8"/>
    <x v="2"/>
    <n v="31.3"/>
    <x v="442"/>
    <x v="20"/>
    <d v="2025-01-22T00:00:00"/>
    <x v="1"/>
    <x v="2"/>
    <x v="1"/>
    <s v="California"/>
    <s v="Los Angeles County"/>
    <x v="3"/>
    <x v="3"/>
    <x v="1"/>
  </r>
  <r>
    <x v="470"/>
    <x v="2"/>
    <x v="1"/>
    <n v="85.4"/>
    <x v="443"/>
    <x v="20"/>
    <d v="2025-01-22T00:00:00"/>
    <x v="2"/>
    <x v="2"/>
    <x v="0"/>
    <s v="California"/>
    <s v="Los Angeles County"/>
    <x v="3"/>
    <x v="3"/>
    <x v="2"/>
  </r>
  <r>
    <x v="471"/>
    <x v="8"/>
    <x v="12"/>
    <n v="40"/>
    <x v="444"/>
    <x v="20"/>
    <d v="2025-01-22T00:00:00"/>
    <x v="3"/>
    <x v="0"/>
    <x v="2"/>
    <s v="California"/>
    <s v="Los Angeles County"/>
    <x v="3"/>
    <x v="3"/>
    <x v="3"/>
  </r>
  <r>
    <x v="472"/>
    <x v="5"/>
    <x v="1"/>
    <n v="38.5"/>
    <x v="445"/>
    <x v="20"/>
    <d v="2025-01-24T00:00:00"/>
    <x v="1"/>
    <x v="1"/>
    <x v="2"/>
    <s v="California"/>
    <s v="Los Angeles County"/>
    <x v="2"/>
    <x v="3"/>
    <x v="1"/>
  </r>
  <r>
    <x v="473"/>
    <x v="2"/>
    <x v="1"/>
    <n v="57.8"/>
    <x v="446"/>
    <x v="20"/>
    <d v="2025-01-22T00:00:00"/>
    <x v="0"/>
    <x v="0"/>
    <x v="0"/>
    <s v="California"/>
    <s v="Los Angeles County"/>
    <x v="3"/>
    <x v="3"/>
    <x v="0"/>
  </r>
  <r>
    <x v="474"/>
    <x v="8"/>
    <x v="0"/>
    <n v="19.2"/>
    <x v="447"/>
    <x v="20"/>
    <d v="2025-01-22T00:00:00"/>
    <x v="2"/>
    <x v="0"/>
    <x v="4"/>
    <s v="California"/>
    <s v="Los Angeles County"/>
    <x v="3"/>
    <x v="3"/>
    <x v="2"/>
  </r>
  <r>
    <x v="475"/>
    <x v="6"/>
    <x v="13"/>
    <n v="114.8"/>
    <x v="448"/>
    <x v="20"/>
    <d v="2025-01-24T00:00:00"/>
    <x v="1"/>
    <x v="1"/>
    <x v="1"/>
    <s v="California"/>
    <s v="Los Angeles County"/>
    <x v="2"/>
    <x v="3"/>
    <x v="1"/>
  </r>
  <r>
    <x v="476"/>
    <x v="10"/>
    <x v="3"/>
    <n v="48.4"/>
    <x v="449"/>
    <x v="20"/>
    <d v="2025-01-24T00:00:00"/>
    <x v="2"/>
    <x v="3"/>
    <x v="1"/>
    <s v="California"/>
    <s v="Los Angeles County"/>
    <x v="2"/>
    <x v="3"/>
    <x v="2"/>
  </r>
  <r>
    <x v="477"/>
    <x v="9"/>
    <x v="9"/>
    <n v="73.2"/>
    <x v="450"/>
    <x v="20"/>
    <d v="2025-01-22T00:00:00"/>
    <x v="2"/>
    <x v="1"/>
    <x v="4"/>
    <s v="California"/>
    <s v="Los Angeles County"/>
    <x v="3"/>
    <x v="3"/>
    <x v="2"/>
  </r>
  <r>
    <x v="478"/>
    <x v="15"/>
    <x v="1"/>
    <n v="48.6"/>
    <x v="451"/>
    <x v="20"/>
    <d v="2025-01-25T00:00:00"/>
    <x v="2"/>
    <x v="3"/>
    <x v="0"/>
    <s v="California"/>
    <s v="Los Angeles County"/>
    <x v="5"/>
    <x v="3"/>
    <x v="2"/>
  </r>
  <r>
    <x v="479"/>
    <x v="0"/>
    <x v="13"/>
    <n v="48.7"/>
    <x v="452"/>
    <x v="20"/>
    <d v="2025-01-22T00:00:00"/>
    <x v="1"/>
    <x v="0"/>
    <x v="0"/>
    <s v="California"/>
    <s v="Los Angeles County"/>
    <x v="3"/>
    <x v="3"/>
    <x v="1"/>
  </r>
  <r>
    <x v="480"/>
    <x v="4"/>
    <x v="1"/>
    <n v="32.200000000000003"/>
    <x v="453"/>
    <x v="20"/>
    <d v="2025-01-24T00:00:00"/>
    <x v="1"/>
    <x v="2"/>
    <x v="2"/>
    <s v="California"/>
    <s v="Los Angeles County"/>
    <x v="2"/>
    <x v="3"/>
    <x v="1"/>
  </r>
  <r>
    <x v="481"/>
    <x v="15"/>
    <x v="8"/>
    <n v="25.8"/>
    <x v="454"/>
    <x v="20"/>
    <d v="2025-01-22T00:00:00"/>
    <x v="1"/>
    <x v="0"/>
    <x v="0"/>
    <s v="California"/>
    <s v="Madera County"/>
    <x v="3"/>
    <x v="3"/>
    <x v="1"/>
  </r>
  <r>
    <x v="482"/>
    <x v="6"/>
    <x v="1"/>
    <n v="94.8"/>
    <x v="455"/>
    <x v="21"/>
    <d v="2025-01-25T00:00:00"/>
    <x v="2"/>
    <x v="1"/>
    <x v="1"/>
    <s v="California"/>
    <s v="Orange County"/>
    <x v="2"/>
    <x v="3"/>
    <x v="2"/>
  </r>
  <r>
    <x v="483"/>
    <x v="15"/>
    <x v="30"/>
    <n v="56.8"/>
    <x v="456"/>
    <x v="21"/>
    <d v="2025-01-25T00:00:00"/>
    <x v="1"/>
    <x v="0"/>
    <x v="0"/>
    <s v="California"/>
    <s v="Orange County"/>
    <x v="2"/>
    <x v="3"/>
    <x v="1"/>
  </r>
  <r>
    <x v="484"/>
    <x v="8"/>
    <x v="27"/>
    <n v="18.3"/>
    <x v="457"/>
    <x v="21"/>
    <d v="2025-01-29T00:00:00"/>
    <x v="2"/>
    <x v="2"/>
    <x v="2"/>
    <s v="California"/>
    <s v="Riverside County"/>
    <x v="6"/>
    <x v="3"/>
    <x v="2"/>
  </r>
  <r>
    <x v="485"/>
    <x v="0"/>
    <x v="2"/>
    <n v="16.8"/>
    <x v="458"/>
    <x v="21"/>
    <d v="2025-01-27T00:00:00"/>
    <x v="2"/>
    <x v="2"/>
    <x v="2"/>
    <s v="California"/>
    <s v="San Diego County"/>
    <x v="0"/>
    <x v="3"/>
    <x v="2"/>
  </r>
  <r>
    <x v="486"/>
    <x v="5"/>
    <x v="5"/>
    <n v="35.799999999999997"/>
    <x v="459"/>
    <x v="21"/>
    <d v="2025-01-23T00:00:00"/>
    <x v="1"/>
    <x v="1"/>
    <x v="0"/>
    <s v="California"/>
    <s v="San Francisco"/>
    <x v="3"/>
    <x v="3"/>
    <x v="1"/>
  </r>
  <r>
    <x v="487"/>
    <x v="18"/>
    <x v="0"/>
    <n v="64.900000000000006"/>
    <x v="460"/>
    <x v="21"/>
    <d v="2025-01-23T00:00:00"/>
    <x v="1"/>
    <x v="0"/>
    <x v="1"/>
    <s v="California"/>
    <s v="San Francisco"/>
    <x v="3"/>
    <x v="3"/>
    <x v="1"/>
  </r>
  <r>
    <x v="488"/>
    <x v="18"/>
    <x v="0"/>
    <n v="28.5"/>
    <x v="425"/>
    <x v="21"/>
    <d v="2025-01-24T00:00:00"/>
    <x v="0"/>
    <x v="1"/>
    <x v="0"/>
    <s v="California"/>
    <s v="San Mateo County"/>
    <x v="1"/>
    <x v="3"/>
    <x v="0"/>
  </r>
  <r>
    <x v="489"/>
    <x v="18"/>
    <x v="1"/>
    <n v="103.5"/>
    <x v="461"/>
    <x v="21"/>
    <d v="2025-01-24T00:00:00"/>
    <x v="2"/>
    <x v="1"/>
    <x v="0"/>
    <s v="California"/>
    <s v="Santa Barbara County"/>
    <x v="1"/>
    <x v="3"/>
    <x v="2"/>
  </r>
  <r>
    <x v="490"/>
    <x v="4"/>
    <x v="1"/>
    <n v="41.2"/>
    <x v="462"/>
    <x v="21"/>
    <d v="2025-01-23T00:00:00"/>
    <x v="2"/>
    <x v="1"/>
    <x v="0"/>
    <s v="California"/>
    <s v="Santa Barbara County"/>
    <x v="3"/>
    <x v="3"/>
    <x v="2"/>
  </r>
  <r>
    <x v="491"/>
    <x v="9"/>
    <x v="0"/>
    <n v="37.799999999999997"/>
    <x v="463"/>
    <x v="21"/>
    <d v="2025-01-24T00:00:00"/>
    <x v="2"/>
    <x v="3"/>
    <x v="3"/>
    <s v="California"/>
    <s v="Santa Clara County"/>
    <x v="1"/>
    <x v="3"/>
    <x v="2"/>
  </r>
  <r>
    <x v="492"/>
    <x v="8"/>
    <x v="1"/>
    <n v="42.6"/>
    <x v="464"/>
    <x v="21"/>
    <d v="2025-01-24T00:00:00"/>
    <x v="2"/>
    <x v="4"/>
    <x v="0"/>
    <s v="California"/>
    <s v="Santa Clara County"/>
    <x v="1"/>
    <x v="3"/>
    <x v="2"/>
  </r>
  <r>
    <x v="493"/>
    <x v="8"/>
    <x v="7"/>
    <n v="15.2"/>
    <x v="465"/>
    <x v="21"/>
    <d v="2025-01-24T00:00:00"/>
    <x v="2"/>
    <x v="2"/>
    <x v="0"/>
    <s v="California"/>
    <s v="Santa Clara County"/>
    <x v="1"/>
    <x v="3"/>
    <x v="2"/>
  </r>
  <r>
    <x v="494"/>
    <x v="7"/>
    <x v="12"/>
    <n v="83.4"/>
    <x v="335"/>
    <x v="21"/>
    <d v="2025-01-23T00:00:00"/>
    <x v="2"/>
    <x v="2"/>
    <x v="1"/>
    <s v="California"/>
    <s v="Sonoma County"/>
    <x v="3"/>
    <x v="3"/>
    <x v="2"/>
  </r>
  <r>
    <x v="495"/>
    <x v="19"/>
    <x v="1"/>
    <n v="27.7"/>
    <x v="466"/>
    <x v="21"/>
    <d v="2025-01-23T00:00:00"/>
    <x v="2"/>
    <x v="0"/>
    <x v="1"/>
    <s v="California"/>
    <s v="Ventura County"/>
    <x v="3"/>
    <x v="3"/>
    <x v="2"/>
  </r>
  <r>
    <x v="496"/>
    <x v="10"/>
    <x v="4"/>
    <n v="20.8"/>
    <x v="467"/>
    <x v="21"/>
    <d v="2025-01-23T00:00:00"/>
    <x v="1"/>
    <x v="3"/>
    <x v="0"/>
    <s v="California"/>
    <s v="Ventura County"/>
    <x v="3"/>
    <x v="3"/>
    <x v="1"/>
  </r>
  <r>
    <x v="497"/>
    <x v="11"/>
    <x v="1"/>
    <n v="72.7"/>
    <x v="468"/>
    <x v="21"/>
    <d v="2025-01-26T00:00:00"/>
    <x v="2"/>
    <x v="4"/>
    <x v="2"/>
    <s v="California"/>
    <s v="Humboldt County"/>
    <x v="5"/>
    <x v="3"/>
    <x v="2"/>
  </r>
  <r>
    <x v="498"/>
    <x v="10"/>
    <x v="12"/>
    <n v="38.6"/>
    <x v="55"/>
    <x v="21"/>
    <d v="2025-01-23T00:00:00"/>
    <x v="1"/>
    <x v="0"/>
    <x v="2"/>
    <s v="California"/>
    <s v="Kern County"/>
    <x v="3"/>
    <x v="3"/>
    <x v="1"/>
  </r>
  <r>
    <x v="499"/>
    <x v="8"/>
    <x v="3"/>
    <n v="33.1"/>
    <x v="217"/>
    <x v="21"/>
    <d v="2025-01-23T00:00:00"/>
    <x v="3"/>
    <x v="4"/>
    <x v="3"/>
    <s v="California"/>
    <s v="Los Angeles County"/>
    <x v="3"/>
    <x v="3"/>
    <x v="3"/>
  </r>
  <r>
    <x v="500"/>
    <x v="10"/>
    <x v="1"/>
    <n v="30.5"/>
    <x v="170"/>
    <x v="21"/>
    <d v="2025-01-22T00:00:00"/>
    <x v="0"/>
    <x v="1"/>
    <x v="1"/>
    <s v="California"/>
    <s v="Los Angeles County"/>
    <x v="7"/>
    <x v="3"/>
    <x v="0"/>
  </r>
  <r>
    <x v="501"/>
    <x v="9"/>
    <x v="1"/>
    <n v="69.599999999999994"/>
    <x v="388"/>
    <x v="21"/>
    <d v="2025-01-23T00:00:00"/>
    <x v="1"/>
    <x v="0"/>
    <x v="1"/>
    <s v="California"/>
    <s v="Los Angeles County"/>
    <x v="3"/>
    <x v="3"/>
    <x v="1"/>
  </r>
  <r>
    <x v="502"/>
    <x v="11"/>
    <x v="0"/>
    <n v="42.4"/>
    <x v="469"/>
    <x v="21"/>
    <d v="2025-01-26T00:00:00"/>
    <x v="2"/>
    <x v="1"/>
    <x v="0"/>
    <s v="California"/>
    <s v="Los Angeles County"/>
    <x v="5"/>
    <x v="3"/>
    <x v="2"/>
  </r>
  <r>
    <x v="503"/>
    <x v="17"/>
    <x v="0"/>
    <n v="32.200000000000003"/>
    <x v="390"/>
    <x v="21"/>
    <d v="2025-01-25T00:00:00"/>
    <x v="2"/>
    <x v="2"/>
    <x v="1"/>
    <s v="California"/>
    <s v="Los Angeles County"/>
    <x v="2"/>
    <x v="3"/>
    <x v="2"/>
  </r>
  <r>
    <x v="504"/>
    <x v="6"/>
    <x v="1"/>
    <n v="41.5"/>
    <x v="470"/>
    <x v="21"/>
    <d v="2025-01-25T00:00:00"/>
    <x v="2"/>
    <x v="0"/>
    <x v="2"/>
    <s v="California"/>
    <s v="Los Angeles County"/>
    <x v="2"/>
    <x v="3"/>
    <x v="2"/>
  </r>
  <r>
    <x v="505"/>
    <x v="16"/>
    <x v="11"/>
    <n v="58.9"/>
    <x v="471"/>
    <x v="21"/>
    <d v="2025-01-26T00:00:00"/>
    <x v="2"/>
    <x v="3"/>
    <x v="0"/>
    <s v="California"/>
    <s v="Los Angeles County"/>
    <x v="5"/>
    <x v="3"/>
    <x v="2"/>
  </r>
  <r>
    <x v="506"/>
    <x v="2"/>
    <x v="0"/>
    <n v="57.1"/>
    <x v="472"/>
    <x v="21"/>
    <d v="2025-01-25T00:00:00"/>
    <x v="2"/>
    <x v="1"/>
    <x v="0"/>
    <s v="California"/>
    <s v="Los Angeles County"/>
    <x v="2"/>
    <x v="3"/>
    <x v="2"/>
  </r>
  <r>
    <x v="507"/>
    <x v="6"/>
    <x v="0"/>
    <n v="57.2"/>
    <x v="473"/>
    <x v="21"/>
    <d v="2025-01-24T00:00:00"/>
    <x v="1"/>
    <x v="1"/>
    <x v="0"/>
    <s v="California"/>
    <s v="Los Angeles County"/>
    <x v="1"/>
    <x v="3"/>
    <x v="1"/>
  </r>
  <r>
    <x v="508"/>
    <x v="8"/>
    <x v="1"/>
    <n v="35.1"/>
    <x v="474"/>
    <x v="21"/>
    <d v="2025-01-23T00:00:00"/>
    <x v="1"/>
    <x v="1"/>
    <x v="0"/>
    <s v="California"/>
    <s v="Sacramento County"/>
    <x v="3"/>
    <x v="3"/>
    <x v="1"/>
  </r>
  <r>
    <x v="509"/>
    <x v="1"/>
    <x v="0"/>
    <n v="52.1"/>
    <x v="475"/>
    <x v="21"/>
    <d v="2025-01-24T00:00:00"/>
    <x v="2"/>
    <x v="4"/>
    <x v="1"/>
    <s v="California"/>
    <s v="San Diego County"/>
    <x v="1"/>
    <x v="3"/>
    <x v="2"/>
  </r>
  <r>
    <x v="510"/>
    <x v="13"/>
    <x v="2"/>
    <n v="59.8"/>
    <x v="476"/>
    <x v="21"/>
    <d v="2025-01-24T00:00:00"/>
    <x v="2"/>
    <x v="4"/>
    <x v="1"/>
    <s v="California"/>
    <s v="San Diego County"/>
    <x v="1"/>
    <x v="3"/>
    <x v="2"/>
  </r>
  <r>
    <x v="511"/>
    <x v="3"/>
    <x v="12"/>
    <n v="83.3"/>
    <x v="477"/>
    <x v="21"/>
    <d v="2025-01-22T00:00:00"/>
    <x v="0"/>
    <x v="2"/>
    <x v="0"/>
    <s v="California"/>
    <s v="San Diego County"/>
    <x v="7"/>
    <x v="3"/>
    <x v="0"/>
  </r>
  <r>
    <x v="512"/>
    <x v="15"/>
    <x v="4"/>
    <n v="41.3"/>
    <x v="478"/>
    <x v="21"/>
    <d v="2025-01-23T00:00:00"/>
    <x v="2"/>
    <x v="1"/>
    <x v="0"/>
    <s v="California"/>
    <s v="San Diego County"/>
    <x v="3"/>
    <x v="3"/>
    <x v="2"/>
  </r>
  <r>
    <x v="513"/>
    <x v="8"/>
    <x v="9"/>
    <n v="16"/>
    <x v="479"/>
    <x v="21"/>
    <d v="2025-01-24T00:00:00"/>
    <x v="1"/>
    <x v="4"/>
    <x v="1"/>
    <s v="California"/>
    <s v="San Mateo County"/>
    <x v="1"/>
    <x v="3"/>
    <x v="1"/>
  </r>
  <r>
    <x v="514"/>
    <x v="10"/>
    <x v="1"/>
    <n v="20.8"/>
    <x v="480"/>
    <x v="22"/>
    <d v="2025-01-25T00:00:00"/>
    <x v="1"/>
    <x v="0"/>
    <x v="2"/>
    <s v="California"/>
    <s v="Santa Clara County"/>
    <x v="1"/>
    <x v="3"/>
    <x v="1"/>
  </r>
  <r>
    <x v="515"/>
    <x v="8"/>
    <x v="31"/>
    <n v="27.1"/>
    <x v="481"/>
    <x v="22"/>
    <d v="2025-01-24T00:00:00"/>
    <x v="0"/>
    <x v="3"/>
    <x v="2"/>
    <s v="California"/>
    <s v="Santa Clara County"/>
    <x v="3"/>
    <x v="3"/>
    <x v="0"/>
  </r>
  <r>
    <x v="516"/>
    <x v="10"/>
    <x v="1"/>
    <n v="38.9"/>
    <x v="482"/>
    <x v="22"/>
    <d v="2025-01-25T00:00:00"/>
    <x v="2"/>
    <x v="0"/>
    <x v="0"/>
    <s v="California"/>
    <s v="Sonoma County"/>
    <x v="1"/>
    <x v="3"/>
    <x v="2"/>
  </r>
  <r>
    <x v="517"/>
    <x v="0"/>
    <x v="1"/>
    <n v="10.8"/>
    <x v="483"/>
    <x v="22"/>
    <d v="2025-01-26T00:00:00"/>
    <x v="2"/>
    <x v="1"/>
    <x v="2"/>
    <s v="California"/>
    <s v="Trinity County"/>
    <x v="2"/>
    <x v="3"/>
    <x v="2"/>
  </r>
  <r>
    <x v="518"/>
    <x v="4"/>
    <x v="15"/>
    <n v="48.4"/>
    <x v="484"/>
    <x v="22"/>
    <d v="2025-01-27T00:00:00"/>
    <x v="2"/>
    <x v="0"/>
    <x v="0"/>
    <s v="California"/>
    <s v="Alameda County"/>
    <x v="5"/>
    <x v="3"/>
    <x v="2"/>
  </r>
  <r>
    <x v="519"/>
    <x v="4"/>
    <x v="2"/>
    <n v="29.2"/>
    <x v="485"/>
    <x v="22"/>
    <d v="2025-01-26T00:00:00"/>
    <x v="2"/>
    <x v="1"/>
    <x v="1"/>
    <s v="California"/>
    <s v="Fresno County"/>
    <x v="2"/>
    <x v="3"/>
    <x v="2"/>
  </r>
  <r>
    <x v="520"/>
    <x v="4"/>
    <x v="1"/>
    <n v="25.1"/>
    <x v="486"/>
    <x v="22"/>
    <d v="2025-01-24T00:00:00"/>
    <x v="1"/>
    <x v="0"/>
    <x v="1"/>
    <s v="California"/>
    <s v="Fresno County"/>
    <x v="3"/>
    <x v="3"/>
    <x v="1"/>
  </r>
  <r>
    <x v="521"/>
    <x v="7"/>
    <x v="2"/>
    <n v="65.599999999999994"/>
    <x v="487"/>
    <x v="22"/>
    <d v="2025-01-23T00:00:00"/>
    <x v="2"/>
    <x v="2"/>
    <x v="1"/>
    <s v="California"/>
    <s v="Los Angeles County"/>
    <x v="7"/>
    <x v="3"/>
    <x v="2"/>
  </r>
  <r>
    <x v="522"/>
    <x v="2"/>
    <x v="1"/>
    <n v="57.3"/>
    <x v="488"/>
    <x v="22"/>
    <d v="2025-01-23T00:00:00"/>
    <x v="0"/>
    <x v="0"/>
    <x v="0"/>
    <s v="California"/>
    <s v="Los Angeles County"/>
    <x v="7"/>
    <x v="3"/>
    <x v="0"/>
  </r>
  <r>
    <x v="523"/>
    <x v="9"/>
    <x v="12"/>
    <n v="22.4"/>
    <x v="70"/>
    <x v="22"/>
    <d v="2025-01-24T00:00:00"/>
    <x v="2"/>
    <x v="2"/>
    <x v="2"/>
    <s v="California"/>
    <s v="Los Angeles County"/>
    <x v="3"/>
    <x v="3"/>
    <x v="2"/>
  </r>
  <r>
    <x v="524"/>
    <x v="12"/>
    <x v="11"/>
    <n v="45.7"/>
    <x v="489"/>
    <x v="22"/>
    <d v="2025-01-24T00:00:00"/>
    <x v="2"/>
    <x v="0"/>
    <x v="0"/>
    <s v="California"/>
    <s v="Los Angeles County"/>
    <x v="3"/>
    <x v="3"/>
    <x v="2"/>
  </r>
  <r>
    <x v="525"/>
    <x v="8"/>
    <x v="1"/>
    <n v="29.3"/>
    <x v="150"/>
    <x v="22"/>
    <d v="2025-01-24T00:00:00"/>
    <x v="1"/>
    <x v="1"/>
    <x v="0"/>
    <s v="California"/>
    <s v="Los Angeles County"/>
    <x v="3"/>
    <x v="3"/>
    <x v="1"/>
  </r>
  <r>
    <x v="526"/>
    <x v="18"/>
    <x v="32"/>
    <n v="74"/>
    <x v="490"/>
    <x v="22"/>
    <d v="2025-01-24T00:00:00"/>
    <x v="1"/>
    <x v="0"/>
    <x v="2"/>
    <s v="California"/>
    <s v="Los Angeles County"/>
    <x v="3"/>
    <x v="3"/>
    <x v="1"/>
  </r>
  <r>
    <x v="527"/>
    <x v="14"/>
    <x v="1"/>
    <n v="39.200000000000003"/>
    <x v="491"/>
    <x v="22"/>
    <d v="2025-01-25T00:00:00"/>
    <x v="2"/>
    <x v="1"/>
    <x v="0"/>
    <s v="California"/>
    <s v="Los Angeles County"/>
    <x v="1"/>
    <x v="3"/>
    <x v="2"/>
  </r>
  <r>
    <x v="528"/>
    <x v="4"/>
    <x v="14"/>
    <n v="62.7"/>
    <x v="492"/>
    <x v="22"/>
    <d v="2025-01-24T00:00:00"/>
    <x v="2"/>
    <x v="2"/>
    <x v="1"/>
    <s v="California"/>
    <s v="Los Angeles County"/>
    <x v="3"/>
    <x v="3"/>
    <x v="2"/>
  </r>
  <r>
    <x v="529"/>
    <x v="10"/>
    <x v="1"/>
    <n v="60.1"/>
    <x v="493"/>
    <x v="22"/>
    <d v="2025-01-24T00:00:00"/>
    <x v="2"/>
    <x v="3"/>
    <x v="0"/>
    <s v="California"/>
    <s v="Los Angeles County"/>
    <x v="3"/>
    <x v="3"/>
    <x v="2"/>
  </r>
  <r>
    <x v="530"/>
    <x v="0"/>
    <x v="12"/>
    <n v="11.2"/>
    <x v="438"/>
    <x v="22"/>
    <d v="2025-01-24T00:00:00"/>
    <x v="2"/>
    <x v="3"/>
    <x v="1"/>
    <s v="California"/>
    <s v="Los Angeles County"/>
    <x v="3"/>
    <x v="3"/>
    <x v="2"/>
  </r>
  <r>
    <x v="531"/>
    <x v="8"/>
    <x v="1"/>
    <n v="22.9"/>
    <x v="494"/>
    <x v="22"/>
    <d v="2025-01-24T00:00:00"/>
    <x v="2"/>
    <x v="0"/>
    <x v="0"/>
    <s v="California"/>
    <s v="Sacramento County"/>
    <x v="3"/>
    <x v="3"/>
    <x v="2"/>
  </r>
  <r>
    <x v="532"/>
    <x v="1"/>
    <x v="1"/>
    <n v="37.6"/>
    <x v="495"/>
    <x v="22"/>
    <d v="2025-01-26T00:00:00"/>
    <x v="2"/>
    <x v="0"/>
    <x v="0"/>
    <s v="California"/>
    <s v="Sacramento County"/>
    <x v="2"/>
    <x v="3"/>
    <x v="2"/>
  </r>
  <r>
    <x v="533"/>
    <x v="6"/>
    <x v="0"/>
    <n v="42.4"/>
    <x v="469"/>
    <x v="22"/>
    <d v="2025-01-24T00:00:00"/>
    <x v="2"/>
    <x v="3"/>
    <x v="2"/>
    <s v="California"/>
    <s v="Sacramento County"/>
    <x v="3"/>
    <x v="3"/>
    <x v="2"/>
  </r>
  <r>
    <x v="534"/>
    <x v="8"/>
    <x v="1"/>
    <n v="19.600000000000001"/>
    <x v="496"/>
    <x v="22"/>
    <d v="2025-01-27T00:00:00"/>
    <x v="2"/>
    <x v="2"/>
    <x v="0"/>
    <s v="California"/>
    <s v="San Bernardino County"/>
    <x v="5"/>
    <x v="3"/>
    <x v="2"/>
  </r>
  <r>
    <x v="535"/>
    <x v="9"/>
    <x v="0"/>
    <n v="90.5"/>
    <x v="497"/>
    <x v="22"/>
    <d v="2025-01-26T00:00:00"/>
    <x v="2"/>
    <x v="2"/>
    <x v="0"/>
    <s v="California"/>
    <s v="San Bernardino County"/>
    <x v="2"/>
    <x v="3"/>
    <x v="2"/>
  </r>
  <r>
    <x v="536"/>
    <x v="16"/>
    <x v="5"/>
    <n v="33.9"/>
    <x v="498"/>
    <x v="22"/>
    <d v="2025-01-24T00:00:00"/>
    <x v="1"/>
    <x v="2"/>
    <x v="1"/>
    <s v="California"/>
    <s v="San Bernardino County"/>
    <x v="3"/>
    <x v="3"/>
    <x v="1"/>
  </r>
  <r>
    <x v="537"/>
    <x v="0"/>
    <x v="1"/>
    <n v="32.799999999999997"/>
    <x v="499"/>
    <x v="22"/>
    <d v="2025-01-25T00:00:00"/>
    <x v="2"/>
    <x v="4"/>
    <x v="4"/>
    <s v="California"/>
    <s v="San Diego County"/>
    <x v="1"/>
    <x v="3"/>
    <x v="2"/>
  </r>
  <r>
    <x v="538"/>
    <x v="15"/>
    <x v="0"/>
    <n v="49.9"/>
    <x v="500"/>
    <x v="22"/>
    <d v="2025-01-24T00:00:00"/>
    <x v="1"/>
    <x v="3"/>
    <x v="1"/>
    <s v="California"/>
    <s v="San Diego County"/>
    <x v="3"/>
    <x v="3"/>
    <x v="1"/>
  </r>
  <r>
    <x v="539"/>
    <x v="7"/>
    <x v="9"/>
    <n v="79.2"/>
    <x v="501"/>
    <x v="22"/>
    <d v="2025-01-24T00:00:00"/>
    <x v="2"/>
    <x v="4"/>
    <x v="0"/>
    <s v="California"/>
    <s v="San Diego County"/>
    <x v="3"/>
    <x v="3"/>
    <x v="2"/>
  </r>
  <r>
    <x v="540"/>
    <x v="8"/>
    <x v="27"/>
    <n v="19.5"/>
    <x v="502"/>
    <x v="22"/>
    <d v="2025-01-25T00:00:00"/>
    <x v="1"/>
    <x v="3"/>
    <x v="2"/>
    <s v="California"/>
    <s v="San Diego County"/>
    <x v="1"/>
    <x v="3"/>
    <x v="1"/>
  </r>
  <r>
    <x v="541"/>
    <x v="8"/>
    <x v="12"/>
    <n v="18"/>
    <x v="503"/>
    <x v="22"/>
    <d v="2025-01-24T00:00:00"/>
    <x v="1"/>
    <x v="1"/>
    <x v="0"/>
    <s v="California"/>
    <s v="Santa Barbara County"/>
    <x v="3"/>
    <x v="3"/>
    <x v="1"/>
  </r>
  <r>
    <x v="542"/>
    <x v="9"/>
    <x v="2"/>
    <n v="45.9"/>
    <x v="223"/>
    <x v="22"/>
    <d v="2025-01-25T00:00:00"/>
    <x v="2"/>
    <x v="1"/>
    <x v="1"/>
    <s v="California"/>
    <s v="Santa Barbara County"/>
    <x v="1"/>
    <x v="3"/>
    <x v="2"/>
  </r>
  <r>
    <x v="543"/>
    <x v="11"/>
    <x v="0"/>
    <n v="41.2"/>
    <x v="504"/>
    <x v="22"/>
    <d v="2025-01-25T00:00:00"/>
    <x v="2"/>
    <x v="1"/>
    <x v="2"/>
    <s v="California"/>
    <s v="Santa Clara County"/>
    <x v="1"/>
    <x v="3"/>
    <x v="2"/>
  </r>
  <r>
    <x v="544"/>
    <x v="2"/>
    <x v="7"/>
    <n v="167.2"/>
    <x v="505"/>
    <x v="22"/>
    <d v="2025-01-25T00:00:00"/>
    <x v="2"/>
    <x v="2"/>
    <x v="2"/>
    <s v="California"/>
    <s v="Santa Cruz County"/>
    <x v="1"/>
    <x v="3"/>
    <x v="2"/>
  </r>
  <r>
    <x v="545"/>
    <x v="6"/>
    <x v="17"/>
    <n v="74.5"/>
    <x v="506"/>
    <x v="23"/>
    <d v="2025-01-27T00:00:00"/>
    <x v="2"/>
    <x v="1"/>
    <x v="2"/>
    <s v="California"/>
    <s v="Solano County"/>
    <x v="2"/>
    <x v="3"/>
    <x v="2"/>
  </r>
  <r>
    <x v="546"/>
    <x v="7"/>
    <x v="12"/>
    <n v="39.299999999999997"/>
    <x v="507"/>
    <x v="23"/>
    <d v="2025-01-25T00:00:00"/>
    <x v="0"/>
    <x v="2"/>
    <x v="0"/>
    <s v="California"/>
    <s v="Stanislaus County"/>
    <x v="3"/>
    <x v="3"/>
    <x v="0"/>
  </r>
  <r>
    <x v="547"/>
    <x v="9"/>
    <x v="0"/>
    <n v="68.5"/>
    <x v="508"/>
    <x v="23"/>
    <d v="2025-01-27T00:00:00"/>
    <x v="1"/>
    <x v="1"/>
    <x v="2"/>
    <s v="California"/>
    <s v="Tehama County"/>
    <x v="2"/>
    <x v="3"/>
    <x v="1"/>
  </r>
  <r>
    <x v="548"/>
    <x v="0"/>
    <x v="2"/>
    <n v="22.5"/>
    <x v="509"/>
    <x v="23"/>
    <d v="2025-01-24T00:00:00"/>
    <x v="2"/>
    <x v="4"/>
    <x v="0"/>
    <s v="California"/>
    <s v="Ventura County"/>
    <x v="7"/>
    <x v="3"/>
    <x v="2"/>
  </r>
  <r>
    <x v="549"/>
    <x v="1"/>
    <x v="0"/>
    <n v="48"/>
    <x v="510"/>
    <x v="23"/>
    <d v="2025-01-25T00:00:00"/>
    <x v="3"/>
    <x v="4"/>
    <x v="1"/>
    <s v="California"/>
    <s v="Amador County"/>
    <x v="3"/>
    <x v="3"/>
    <x v="3"/>
  </r>
  <r>
    <x v="550"/>
    <x v="6"/>
    <x v="0"/>
    <n v="94"/>
    <x v="255"/>
    <x v="23"/>
    <d v="2025-01-25T00:00:00"/>
    <x v="1"/>
    <x v="3"/>
    <x v="1"/>
    <s v="California"/>
    <s v="Contra Costa County"/>
    <x v="3"/>
    <x v="3"/>
    <x v="1"/>
  </r>
  <r>
    <x v="551"/>
    <x v="8"/>
    <x v="2"/>
    <n v="21.9"/>
    <x v="511"/>
    <x v="23"/>
    <d v="2025-01-25T00:00:00"/>
    <x v="2"/>
    <x v="0"/>
    <x v="0"/>
    <s v="California"/>
    <s v="Humboldt County"/>
    <x v="3"/>
    <x v="3"/>
    <x v="2"/>
  </r>
  <r>
    <x v="552"/>
    <x v="6"/>
    <x v="3"/>
    <n v="64.900000000000006"/>
    <x v="512"/>
    <x v="23"/>
    <d v="2025-01-25T00:00:00"/>
    <x v="2"/>
    <x v="0"/>
    <x v="0"/>
    <s v="California"/>
    <s v="Los Angeles County"/>
    <x v="3"/>
    <x v="3"/>
    <x v="2"/>
  </r>
  <r>
    <x v="553"/>
    <x v="12"/>
    <x v="0"/>
    <n v="52.9"/>
    <x v="513"/>
    <x v="23"/>
    <d v="2025-01-24T00:00:00"/>
    <x v="2"/>
    <x v="1"/>
    <x v="1"/>
    <s v="California"/>
    <s v="Los Angeles County"/>
    <x v="7"/>
    <x v="3"/>
    <x v="2"/>
  </r>
  <r>
    <x v="554"/>
    <x v="8"/>
    <x v="2"/>
    <n v="25.5"/>
    <x v="514"/>
    <x v="23"/>
    <d v="2025-01-25T00:00:00"/>
    <x v="2"/>
    <x v="1"/>
    <x v="2"/>
    <s v="California"/>
    <s v="Los Angeles County"/>
    <x v="3"/>
    <x v="3"/>
    <x v="2"/>
  </r>
  <r>
    <x v="555"/>
    <x v="6"/>
    <x v="2"/>
    <n v="51.9"/>
    <x v="515"/>
    <x v="23"/>
    <d v="2025-01-25T00:00:00"/>
    <x v="2"/>
    <x v="3"/>
    <x v="0"/>
    <s v="California"/>
    <s v="Los Angeles County"/>
    <x v="3"/>
    <x v="3"/>
    <x v="2"/>
  </r>
  <r>
    <x v="556"/>
    <x v="5"/>
    <x v="0"/>
    <n v="46.3"/>
    <x v="516"/>
    <x v="23"/>
    <d v="2025-01-27T00:00:00"/>
    <x v="2"/>
    <x v="4"/>
    <x v="0"/>
    <s v="California"/>
    <s v="Los Angeles County"/>
    <x v="2"/>
    <x v="3"/>
    <x v="2"/>
  </r>
  <r>
    <x v="557"/>
    <x v="6"/>
    <x v="1"/>
    <n v="68.2"/>
    <x v="517"/>
    <x v="23"/>
    <d v="2025-01-26T00:00:00"/>
    <x v="2"/>
    <x v="3"/>
    <x v="0"/>
    <s v="California"/>
    <s v="Los Angeles County"/>
    <x v="1"/>
    <x v="3"/>
    <x v="2"/>
  </r>
  <r>
    <x v="558"/>
    <x v="1"/>
    <x v="0"/>
    <n v="40.299999999999997"/>
    <x v="518"/>
    <x v="23"/>
    <d v="2025-01-25T00:00:00"/>
    <x v="1"/>
    <x v="0"/>
    <x v="1"/>
    <s v="California"/>
    <s v="Los Angeles County"/>
    <x v="3"/>
    <x v="3"/>
    <x v="1"/>
  </r>
  <r>
    <x v="559"/>
    <x v="2"/>
    <x v="2"/>
    <n v="91.3"/>
    <x v="54"/>
    <x v="23"/>
    <d v="2025-01-29T00:00:00"/>
    <x v="1"/>
    <x v="0"/>
    <x v="2"/>
    <s v="California"/>
    <s v="Sacramento County"/>
    <x v="0"/>
    <x v="3"/>
    <x v="1"/>
  </r>
  <r>
    <x v="560"/>
    <x v="0"/>
    <x v="2"/>
    <n v="11.9"/>
    <x v="519"/>
    <x v="23"/>
    <d v="2025-01-25T00:00:00"/>
    <x v="2"/>
    <x v="0"/>
    <x v="1"/>
    <s v="California"/>
    <s v="Sacramento County"/>
    <x v="3"/>
    <x v="3"/>
    <x v="2"/>
  </r>
  <r>
    <x v="561"/>
    <x v="2"/>
    <x v="1"/>
    <n v="63.5"/>
    <x v="520"/>
    <x v="23"/>
    <d v="2025-01-26T00:00:00"/>
    <x v="1"/>
    <x v="1"/>
    <x v="0"/>
    <s v="California"/>
    <s v="Sacramento County"/>
    <x v="1"/>
    <x v="3"/>
    <x v="1"/>
  </r>
  <r>
    <x v="562"/>
    <x v="4"/>
    <x v="1"/>
    <n v="27.1"/>
    <x v="521"/>
    <x v="23"/>
    <d v="2025-01-27T00:00:00"/>
    <x v="1"/>
    <x v="2"/>
    <x v="2"/>
    <s v="California"/>
    <s v="Sacramento County"/>
    <x v="2"/>
    <x v="3"/>
    <x v="1"/>
  </r>
  <r>
    <x v="563"/>
    <x v="1"/>
    <x v="1"/>
    <n v="82.1"/>
    <x v="522"/>
    <x v="24"/>
    <d v="2025-01-28T00:00:00"/>
    <x v="1"/>
    <x v="1"/>
    <x v="1"/>
    <s v="California"/>
    <s v="San Bernardino County"/>
    <x v="2"/>
    <x v="3"/>
    <x v="1"/>
  </r>
  <r>
    <x v="564"/>
    <x v="3"/>
    <x v="9"/>
    <n v="42.9"/>
    <x v="523"/>
    <x v="24"/>
    <d v="2025-01-27T00:00:00"/>
    <x v="2"/>
    <x v="1"/>
    <x v="0"/>
    <s v="California"/>
    <s v="San Diego County"/>
    <x v="1"/>
    <x v="3"/>
    <x v="2"/>
  </r>
  <r>
    <x v="565"/>
    <x v="8"/>
    <x v="5"/>
    <n v="37.9"/>
    <x v="524"/>
    <x v="24"/>
    <d v="2025-02-01T00:00:00"/>
    <x v="1"/>
    <x v="0"/>
    <x v="0"/>
    <s v="California"/>
    <s v="San Diego County"/>
    <x v="6"/>
    <x v="3"/>
    <x v="1"/>
  </r>
  <r>
    <x v="566"/>
    <x v="0"/>
    <x v="0"/>
    <n v="22.4"/>
    <x v="525"/>
    <x v="24"/>
    <d v="2025-01-26T00:00:00"/>
    <x v="2"/>
    <x v="0"/>
    <x v="1"/>
    <s v="California"/>
    <s v="San Francisco"/>
    <x v="3"/>
    <x v="3"/>
    <x v="2"/>
  </r>
  <r>
    <x v="567"/>
    <x v="2"/>
    <x v="15"/>
    <n v="79.900000000000006"/>
    <x v="526"/>
    <x v="24"/>
    <d v="2025-02-07T00:00:00"/>
    <x v="2"/>
    <x v="3"/>
    <x v="1"/>
    <s v="California"/>
    <s v="Santa Clara County"/>
    <x v="10"/>
    <x v="3"/>
    <x v="2"/>
  </r>
  <r>
    <x v="568"/>
    <x v="1"/>
    <x v="0"/>
    <n v="70.599999999999994"/>
    <x v="527"/>
    <x v="24"/>
    <d v="2025-01-28T00:00:00"/>
    <x v="2"/>
    <x v="0"/>
    <x v="1"/>
    <s v="California"/>
    <s v="Santa Clara County"/>
    <x v="2"/>
    <x v="3"/>
    <x v="2"/>
  </r>
  <r>
    <x v="569"/>
    <x v="6"/>
    <x v="0"/>
    <n v="49.5"/>
    <x v="528"/>
    <x v="24"/>
    <d v="2025-01-27T00:00:00"/>
    <x v="1"/>
    <x v="0"/>
    <x v="0"/>
    <s v="California"/>
    <s v="Ventura County"/>
    <x v="1"/>
    <x v="3"/>
    <x v="1"/>
  </r>
  <r>
    <x v="570"/>
    <x v="2"/>
    <x v="1"/>
    <n v="96.6"/>
    <x v="529"/>
    <x v="24"/>
    <d v="2025-01-27T00:00:00"/>
    <x v="1"/>
    <x v="0"/>
    <x v="0"/>
    <s v="California"/>
    <s v="Alameda County"/>
    <x v="1"/>
    <x v="3"/>
    <x v="1"/>
  </r>
  <r>
    <x v="571"/>
    <x v="6"/>
    <x v="1"/>
    <n v="52.8"/>
    <x v="142"/>
    <x v="24"/>
    <d v="2025-01-26T00:00:00"/>
    <x v="2"/>
    <x v="1"/>
    <x v="1"/>
    <s v="California"/>
    <s v="Alameda County"/>
    <x v="3"/>
    <x v="3"/>
    <x v="2"/>
  </r>
  <r>
    <x v="572"/>
    <x v="2"/>
    <x v="0"/>
    <n v="101.7"/>
    <x v="530"/>
    <x v="24"/>
    <d v="2025-01-26T00:00:00"/>
    <x v="1"/>
    <x v="0"/>
    <x v="0"/>
    <s v="California"/>
    <s v="Contra Costa County"/>
    <x v="3"/>
    <x v="3"/>
    <x v="1"/>
  </r>
  <r>
    <x v="573"/>
    <x v="4"/>
    <x v="9"/>
    <n v="26.9"/>
    <x v="531"/>
    <x v="24"/>
    <d v="2025-01-30T00:00:00"/>
    <x v="2"/>
    <x v="1"/>
    <x v="1"/>
    <s v="California"/>
    <s v="Kern County"/>
    <x v="0"/>
    <x v="3"/>
    <x v="2"/>
  </r>
  <r>
    <x v="574"/>
    <x v="2"/>
    <x v="12"/>
    <n v="211"/>
    <x v="532"/>
    <x v="24"/>
    <d v="2025-01-25T00:00:00"/>
    <x v="2"/>
    <x v="1"/>
    <x v="1"/>
    <s v="California"/>
    <s v="Los Angeles County"/>
    <x v="7"/>
    <x v="3"/>
    <x v="2"/>
  </r>
  <r>
    <x v="575"/>
    <x v="0"/>
    <x v="12"/>
    <n v="21.1"/>
    <x v="533"/>
    <x v="24"/>
    <d v="2025-01-28T00:00:00"/>
    <x v="1"/>
    <x v="4"/>
    <x v="0"/>
    <s v="California"/>
    <s v="Los Angeles County"/>
    <x v="2"/>
    <x v="3"/>
    <x v="1"/>
  </r>
  <r>
    <x v="576"/>
    <x v="10"/>
    <x v="0"/>
    <n v="26.6"/>
    <x v="534"/>
    <x v="24"/>
    <d v="2025-01-27T00:00:00"/>
    <x v="1"/>
    <x v="0"/>
    <x v="4"/>
    <s v="California"/>
    <s v="Los Angeles County"/>
    <x v="1"/>
    <x v="3"/>
    <x v="1"/>
  </r>
  <r>
    <x v="577"/>
    <x v="12"/>
    <x v="12"/>
    <n v="51.2"/>
    <x v="403"/>
    <x v="24"/>
    <d v="2025-01-26T00:00:00"/>
    <x v="2"/>
    <x v="3"/>
    <x v="0"/>
    <s v="California"/>
    <s v="Mono County"/>
    <x v="3"/>
    <x v="3"/>
    <x v="2"/>
  </r>
  <r>
    <x v="578"/>
    <x v="0"/>
    <x v="9"/>
    <n v="10.6"/>
    <x v="535"/>
    <x v="24"/>
    <d v="2025-01-29T00:00:00"/>
    <x v="2"/>
    <x v="0"/>
    <x v="0"/>
    <s v="California"/>
    <s v="San Diego County"/>
    <x v="5"/>
    <x v="3"/>
    <x v="2"/>
  </r>
  <r>
    <x v="579"/>
    <x v="6"/>
    <x v="2"/>
    <n v="43.4"/>
    <x v="33"/>
    <x v="24"/>
    <d v="2025-01-28T00:00:00"/>
    <x v="2"/>
    <x v="4"/>
    <x v="0"/>
    <s v="California"/>
    <s v="San Diego County"/>
    <x v="2"/>
    <x v="3"/>
    <x v="2"/>
  </r>
  <r>
    <x v="580"/>
    <x v="12"/>
    <x v="0"/>
    <n v="80"/>
    <x v="479"/>
    <x v="24"/>
    <d v="2025-01-25T00:00:00"/>
    <x v="2"/>
    <x v="0"/>
    <x v="2"/>
    <s v="California"/>
    <s v="San Diego County"/>
    <x v="7"/>
    <x v="3"/>
    <x v="2"/>
  </r>
  <r>
    <x v="581"/>
    <x v="10"/>
    <x v="12"/>
    <n v="64.7"/>
    <x v="536"/>
    <x v="24"/>
    <d v="2025-01-27T00:00:00"/>
    <x v="2"/>
    <x v="1"/>
    <x v="4"/>
    <s v="California"/>
    <s v="San Diego County"/>
    <x v="1"/>
    <x v="3"/>
    <x v="2"/>
  </r>
  <r>
    <x v="582"/>
    <x v="8"/>
    <x v="5"/>
    <n v="26.3"/>
    <x v="537"/>
    <x v="25"/>
    <d v="2025-01-26T00:00:00"/>
    <x v="2"/>
    <x v="4"/>
    <x v="1"/>
    <s v="California"/>
    <s v="San Joaquin County"/>
    <x v="7"/>
    <x v="4"/>
    <x v="2"/>
  </r>
  <r>
    <x v="583"/>
    <x v="10"/>
    <x v="0"/>
    <n v="28.5"/>
    <x v="425"/>
    <x v="25"/>
    <d v="2025-01-26T00:00:00"/>
    <x v="1"/>
    <x v="0"/>
    <x v="1"/>
    <s v="California"/>
    <s v="San Mateo County"/>
    <x v="7"/>
    <x v="4"/>
    <x v="1"/>
  </r>
  <r>
    <x v="584"/>
    <x v="17"/>
    <x v="0"/>
    <n v="47.8"/>
    <x v="538"/>
    <x v="25"/>
    <d v="2025-01-28T00:00:00"/>
    <x v="2"/>
    <x v="0"/>
    <x v="1"/>
    <s v="California"/>
    <s v="San Mateo County"/>
    <x v="1"/>
    <x v="4"/>
    <x v="2"/>
  </r>
  <r>
    <x v="585"/>
    <x v="10"/>
    <x v="2"/>
    <n v="42.8"/>
    <x v="539"/>
    <x v="25"/>
    <d v="2025-01-29T00:00:00"/>
    <x v="2"/>
    <x v="4"/>
    <x v="1"/>
    <s v="California"/>
    <s v="Santa Clara County"/>
    <x v="2"/>
    <x v="4"/>
    <x v="2"/>
  </r>
  <r>
    <x v="586"/>
    <x v="6"/>
    <x v="9"/>
    <n v="46.8"/>
    <x v="540"/>
    <x v="25"/>
    <d v="2025-01-31T00:00:00"/>
    <x v="2"/>
    <x v="1"/>
    <x v="2"/>
    <s v="California"/>
    <s v="Santa Clara County"/>
    <x v="0"/>
    <x v="4"/>
    <x v="2"/>
  </r>
  <r>
    <x v="587"/>
    <x v="1"/>
    <x v="7"/>
    <n v="64.099999999999994"/>
    <x v="541"/>
    <x v="25"/>
    <d v="2025-01-27T00:00:00"/>
    <x v="1"/>
    <x v="1"/>
    <x v="0"/>
    <s v="California"/>
    <s v="Santa Clara County"/>
    <x v="3"/>
    <x v="4"/>
    <x v="1"/>
  </r>
  <r>
    <x v="588"/>
    <x v="2"/>
    <x v="0"/>
    <n v="89.1"/>
    <x v="542"/>
    <x v="25"/>
    <d v="2025-01-27T00:00:00"/>
    <x v="2"/>
    <x v="0"/>
    <x v="1"/>
    <s v="California"/>
    <s v="Tulare County"/>
    <x v="3"/>
    <x v="4"/>
    <x v="2"/>
  </r>
  <r>
    <x v="589"/>
    <x v="2"/>
    <x v="2"/>
    <n v="83.1"/>
    <x v="543"/>
    <x v="25"/>
    <d v="2025-01-27T00:00:00"/>
    <x v="2"/>
    <x v="2"/>
    <x v="1"/>
    <s v="California"/>
    <s v="Ventura County"/>
    <x v="3"/>
    <x v="4"/>
    <x v="2"/>
  </r>
  <r>
    <x v="590"/>
    <x v="8"/>
    <x v="2"/>
    <n v="40.9"/>
    <x v="544"/>
    <x v="25"/>
    <d v="2025-01-27T00:00:00"/>
    <x v="1"/>
    <x v="0"/>
    <x v="0"/>
    <s v="California"/>
    <s v="Contra Costa County"/>
    <x v="3"/>
    <x v="4"/>
    <x v="1"/>
  </r>
  <r>
    <x v="591"/>
    <x v="2"/>
    <x v="1"/>
    <n v="125.7"/>
    <x v="545"/>
    <x v="25"/>
    <d v="2025-01-27T00:00:00"/>
    <x v="2"/>
    <x v="3"/>
    <x v="0"/>
    <s v="California"/>
    <s v="Fresno County"/>
    <x v="3"/>
    <x v="4"/>
    <x v="2"/>
  </r>
  <r>
    <x v="592"/>
    <x v="3"/>
    <x v="1"/>
    <n v="30.9"/>
    <x v="546"/>
    <x v="25"/>
    <d v="2025-01-26T00:00:00"/>
    <x v="2"/>
    <x v="2"/>
    <x v="2"/>
    <s v="California"/>
    <s v="Kern County"/>
    <x v="7"/>
    <x v="4"/>
    <x v="2"/>
  </r>
  <r>
    <x v="593"/>
    <x v="8"/>
    <x v="1"/>
    <n v="18.3"/>
    <x v="547"/>
    <x v="25"/>
    <d v="2025-01-27T00:00:00"/>
    <x v="2"/>
    <x v="1"/>
    <x v="0"/>
    <s v="California"/>
    <s v="Los Angeles County"/>
    <x v="3"/>
    <x v="4"/>
    <x v="2"/>
  </r>
  <r>
    <x v="594"/>
    <x v="4"/>
    <x v="1"/>
    <n v="56.5"/>
    <x v="548"/>
    <x v="25"/>
    <d v="2025-01-30T00:00:00"/>
    <x v="1"/>
    <x v="2"/>
    <x v="2"/>
    <s v="California"/>
    <s v="Los Angeles County"/>
    <x v="5"/>
    <x v="4"/>
    <x v="1"/>
  </r>
  <r>
    <x v="595"/>
    <x v="10"/>
    <x v="3"/>
    <n v="29.9"/>
    <x v="549"/>
    <x v="25"/>
    <d v="2025-01-28T00:00:00"/>
    <x v="1"/>
    <x v="4"/>
    <x v="2"/>
    <s v="California"/>
    <s v="Los Angeles County"/>
    <x v="1"/>
    <x v="4"/>
    <x v="1"/>
  </r>
  <r>
    <x v="596"/>
    <x v="5"/>
    <x v="1"/>
    <n v="50.4"/>
    <x v="90"/>
    <x v="25"/>
    <d v="2025-01-27T00:00:00"/>
    <x v="2"/>
    <x v="2"/>
    <x v="0"/>
    <s v="California"/>
    <s v="Los Angeles County"/>
    <x v="3"/>
    <x v="4"/>
    <x v="2"/>
  </r>
  <r>
    <x v="597"/>
    <x v="2"/>
    <x v="0"/>
    <n v="85.8"/>
    <x v="550"/>
    <x v="25"/>
    <d v="2025-01-26T00:00:00"/>
    <x v="2"/>
    <x v="2"/>
    <x v="2"/>
    <s v="California"/>
    <s v="Los Angeles County"/>
    <x v="7"/>
    <x v="4"/>
    <x v="2"/>
  </r>
  <r>
    <x v="598"/>
    <x v="4"/>
    <x v="27"/>
    <n v="66.599999999999994"/>
    <x v="551"/>
    <x v="25"/>
    <d v="2025-01-28T00:00:00"/>
    <x v="1"/>
    <x v="1"/>
    <x v="0"/>
    <s v="California"/>
    <s v="Los Angeles County"/>
    <x v="1"/>
    <x v="4"/>
    <x v="1"/>
  </r>
  <r>
    <x v="599"/>
    <x v="6"/>
    <x v="12"/>
    <n v="70.3"/>
    <x v="552"/>
    <x v="25"/>
    <d v="2025-01-27T00:00:00"/>
    <x v="2"/>
    <x v="0"/>
    <x v="1"/>
    <s v="California"/>
    <s v="Los Angeles County"/>
    <x v="3"/>
    <x v="4"/>
    <x v="2"/>
  </r>
  <r>
    <x v="600"/>
    <x v="8"/>
    <x v="12"/>
    <n v="31"/>
    <x v="553"/>
    <x v="25"/>
    <d v="2025-01-29T00:00:00"/>
    <x v="1"/>
    <x v="0"/>
    <x v="2"/>
    <s v="California"/>
    <s v="Los Angeles County"/>
    <x v="2"/>
    <x v="4"/>
    <x v="1"/>
  </r>
  <r>
    <x v="601"/>
    <x v="7"/>
    <x v="13"/>
    <n v="81.599999999999994"/>
    <x v="554"/>
    <x v="25"/>
    <d v="2025-01-27T00:00:00"/>
    <x v="2"/>
    <x v="1"/>
    <x v="1"/>
    <s v="California"/>
    <s v="Madera County"/>
    <x v="3"/>
    <x v="4"/>
    <x v="2"/>
  </r>
  <r>
    <x v="602"/>
    <x v="1"/>
    <x v="30"/>
    <n v="58.3"/>
    <x v="555"/>
    <x v="25"/>
    <d v="2025-01-27T00:00:00"/>
    <x v="2"/>
    <x v="0"/>
    <x v="0"/>
    <s v="California"/>
    <s v="Napa County"/>
    <x v="3"/>
    <x v="4"/>
    <x v="2"/>
  </r>
  <r>
    <x v="603"/>
    <x v="1"/>
    <x v="12"/>
    <n v="35.1"/>
    <x v="381"/>
    <x v="25"/>
    <d v="2025-01-28T00:00:00"/>
    <x v="1"/>
    <x v="0"/>
    <x v="2"/>
    <s v="California"/>
    <s v="San Diego County"/>
    <x v="1"/>
    <x v="4"/>
    <x v="1"/>
  </r>
  <r>
    <x v="604"/>
    <x v="2"/>
    <x v="0"/>
    <n v="80.2"/>
    <x v="556"/>
    <x v="25"/>
    <d v="2025-01-27T00:00:00"/>
    <x v="1"/>
    <x v="3"/>
    <x v="2"/>
    <s v="California"/>
    <s v="San Diego County"/>
    <x v="3"/>
    <x v="4"/>
    <x v="1"/>
  </r>
  <r>
    <x v="605"/>
    <x v="14"/>
    <x v="2"/>
    <n v="39.200000000000003"/>
    <x v="557"/>
    <x v="25"/>
    <d v="2025-01-28T00:00:00"/>
    <x v="2"/>
    <x v="1"/>
    <x v="0"/>
    <s v="California"/>
    <s v="San Mateo County"/>
    <x v="1"/>
    <x v="4"/>
    <x v="2"/>
  </r>
  <r>
    <x v="606"/>
    <x v="0"/>
    <x v="1"/>
    <n v="15.4"/>
    <x v="558"/>
    <x v="25"/>
    <d v="2025-01-26T00:00:00"/>
    <x v="2"/>
    <x v="3"/>
    <x v="0"/>
    <s v="California"/>
    <s v="Sierra County"/>
    <x v="7"/>
    <x v="4"/>
    <x v="2"/>
  </r>
  <r>
    <x v="607"/>
    <x v="3"/>
    <x v="2"/>
    <n v="65.400000000000006"/>
    <x v="338"/>
    <x v="25"/>
    <d v="2025-01-29T00:00:00"/>
    <x v="1"/>
    <x v="3"/>
    <x v="0"/>
    <s v="California"/>
    <s v="Sonoma County"/>
    <x v="2"/>
    <x v="4"/>
    <x v="1"/>
  </r>
  <r>
    <x v="608"/>
    <x v="1"/>
    <x v="8"/>
    <n v="63.2"/>
    <x v="559"/>
    <x v="25"/>
    <d v="2025-01-28T00:00:00"/>
    <x v="2"/>
    <x v="1"/>
    <x v="0"/>
    <s v="California"/>
    <s v="Stanislaus County"/>
    <x v="1"/>
    <x v="4"/>
    <x v="2"/>
  </r>
  <r>
    <x v="609"/>
    <x v="1"/>
    <x v="13"/>
    <n v="35.700000000000003"/>
    <x v="560"/>
    <x v="25"/>
    <d v="2025-01-30T00:00:00"/>
    <x v="2"/>
    <x v="4"/>
    <x v="1"/>
    <s v="California"/>
    <s v="Stanislaus County"/>
    <x v="5"/>
    <x v="4"/>
    <x v="2"/>
  </r>
  <r>
    <x v="610"/>
    <x v="0"/>
    <x v="28"/>
    <n v="26.2"/>
    <x v="561"/>
    <x v="25"/>
    <d v="2025-01-27T00:00:00"/>
    <x v="2"/>
    <x v="3"/>
    <x v="0"/>
    <s v="California"/>
    <s v="Alameda County"/>
    <x v="3"/>
    <x v="4"/>
    <x v="2"/>
  </r>
  <r>
    <x v="611"/>
    <x v="7"/>
    <x v="1"/>
    <n v="31"/>
    <x v="85"/>
    <x v="25"/>
    <d v="2025-01-27T00:00:00"/>
    <x v="2"/>
    <x v="0"/>
    <x v="2"/>
    <s v="California"/>
    <s v="Contra Costa County"/>
    <x v="3"/>
    <x v="4"/>
    <x v="2"/>
  </r>
  <r>
    <x v="612"/>
    <x v="8"/>
    <x v="12"/>
    <n v="37.700000000000003"/>
    <x v="562"/>
    <x v="25"/>
    <d v="2025-01-27T00:00:00"/>
    <x v="2"/>
    <x v="1"/>
    <x v="0"/>
    <s v="California"/>
    <s v="Kern County"/>
    <x v="3"/>
    <x v="4"/>
    <x v="2"/>
  </r>
  <r>
    <x v="613"/>
    <x v="10"/>
    <x v="33"/>
    <n v="43.6"/>
    <x v="563"/>
    <x v="25"/>
    <d v="2025-01-28T00:00:00"/>
    <x v="2"/>
    <x v="4"/>
    <x v="1"/>
    <s v="California"/>
    <s v="Los Angeles County"/>
    <x v="1"/>
    <x v="4"/>
    <x v="2"/>
  </r>
  <r>
    <x v="614"/>
    <x v="9"/>
    <x v="12"/>
    <n v="26.5"/>
    <x v="101"/>
    <x v="25"/>
    <d v="2025-01-28T00:00:00"/>
    <x v="1"/>
    <x v="0"/>
    <x v="4"/>
    <s v="California"/>
    <s v="Los Angeles County"/>
    <x v="1"/>
    <x v="4"/>
    <x v="1"/>
  </r>
  <r>
    <x v="615"/>
    <x v="0"/>
    <x v="1"/>
    <n v="34.6"/>
    <x v="564"/>
    <x v="25"/>
    <d v="2025-01-27T00:00:00"/>
    <x v="1"/>
    <x v="4"/>
    <x v="1"/>
    <s v="California"/>
    <s v="Los Angeles County"/>
    <x v="3"/>
    <x v="4"/>
    <x v="1"/>
  </r>
  <r>
    <x v="616"/>
    <x v="8"/>
    <x v="1"/>
    <n v="58.2"/>
    <x v="565"/>
    <x v="25"/>
    <d v="2025-01-27T00:00:00"/>
    <x v="1"/>
    <x v="2"/>
    <x v="2"/>
    <s v="California"/>
    <s v="Los Angeles County"/>
    <x v="3"/>
    <x v="4"/>
    <x v="1"/>
  </r>
  <r>
    <x v="617"/>
    <x v="7"/>
    <x v="0"/>
    <n v="30.2"/>
    <x v="242"/>
    <x v="26"/>
    <d v="2025-01-28T00:00:00"/>
    <x v="2"/>
    <x v="2"/>
    <x v="1"/>
    <s v="California"/>
    <s v="Los Angeles County"/>
    <x v="3"/>
    <x v="4"/>
    <x v="2"/>
  </r>
  <r>
    <x v="618"/>
    <x v="1"/>
    <x v="7"/>
    <n v="53.2"/>
    <x v="566"/>
    <x v="26"/>
    <d v="2025-01-28T00:00:00"/>
    <x v="1"/>
    <x v="0"/>
    <x v="2"/>
    <s v="California"/>
    <s v="Placer County"/>
    <x v="3"/>
    <x v="4"/>
    <x v="1"/>
  </r>
  <r>
    <x v="619"/>
    <x v="12"/>
    <x v="13"/>
    <n v="51.1"/>
    <x v="567"/>
    <x v="26"/>
    <d v="2025-01-27T00:00:00"/>
    <x v="1"/>
    <x v="1"/>
    <x v="2"/>
    <s v="California"/>
    <s v="Placer County"/>
    <x v="7"/>
    <x v="4"/>
    <x v="1"/>
  </r>
  <r>
    <x v="620"/>
    <x v="1"/>
    <x v="0"/>
    <n v="105.4"/>
    <x v="568"/>
    <x v="26"/>
    <d v="2025-01-31T00:00:00"/>
    <x v="2"/>
    <x v="1"/>
    <x v="2"/>
    <s v="California"/>
    <s v="Riverside County"/>
    <x v="5"/>
    <x v="4"/>
    <x v="2"/>
  </r>
  <r>
    <x v="621"/>
    <x v="7"/>
    <x v="0"/>
    <n v="57.7"/>
    <x v="569"/>
    <x v="26"/>
    <d v="2025-01-27T00:00:00"/>
    <x v="1"/>
    <x v="0"/>
    <x v="4"/>
    <s v="California"/>
    <s v="San Diego County"/>
    <x v="7"/>
    <x v="4"/>
    <x v="1"/>
  </r>
  <r>
    <x v="622"/>
    <x v="15"/>
    <x v="1"/>
    <n v="72.400000000000006"/>
    <x v="353"/>
    <x v="26"/>
    <d v="2025-02-01T00:00:00"/>
    <x v="2"/>
    <x v="0"/>
    <x v="0"/>
    <s v="California"/>
    <s v="San Francisco"/>
    <x v="0"/>
    <x v="4"/>
    <x v="2"/>
  </r>
  <r>
    <x v="623"/>
    <x v="6"/>
    <x v="1"/>
    <n v="62.5"/>
    <x v="570"/>
    <x v="26"/>
    <d v="2025-01-28T00:00:00"/>
    <x v="0"/>
    <x v="0"/>
    <x v="2"/>
    <s v="California"/>
    <s v="Santa Clara County"/>
    <x v="3"/>
    <x v="4"/>
    <x v="0"/>
  </r>
  <r>
    <x v="624"/>
    <x v="0"/>
    <x v="32"/>
    <n v="11.6"/>
    <x v="281"/>
    <x v="26"/>
    <d v="2025-01-29T00:00:00"/>
    <x v="2"/>
    <x v="3"/>
    <x v="2"/>
    <s v="California"/>
    <s v="Sonoma County"/>
    <x v="1"/>
    <x v="4"/>
    <x v="2"/>
  </r>
  <r>
    <x v="625"/>
    <x v="10"/>
    <x v="7"/>
    <n v="39.6"/>
    <x v="501"/>
    <x v="26"/>
    <d v="2025-01-29T00:00:00"/>
    <x v="2"/>
    <x v="2"/>
    <x v="2"/>
    <s v="California"/>
    <s v="Sonoma County"/>
    <x v="1"/>
    <x v="4"/>
    <x v="2"/>
  </r>
  <r>
    <x v="626"/>
    <x v="8"/>
    <x v="1"/>
    <n v="40.1"/>
    <x v="556"/>
    <x v="26"/>
    <d v="2025-01-28T00:00:00"/>
    <x v="2"/>
    <x v="2"/>
    <x v="0"/>
    <s v="California"/>
    <s v="Sonoma County"/>
    <x v="3"/>
    <x v="4"/>
    <x v="2"/>
  </r>
  <r>
    <x v="627"/>
    <x v="8"/>
    <x v="2"/>
    <n v="18.600000000000001"/>
    <x v="571"/>
    <x v="26"/>
    <d v="2025-01-28T00:00:00"/>
    <x v="2"/>
    <x v="2"/>
    <x v="0"/>
    <s v="California"/>
    <s v="Alameda County"/>
    <x v="3"/>
    <x v="4"/>
    <x v="2"/>
  </r>
  <r>
    <x v="628"/>
    <x v="4"/>
    <x v="0"/>
    <n v="58.8"/>
    <x v="572"/>
    <x v="26"/>
    <d v="2025-01-29T00:00:00"/>
    <x v="2"/>
    <x v="0"/>
    <x v="1"/>
    <s v="California"/>
    <s v="Alameda County"/>
    <x v="1"/>
    <x v="4"/>
    <x v="2"/>
  </r>
  <r>
    <x v="629"/>
    <x v="8"/>
    <x v="1"/>
    <n v="22.1"/>
    <x v="573"/>
    <x v="26"/>
    <d v="2025-01-30T00:00:00"/>
    <x v="1"/>
    <x v="1"/>
    <x v="2"/>
    <s v="California"/>
    <s v="Alameda County"/>
    <x v="2"/>
    <x v="4"/>
    <x v="1"/>
  </r>
  <r>
    <x v="630"/>
    <x v="2"/>
    <x v="0"/>
    <n v="114.9"/>
    <x v="574"/>
    <x v="27"/>
    <d v="2025-01-29T00:00:00"/>
    <x v="2"/>
    <x v="1"/>
    <x v="1"/>
    <s v="California"/>
    <s v="Kern County"/>
    <x v="3"/>
    <x v="4"/>
    <x v="2"/>
  </r>
  <r>
    <x v="631"/>
    <x v="9"/>
    <x v="9"/>
    <n v="75.8"/>
    <x v="575"/>
    <x v="27"/>
    <d v="2025-01-29T00:00:00"/>
    <x v="1"/>
    <x v="0"/>
    <x v="2"/>
    <s v="California"/>
    <s v="Los Angeles County"/>
    <x v="3"/>
    <x v="4"/>
    <x v="1"/>
  </r>
  <r>
    <x v="632"/>
    <x v="14"/>
    <x v="9"/>
    <n v="20.6"/>
    <x v="576"/>
    <x v="27"/>
    <d v="2025-01-29T00:00:00"/>
    <x v="1"/>
    <x v="2"/>
    <x v="2"/>
    <s v="California"/>
    <s v="Los Angeles County"/>
    <x v="3"/>
    <x v="4"/>
    <x v="1"/>
  </r>
  <r>
    <x v="633"/>
    <x v="17"/>
    <x v="2"/>
    <n v="67.900000000000006"/>
    <x v="577"/>
    <x v="27"/>
    <d v="2025-01-29T00:00:00"/>
    <x v="2"/>
    <x v="1"/>
    <x v="1"/>
    <s v="California"/>
    <s v="Los Angeles County"/>
    <x v="3"/>
    <x v="4"/>
    <x v="2"/>
  </r>
  <r>
    <x v="634"/>
    <x v="0"/>
    <x v="9"/>
    <n v="27"/>
    <x v="340"/>
    <x v="27"/>
    <d v="2025-02-04T00:00:00"/>
    <x v="2"/>
    <x v="0"/>
    <x v="2"/>
    <s v="California"/>
    <s v="Los Angeles County"/>
    <x v="6"/>
    <x v="4"/>
    <x v="2"/>
  </r>
  <r>
    <x v="635"/>
    <x v="13"/>
    <x v="0"/>
    <n v="50.6"/>
    <x v="578"/>
    <x v="27"/>
    <d v="2025-01-28T00:00:00"/>
    <x v="1"/>
    <x v="0"/>
    <x v="1"/>
    <s v="California"/>
    <s v="Los Angeles County"/>
    <x v="7"/>
    <x v="4"/>
    <x v="1"/>
  </r>
  <r>
    <x v="636"/>
    <x v="4"/>
    <x v="9"/>
    <n v="22.1"/>
    <x v="579"/>
    <x v="27"/>
    <d v="2025-02-02T00:00:00"/>
    <x v="1"/>
    <x v="0"/>
    <x v="0"/>
    <s v="California"/>
    <s v="Los Angeles County"/>
    <x v="0"/>
    <x v="4"/>
    <x v="1"/>
  </r>
  <r>
    <x v="637"/>
    <x v="8"/>
    <x v="2"/>
    <n v="42.9"/>
    <x v="580"/>
    <x v="27"/>
    <d v="2025-01-30T00:00:00"/>
    <x v="2"/>
    <x v="0"/>
    <x v="0"/>
    <s v="California"/>
    <s v="Los Angeles County"/>
    <x v="1"/>
    <x v="4"/>
    <x v="2"/>
  </r>
  <r>
    <x v="638"/>
    <x v="1"/>
    <x v="5"/>
    <n v="62.4"/>
    <x v="581"/>
    <x v="27"/>
    <d v="2025-01-30T00:00:00"/>
    <x v="2"/>
    <x v="2"/>
    <x v="0"/>
    <s v="California"/>
    <s v="Los Angeles County"/>
    <x v="1"/>
    <x v="4"/>
    <x v="2"/>
  </r>
  <r>
    <x v="639"/>
    <x v="13"/>
    <x v="11"/>
    <n v="36.4"/>
    <x v="582"/>
    <x v="27"/>
    <d v="2025-01-30T00:00:00"/>
    <x v="2"/>
    <x v="0"/>
    <x v="2"/>
    <s v="California"/>
    <s v="Los Angeles County"/>
    <x v="1"/>
    <x v="4"/>
    <x v="2"/>
  </r>
  <r>
    <x v="640"/>
    <x v="0"/>
    <x v="1"/>
    <n v="22.5"/>
    <x v="583"/>
    <x v="27"/>
    <d v="2025-01-31T00:00:00"/>
    <x v="1"/>
    <x v="0"/>
    <x v="0"/>
    <s v="California"/>
    <s v="Los Angeles County"/>
    <x v="2"/>
    <x v="4"/>
    <x v="1"/>
  </r>
  <r>
    <x v="641"/>
    <x v="6"/>
    <x v="12"/>
    <n v="70.8"/>
    <x v="584"/>
    <x v="27"/>
    <d v="2025-01-30T00:00:00"/>
    <x v="2"/>
    <x v="4"/>
    <x v="0"/>
    <s v="California"/>
    <s v="Los Angeles County"/>
    <x v="1"/>
    <x v="4"/>
    <x v="2"/>
  </r>
  <r>
    <x v="642"/>
    <x v="6"/>
    <x v="9"/>
    <n v="56.6"/>
    <x v="585"/>
    <x v="27"/>
    <d v="2025-01-30T00:00:00"/>
    <x v="1"/>
    <x v="0"/>
    <x v="1"/>
    <s v="California"/>
    <s v="Nevada County"/>
    <x v="1"/>
    <x v="4"/>
    <x v="1"/>
  </r>
  <r>
    <x v="643"/>
    <x v="6"/>
    <x v="1"/>
    <n v="47.9"/>
    <x v="586"/>
    <x v="27"/>
    <d v="2025-01-29T00:00:00"/>
    <x v="2"/>
    <x v="0"/>
    <x v="0"/>
    <s v="California"/>
    <s v="Sacramento County"/>
    <x v="3"/>
    <x v="4"/>
    <x v="2"/>
  </r>
  <r>
    <x v="644"/>
    <x v="6"/>
    <x v="8"/>
    <n v="78.400000000000006"/>
    <x v="587"/>
    <x v="27"/>
    <d v="2025-01-30T00:00:00"/>
    <x v="2"/>
    <x v="1"/>
    <x v="0"/>
    <s v="California"/>
    <s v="Sacramento County"/>
    <x v="1"/>
    <x v="4"/>
    <x v="2"/>
  </r>
  <r>
    <x v="645"/>
    <x v="2"/>
    <x v="21"/>
    <n v="122.1"/>
    <x v="588"/>
    <x v="27"/>
    <d v="2025-02-02T00:00:00"/>
    <x v="2"/>
    <x v="0"/>
    <x v="2"/>
    <s v="California"/>
    <s v="Sacramento County"/>
    <x v="0"/>
    <x v="4"/>
    <x v="2"/>
  </r>
  <r>
    <x v="646"/>
    <x v="2"/>
    <x v="1"/>
    <n v="83.7"/>
    <x v="589"/>
    <x v="28"/>
    <d v="2025-01-29T00:00:00"/>
    <x v="0"/>
    <x v="1"/>
    <x v="2"/>
    <s v="California"/>
    <s v="San Bernardino County"/>
    <x v="7"/>
    <x v="4"/>
    <x v="0"/>
  </r>
  <r>
    <x v="647"/>
    <x v="3"/>
    <x v="12"/>
    <n v="97.9"/>
    <x v="590"/>
    <x v="28"/>
    <d v="2025-02-02T00:00:00"/>
    <x v="2"/>
    <x v="3"/>
    <x v="2"/>
    <s v="California"/>
    <s v="San Bernardino County"/>
    <x v="5"/>
    <x v="4"/>
    <x v="2"/>
  </r>
  <r>
    <x v="648"/>
    <x v="14"/>
    <x v="0"/>
    <n v="15"/>
    <x v="591"/>
    <x v="28"/>
    <d v="2025-02-03T00:00:00"/>
    <x v="2"/>
    <x v="3"/>
    <x v="0"/>
    <s v="California"/>
    <s v="San Diego County"/>
    <x v="0"/>
    <x v="4"/>
    <x v="2"/>
  </r>
  <r>
    <x v="649"/>
    <x v="12"/>
    <x v="2"/>
    <n v="94.6"/>
    <x v="592"/>
    <x v="28"/>
    <d v="2025-01-30T00:00:00"/>
    <x v="1"/>
    <x v="2"/>
    <x v="1"/>
    <s v="California"/>
    <s v="San Diego County"/>
    <x v="3"/>
    <x v="4"/>
    <x v="1"/>
  </r>
  <r>
    <x v="650"/>
    <x v="0"/>
    <x v="13"/>
    <n v="19.7"/>
    <x v="593"/>
    <x v="28"/>
    <d v="2025-02-09T00:00:00"/>
    <x v="2"/>
    <x v="0"/>
    <x v="2"/>
    <s v="California"/>
    <s v="San Diego County"/>
    <x v="11"/>
    <x v="4"/>
    <x v="2"/>
  </r>
  <r>
    <x v="651"/>
    <x v="7"/>
    <x v="0"/>
    <n v="46.7"/>
    <x v="594"/>
    <x v="28"/>
    <d v="2025-02-01T00:00:00"/>
    <x v="2"/>
    <x v="2"/>
    <x v="0"/>
    <s v="California"/>
    <s v="San Francisco"/>
    <x v="2"/>
    <x v="4"/>
    <x v="2"/>
  </r>
  <r>
    <x v="652"/>
    <x v="1"/>
    <x v="12"/>
    <n v="43"/>
    <x v="595"/>
    <x v="28"/>
    <d v="2025-01-30T00:00:00"/>
    <x v="1"/>
    <x v="2"/>
    <x v="2"/>
    <s v="California"/>
    <s v="San Francisco"/>
    <x v="3"/>
    <x v="4"/>
    <x v="1"/>
  </r>
  <r>
    <x v="653"/>
    <x v="6"/>
    <x v="2"/>
    <n v="68.2"/>
    <x v="214"/>
    <x v="28"/>
    <d v="2025-02-04T00:00:00"/>
    <x v="2"/>
    <x v="0"/>
    <x v="0"/>
    <s v="California"/>
    <s v="San Mateo County"/>
    <x v="4"/>
    <x v="4"/>
    <x v="2"/>
  </r>
  <r>
    <x v="654"/>
    <x v="10"/>
    <x v="7"/>
    <n v="24.3"/>
    <x v="596"/>
    <x v="28"/>
    <d v="2025-01-30T00:00:00"/>
    <x v="1"/>
    <x v="0"/>
    <x v="2"/>
    <s v="California"/>
    <s v="Santa Barbara County"/>
    <x v="3"/>
    <x v="4"/>
    <x v="1"/>
  </r>
  <r>
    <x v="655"/>
    <x v="7"/>
    <x v="1"/>
    <n v="86.8"/>
    <x v="597"/>
    <x v="28"/>
    <d v="2025-02-02T00:00:00"/>
    <x v="2"/>
    <x v="4"/>
    <x v="2"/>
    <s v="California"/>
    <s v="Santa Clara County"/>
    <x v="5"/>
    <x v="4"/>
    <x v="2"/>
  </r>
  <r>
    <x v="656"/>
    <x v="0"/>
    <x v="1"/>
    <n v="15.8"/>
    <x v="35"/>
    <x v="28"/>
    <d v="2025-01-31T00:00:00"/>
    <x v="1"/>
    <x v="1"/>
    <x v="0"/>
    <s v="California"/>
    <s v="Santa Clara County"/>
    <x v="1"/>
    <x v="4"/>
    <x v="1"/>
  </r>
  <r>
    <x v="657"/>
    <x v="2"/>
    <x v="12"/>
    <n v="61.6"/>
    <x v="598"/>
    <x v="28"/>
    <d v="2025-01-30T00:00:00"/>
    <x v="1"/>
    <x v="2"/>
    <x v="0"/>
    <s v="California"/>
    <s v="Santa Clara County"/>
    <x v="3"/>
    <x v="4"/>
    <x v="1"/>
  </r>
  <r>
    <x v="658"/>
    <x v="6"/>
    <x v="2"/>
    <n v="48.7"/>
    <x v="599"/>
    <x v="28"/>
    <d v="2025-02-04T00:00:00"/>
    <x v="2"/>
    <x v="1"/>
    <x v="2"/>
    <s v="California"/>
    <s v="Trinity County"/>
    <x v="4"/>
    <x v="4"/>
    <x v="2"/>
  </r>
  <r>
    <x v="659"/>
    <x v="8"/>
    <x v="12"/>
    <n v="24.3"/>
    <x v="451"/>
    <x v="28"/>
    <d v="2025-01-31T00:00:00"/>
    <x v="2"/>
    <x v="1"/>
    <x v="2"/>
    <s v="California"/>
    <s v="Alameda County"/>
    <x v="1"/>
    <x v="4"/>
    <x v="2"/>
  </r>
  <r>
    <x v="660"/>
    <x v="2"/>
    <x v="1"/>
    <n v="130.69999999999999"/>
    <x v="600"/>
    <x v="28"/>
    <d v="2025-01-30T00:00:00"/>
    <x v="2"/>
    <x v="2"/>
    <x v="0"/>
    <s v="California"/>
    <s v="Humboldt County"/>
    <x v="3"/>
    <x v="4"/>
    <x v="2"/>
  </r>
  <r>
    <x v="661"/>
    <x v="10"/>
    <x v="0"/>
    <n v="26"/>
    <x v="601"/>
    <x v="28"/>
    <d v="2025-01-31T00:00:00"/>
    <x v="1"/>
    <x v="0"/>
    <x v="0"/>
    <s v="California"/>
    <s v="Los Angeles County"/>
    <x v="1"/>
    <x v="4"/>
    <x v="1"/>
  </r>
  <r>
    <x v="662"/>
    <x v="2"/>
    <x v="9"/>
    <n v="94.4"/>
    <x v="602"/>
    <x v="28"/>
    <d v="2025-01-30T00:00:00"/>
    <x v="2"/>
    <x v="0"/>
    <x v="0"/>
    <s v="California"/>
    <s v="Los Angeles County"/>
    <x v="3"/>
    <x v="4"/>
    <x v="2"/>
  </r>
  <r>
    <x v="663"/>
    <x v="0"/>
    <x v="13"/>
    <n v="23.7"/>
    <x v="60"/>
    <x v="28"/>
    <d v="2025-01-31T00:00:00"/>
    <x v="1"/>
    <x v="2"/>
    <x v="2"/>
    <s v="California"/>
    <s v="Los Angeles County"/>
    <x v="1"/>
    <x v="4"/>
    <x v="1"/>
  </r>
  <r>
    <x v="664"/>
    <x v="9"/>
    <x v="4"/>
    <n v="37.4"/>
    <x v="603"/>
    <x v="28"/>
    <d v="2025-01-31T00:00:00"/>
    <x v="1"/>
    <x v="2"/>
    <x v="0"/>
    <s v="California"/>
    <s v="Los Angeles County"/>
    <x v="1"/>
    <x v="4"/>
    <x v="1"/>
  </r>
  <r>
    <x v="665"/>
    <x v="1"/>
    <x v="34"/>
    <n v="55.2"/>
    <x v="604"/>
    <x v="28"/>
    <d v="2025-01-29T00:00:00"/>
    <x v="2"/>
    <x v="3"/>
    <x v="1"/>
    <s v="California"/>
    <s v="Los Angeles County"/>
    <x v="7"/>
    <x v="4"/>
    <x v="2"/>
  </r>
  <r>
    <x v="666"/>
    <x v="2"/>
    <x v="11"/>
    <n v="57.1"/>
    <x v="605"/>
    <x v="28"/>
    <d v="2025-01-31T00:00:00"/>
    <x v="1"/>
    <x v="0"/>
    <x v="2"/>
    <s v="California"/>
    <s v="Los Angeles County"/>
    <x v="1"/>
    <x v="4"/>
    <x v="1"/>
  </r>
  <r>
    <x v="667"/>
    <x v="12"/>
    <x v="0"/>
    <n v="55.3"/>
    <x v="6"/>
    <x v="28"/>
    <d v="2025-01-30T00:00:00"/>
    <x v="2"/>
    <x v="2"/>
    <x v="2"/>
    <s v="California"/>
    <s v="Los Angeles County"/>
    <x v="3"/>
    <x v="4"/>
    <x v="2"/>
  </r>
  <r>
    <x v="668"/>
    <x v="15"/>
    <x v="3"/>
    <n v="23.9"/>
    <x v="606"/>
    <x v="28"/>
    <d v="2025-01-30T00:00:00"/>
    <x v="2"/>
    <x v="4"/>
    <x v="1"/>
    <s v="California"/>
    <s v="Los Angeles County"/>
    <x v="3"/>
    <x v="4"/>
    <x v="2"/>
  </r>
  <r>
    <x v="669"/>
    <x v="0"/>
    <x v="0"/>
    <n v="34.1"/>
    <x v="607"/>
    <x v="28"/>
    <d v="2025-02-05T00:00:00"/>
    <x v="2"/>
    <x v="2"/>
    <x v="0"/>
    <s v="California"/>
    <s v="Los Angeles County"/>
    <x v="6"/>
    <x v="4"/>
    <x v="2"/>
  </r>
  <r>
    <x v="670"/>
    <x v="12"/>
    <x v="12"/>
    <n v="38.5"/>
    <x v="608"/>
    <x v="28"/>
    <d v="2025-02-09T00:00:00"/>
    <x v="2"/>
    <x v="0"/>
    <x v="0"/>
    <s v="California"/>
    <s v="Los Angeles County"/>
    <x v="11"/>
    <x v="4"/>
    <x v="2"/>
  </r>
  <r>
    <x v="671"/>
    <x v="7"/>
    <x v="1"/>
    <n v="105"/>
    <x v="609"/>
    <x v="28"/>
    <d v="2025-02-04T00:00:00"/>
    <x v="2"/>
    <x v="0"/>
    <x v="2"/>
    <s v="California"/>
    <s v="Los Angeles County"/>
    <x v="4"/>
    <x v="4"/>
    <x v="2"/>
  </r>
  <r>
    <x v="672"/>
    <x v="8"/>
    <x v="9"/>
    <n v="45.2"/>
    <x v="326"/>
    <x v="28"/>
    <d v="2025-01-31T00:00:00"/>
    <x v="2"/>
    <x v="0"/>
    <x v="2"/>
    <s v="California"/>
    <s v="Los Angeles County"/>
    <x v="1"/>
    <x v="4"/>
    <x v="2"/>
  </r>
  <r>
    <x v="673"/>
    <x v="17"/>
    <x v="2"/>
    <n v="24.8"/>
    <x v="610"/>
    <x v="28"/>
    <d v="2025-01-29T00:00:00"/>
    <x v="0"/>
    <x v="0"/>
    <x v="1"/>
    <s v="California"/>
    <s v="Los Angeles County"/>
    <x v="7"/>
    <x v="4"/>
    <x v="0"/>
  </r>
  <r>
    <x v="674"/>
    <x v="11"/>
    <x v="12"/>
    <n v="43.8"/>
    <x v="122"/>
    <x v="28"/>
    <d v="2025-02-05T00:00:00"/>
    <x v="2"/>
    <x v="1"/>
    <x v="2"/>
    <s v="California"/>
    <s v="Sacramento County"/>
    <x v="6"/>
    <x v="4"/>
    <x v="2"/>
  </r>
  <r>
    <x v="675"/>
    <x v="1"/>
    <x v="0"/>
    <n v="75"/>
    <x v="611"/>
    <x v="28"/>
    <d v="2025-01-31T00:00:00"/>
    <x v="2"/>
    <x v="4"/>
    <x v="1"/>
    <s v="California"/>
    <s v="Sacramento County"/>
    <x v="1"/>
    <x v="4"/>
    <x v="2"/>
  </r>
  <r>
    <x v="676"/>
    <x v="2"/>
    <x v="0"/>
    <n v="169.9"/>
    <x v="612"/>
    <x v="28"/>
    <d v="2025-01-30T00:00:00"/>
    <x v="1"/>
    <x v="2"/>
    <x v="0"/>
    <s v="California"/>
    <s v="Sacramento County"/>
    <x v="3"/>
    <x v="4"/>
    <x v="1"/>
  </r>
  <r>
    <x v="677"/>
    <x v="9"/>
    <x v="1"/>
    <n v="72.2"/>
    <x v="613"/>
    <x v="28"/>
    <d v="2025-01-31T00:00:00"/>
    <x v="2"/>
    <x v="4"/>
    <x v="1"/>
    <s v="California"/>
    <s v="Sacramento County"/>
    <x v="1"/>
    <x v="4"/>
    <x v="2"/>
  </r>
  <r>
    <x v="678"/>
    <x v="0"/>
    <x v="0"/>
    <n v="20"/>
    <x v="614"/>
    <x v="29"/>
    <d v="2025-02-02T00:00:00"/>
    <x v="2"/>
    <x v="2"/>
    <x v="1"/>
    <s v="California"/>
    <s v="San Bernardino County"/>
    <x v="2"/>
    <x v="4"/>
    <x v="2"/>
  </r>
  <r>
    <x v="679"/>
    <x v="9"/>
    <x v="1"/>
    <n v="40.799999999999997"/>
    <x v="330"/>
    <x v="29"/>
    <d v="2025-02-01T00:00:00"/>
    <x v="2"/>
    <x v="3"/>
    <x v="2"/>
    <s v="California"/>
    <s v="San Diego County"/>
    <x v="1"/>
    <x v="4"/>
    <x v="2"/>
  </r>
  <r>
    <x v="680"/>
    <x v="10"/>
    <x v="12"/>
    <n v="58"/>
    <x v="615"/>
    <x v="29"/>
    <d v="2025-02-03T00:00:00"/>
    <x v="2"/>
    <x v="0"/>
    <x v="0"/>
    <s v="California"/>
    <s v="San Diego County"/>
    <x v="5"/>
    <x v="4"/>
    <x v="2"/>
  </r>
  <r>
    <x v="681"/>
    <x v="12"/>
    <x v="1"/>
    <n v="43.1"/>
    <x v="616"/>
    <x v="29"/>
    <d v="2025-01-31T00:00:00"/>
    <x v="2"/>
    <x v="1"/>
    <x v="2"/>
    <s v="California"/>
    <s v="San Diego County"/>
    <x v="3"/>
    <x v="4"/>
    <x v="2"/>
  </r>
  <r>
    <x v="682"/>
    <x v="6"/>
    <x v="11"/>
    <n v="74.7"/>
    <x v="617"/>
    <x v="29"/>
    <d v="2025-02-01T00:00:00"/>
    <x v="1"/>
    <x v="0"/>
    <x v="2"/>
    <s v="California"/>
    <s v="San Diego County"/>
    <x v="1"/>
    <x v="4"/>
    <x v="1"/>
  </r>
  <r>
    <x v="683"/>
    <x v="6"/>
    <x v="0"/>
    <n v="128.19999999999999"/>
    <x v="618"/>
    <x v="29"/>
    <d v="2025-01-30T00:00:00"/>
    <x v="1"/>
    <x v="1"/>
    <x v="0"/>
    <s v="California"/>
    <s v="San Diego County"/>
    <x v="7"/>
    <x v="4"/>
    <x v="1"/>
  </r>
  <r>
    <x v="684"/>
    <x v="14"/>
    <x v="12"/>
    <n v="26.7"/>
    <x v="619"/>
    <x v="29"/>
    <d v="2025-01-31T00:00:00"/>
    <x v="1"/>
    <x v="1"/>
    <x v="0"/>
    <s v="California"/>
    <s v="San Diego County"/>
    <x v="3"/>
    <x v="4"/>
    <x v="1"/>
  </r>
  <r>
    <x v="685"/>
    <x v="17"/>
    <x v="13"/>
    <n v="31.5"/>
    <x v="620"/>
    <x v="29"/>
    <d v="2025-01-31T00:00:00"/>
    <x v="2"/>
    <x v="2"/>
    <x v="0"/>
    <s v="California"/>
    <s v="San Francisco"/>
    <x v="3"/>
    <x v="4"/>
    <x v="2"/>
  </r>
  <r>
    <x v="686"/>
    <x v="3"/>
    <x v="3"/>
    <n v="64.7"/>
    <x v="621"/>
    <x v="29"/>
    <d v="2025-01-31T00:00:00"/>
    <x v="2"/>
    <x v="0"/>
    <x v="2"/>
    <s v="California"/>
    <s v="San Mateo County"/>
    <x v="3"/>
    <x v="4"/>
    <x v="2"/>
  </r>
  <r>
    <x v="687"/>
    <x v="5"/>
    <x v="1"/>
    <n v="55.6"/>
    <x v="622"/>
    <x v="29"/>
    <d v="2025-02-02T00:00:00"/>
    <x v="2"/>
    <x v="3"/>
    <x v="0"/>
    <s v="California"/>
    <s v="Santa Clara County"/>
    <x v="2"/>
    <x v="4"/>
    <x v="2"/>
  </r>
  <r>
    <x v="688"/>
    <x v="3"/>
    <x v="1"/>
    <n v="36.200000000000003"/>
    <x v="623"/>
    <x v="29"/>
    <d v="2025-01-31T00:00:00"/>
    <x v="2"/>
    <x v="3"/>
    <x v="0"/>
    <s v="California"/>
    <s v="Santa Clara County"/>
    <x v="3"/>
    <x v="4"/>
    <x v="2"/>
  </r>
  <r>
    <x v="689"/>
    <x v="0"/>
    <x v="0"/>
    <n v="26.6"/>
    <x v="534"/>
    <x v="29"/>
    <d v="2025-01-31T00:00:00"/>
    <x v="0"/>
    <x v="1"/>
    <x v="1"/>
    <s v="California"/>
    <s v="Stanislaus County"/>
    <x v="3"/>
    <x v="4"/>
    <x v="0"/>
  </r>
  <r>
    <x v="690"/>
    <x v="10"/>
    <x v="12"/>
    <n v="31.5"/>
    <x v="624"/>
    <x v="29"/>
    <d v="2025-02-01T00:00:00"/>
    <x v="1"/>
    <x v="0"/>
    <x v="0"/>
    <s v="California"/>
    <s v="Sutter County"/>
    <x v="1"/>
    <x v="4"/>
    <x v="1"/>
  </r>
  <r>
    <x v="691"/>
    <x v="10"/>
    <x v="0"/>
    <n v="27"/>
    <x v="49"/>
    <x v="29"/>
    <d v="2025-02-01T00:00:00"/>
    <x v="2"/>
    <x v="1"/>
    <x v="2"/>
    <s v="California"/>
    <s v="Ventura County"/>
    <x v="1"/>
    <x v="4"/>
    <x v="2"/>
  </r>
  <r>
    <x v="692"/>
    <x v="4"/>
    <x v="0"/>
    <n v="32"/>
    <x v="109"/>
    <x v="29"/>
    <d v="2025-02-02T00:00:00"/>
    <x v="1"/>
    <x v="3"/>
    <x v="0"/>
    <s v="California"/>
    <s v="Alameda County"/>
    <x v="2"/>
    <x v="4"/>
    <x v="1"/>
  </r>
  <r>
    <x v="693"/>
    <x v="1"/>
    <x v="2"/>
    <n v="48.1"/>
    <x v="625"/>
    <x v="29"/>
    <d v="2025-02-01T00:00:00"/>
    <x v="1"/>
    <x v="2"/>
    <x v="1"/>
    <s v="California"/>
    <s v="Contra Costa County"/>
    <x v="1"/>
    <x v="4"/>
    <x v="1"/>
  </r>
  <r>
    <x v="694"/>
    <x v="9"/>
    <x v="1"/>
    <n v="43.4"/>
    <x v="626"/>
    <x v="29"/>
    <d v="2025-01-31T00:00:00"/>
    <x v="1"/>
    <x v="1"/>
    <x v="1"/>
    <s v="California"/>
    <s v="Kern County"/>
    <x v="3"/>
    <x v="4"/>
    <x v="1"/>
  </r>
  <r>
    <x v="695"/>
    <x v="6"/>
    <x v="1"/>
    <n v="42.6"/>
    <x v="464"/>
    <x v="29"/>
    <d v="2025-02-02T00:00:00"/>
    <x v="2"/>
    <x v="3"/>
    <x v="0"/>
    <s v="California"/>
    <s v="Kern County"/>
    <x v="2"/>
    <x v="4"/>
    <x v="2"/>
  </r>
  <r>
    <x v="696"/>
    <x v="8"/>
    <x v="1"/>
    <n v="15.9"/>
    <x v="627"/>
    <x v="29"/>
    <d v="2025-01-31T00:00:00"/>
    <x v="2"/>
    <x v="0"/>
    <x v="0"/>
    <s v="California"/>
    <s v="Kings County"/>
    <x v="3"/>
    <x v="4"/>
    <x v="2"/>
  </r>
  <r>
    <x v="697"/>
    <x v="9"/>
    <x v="1"/>
    <n v="63.2"/>
    <x v="628"/>
    <x v="29"/>
    <d v="2025-01-31T00:00:00"/>
    <x v="1"/>
    <x v="1"/>
    <x v="0"/>
    <s v="California"/>
    <s v="Los Angeles County"/>
    <x v="3"/>
    <x v="4"/>
    <x v="1"/>
  </r>
  <r>
    <x v="698"/>
    <x v="7"/>
    <x v="12"/>
    <n v="64.8"/>
    <x v="629"/>
    <x v="29"/>
    <d v="2025-02-01T00:00:00"/>
    <x v="0"/>
    <x v="4"/>
    <x v="1"/>
    <s v="California"/>
    <s v="Los Angeles County"/>
    <x v="1"/>
    <x v="4"/>
    <x v="0"/>
  </r>
  <r>
    <x v="699"/>
    <x v="7"/>
    <x v="2"/>
    <n v="79.8"/>
    <x v="342"/>
    <x v="29"/>
    <d v="2025-01-31T00:00:00"/>
    <x v="1"/>
    <x v="0"/>
    <x v="0"/>
    <s v="California"/>
    <s v="Los Angeles County"/>
    <x v="3"/>
    <x v="4"/>
    <x v="1"/>
  </r>
  <r>
    <x v="700"/>
    <x v="9"/>
    <x v="0"/>
    <n v="54.4"/>
    <x v="630"/>
    <x v="29"/>
    <d v="2025-02-01T00:00:00"/>
    <x v="2"/>
    <x v="4"/>
    <x v="2"/>
    <s v="California"/>
    <s v="Los Angeles County"/>
    <x v="1"/>
    <x v="4"/>
    <x v="2"/>
  </r>
  <r>
    <x v="701"/>
    <x v="6"/>
    <x v="0"/>
    <n v="87.3"/>
    <x v="631"/>
    <x v="29"/>
    <d v="2025-01-31T00:00:00"/>
    <x v="1"/>
    <x v="1"/>
    <x v="0"/>
    <s v="California"/>
    <s v="Los Angeles County"/>
    <x v="3"/>
    <x v="4"/>
    <x v="1"/>
  </r>
  <r>
    <x v="702"/>
    <x v="8"/>
    <x v="12"/>
    <n v="32.4"/>
    <x v="632"/>
    <x v="29"/>
    <d v="2025-01-30T00:00:00"/>
    <x v="1"/>
    <x v="1"/>
    <x v="0"/>
    <s v="California"/>
    <s v="Los Angeles County"/>
    <x v="7"/>
    <x v="4"/>
    <x v="1"/>
  </r>
  <r>
    <x v="703"/>
    <x v="2"/>
    <x v="0"/>
    <n v="177.4"/>
    <x v="633"/>
    <x v="29"/>
    <d v="2025-02-03T00:00:00"/>
    <x v="1"/>
    <x v="0"/>
    <x v="2"/>
    <s v="California"/>
    <s v="Los Angeles County"/>
    <x v="5"/>
    <x v="4"/>
    <x v="1"/>
  </r>
  <r>
    <x v="704"/>
    <x v="7"/>
    <x v="1"/>
    <n v="70.099999999999994"/>
    <x v="634"/>
    <x v="29"/>
    <d v="2025-01-31T00:00:00"/>
    <x v="1"/>
    <x v="3"/>
    <x v="1"/>
    <s v="California"/>
    <s v="Los Angeles County"/>
    <x v="3"/>
    <x v="4"/>
    <x v="1"/>
  </r>
  <r>
    <x v="705"/>
    <x v="9"/>
    <x v="13"/>
    <n v="51.1"/>
    <x v="567"/>
    <x v="29"/>
    <d v="2025-01-31T00:00:00"/>
    <x v="2"/>
    <x v="0"/>
    <x v="0"/>
    <s v="California"/>
    <s v="Los Angeles County"/>
    <x v="3"/>
    <x v="4"/>
    <x v="2"/>
  </r>
  <r>
    <x v="706"/>
    <x v="2"/>
    <x v="9"/>
    <n v="79.900000000000006"/>
    <x v="635"/>
    <x v="29"/>
    <d v="2025-02-01T00:00:00"/>
    <x v="1"/>
    <x v="3"/>
    <x v="2"/>
    <s v="California"/>
    <s v="Merced County"/>
    <x v="1"/>
    <x v="4"/>
    <x v="1"/>
  </r>
  <r>
    <x v="707"/>
    <x v="6"/>
    <x v="0"/>
    <n v="57.6"/>
    <x v="636"/>
    <x v="30"/>
    <d v="2025-02-05T00:00:00"/>
    <x v="1"/>
    <x v="0"/>
    <x v="2"/>
    <s v="California"/>
    <s v="Monterey County"/>
    <x v="0"/>
    <x v="4"/>
    <x v="1"/>
  </r>
  <r>
    <x v="708"/>
    <x v="8"/>
    <x v="7"/>
    <n v="59.7"/>
    <x v="637"/>
    <x v="30"/>
    <d v="2025-02-04T00:00:00"/>
    <x v="1"/>
    <x v="2"/>
    <x v="0"/>
    <s v="California"/>
    <s v="Orange County"/>
    <x v="5"/>
    <x v="4"/>
    <x v="1"/>
  </r>
  <r>
    <x v="709"/>
    <x v="8"/>
    <x v="9"/>
    <n v="30"/>
    <x v="638"/>
    <x v="30"/>
    <d v="2025-02-02T00:00:00"/>
    <x v="1"/>
    <x v="1"/>
    <x v="0"/>
    <s v="California"/>
    <s v="Sacramento County"/>
    <x v="1"/>
    <x v="4"/>
    <x v="1"/>
  </r>
  <r>
    <x v="710"/>
    <x v="10"/>
    <x v="1"/>
    <n v="69.2"/>
    <x v="639"/>
    <x v="30"/>
    <d v="2025-02-02T00:00:00"/>
    <x v="0"/>
    <x v="2"/>
    <x v="1"/>
    <s v="California"/>
    <s v="Sacramento County"/>
    <x v="1"/>
    <x v="4"/>
    <x v="0"/>
  </r>
  <r>
    <x v="711"/>
    <x v="0"/>
    <x v="8"/>
    <n v="10.9"/>
    <x v="640"/>
    <x v="30"/>
    <d v="2025-02-01T00:00:00"/>
    <x v="2"/>
    <x v="0"/>
    <x v="2"/>
    <s v="California"/>
    <s v="Sacramento County"/>
    <x v="3"/>
    <x v="4"/>
    <x v="2"/>
  </r>
  <r>
    <x v="712"/>
    <x v="16"/>
    <x v="1"/>
    <n v="48.6"/>
    <x v="451"/>
    <x v="30"/>
    <d v="2025-02-04T00:00:00"/>
    <x v="1"/>
    <x v="1"/>
    <x v="2"/>
    <s v="California"/>
    <s v="Sacramento County"/>
    <x v="5"/>
    <x v="4"/>
    <x v="1"/>
  </r>
  <r>
    <x v="713"/>
    <x v="2"/>
    <x v="1"/>
    <n v="61.1"/>
    <x v="641"/>
    <x v="30"/>
    <d v="2025-02-03T00:00:00"/>
    <x v="2"/>
    <x v="1"/>
    <x v="2"/>
    <s v="California"/>
    <s v="San Bernardino County"/>
    <x v="2"/>
    <x v="4"/>
    <x v="2"/>
  </r>
  <r>
    <x v="714"/>
    <x v="8"/>
    <x v="1"/>
    <n v="23.2"/>
    <x v="434"/>
    <x v="30"/>
    <d v="2025-02-01T00:00:00"/>
    <x v="1"/>
    <x v="3"/>
    <x v="2"/>
    <s v="California"/>
    <s v="San Diego County"/>
    <x v="3"/>
    <x v="4"/>
    <x v="1"/>
  </r>
  <r>
    <x v="715"/>
    <x v="12"/>
    <x v="12"/>
    <n v="55.8"/>
    <x v="642"/>
    <x v="30"/>
    <d v="2025-02-01T00:00:00"/>
    <x v="1"/>
    <x v="0"/>
    <x v="0"/>
    <s v="California"/>
    <s v="San Diego County"/>
    <x v="3"/>
    <x v="4"/>
    <x v="1"/>
  </r>
  <r>
    <x v="716"/>
    <x v="9"/>
    <x v="12"/>
    <n v="24.8"/>
    <x v="643"/>
    <x v="30"/>
    <d v="2025-02-01T00:00:00"/>
    <x v="2"/>
    <x v="0"/>
    <x v="2"/>
    <s v="California"/>
    <s v="San Diego County"/>
    <x v="3"/>
    <x v="4"/>
    <x v="2"/>
  </r>
  <r>
    <x v="717"/>
    <x v="10"/>
    <x v="1"/>
    <n v="27.9"/>
    <x v="391"/>
    <x v="30"/>
    <d v="2025-01-31T00:00:00"/>
    <x v="1"/>
    <x v="2"/>
    <x v="2"/>
    <s v="California"/>
    <s v="San Diego County"/>
    <x v="7"/>
    <x v="4"/>
    <x v="1"/>
  </r>
  <r>
    <x v="718"/>
    <x v="10"/>
    <x v="13"/>
    <n v="51.1"/>
    <x v="567"/>
    <x v="30"/>
    <d v="2025-01-31T00:00:00"/>
    <x v="2"/>
    <x v="3"/>
    <x v="0"/>
    <s v="California"/>
    <s v="San Diego County"/>
    <x v="7"/>
    <x v="4"/>
    <x v="2"/>
  </r>
  <r>
    <x v="719"/>
    <x v="17"/>
    <x v="5"/>
    <n v="32.700000000000003"/>
    <x v="644"/>
    <x v="30"/>
    <d v="2025-02-01T00:00:00"/>
    <x v="1"/>
    <x v="4"/>
    <x v="2"/>
    <s v="California"/>
    <s v="San Francisco"/>
    <x v="3"/>
    <x v="4"/>
    <x v="1"/>
  </r>
  <r>
    <x v="720"/>
    <x v="8"/>
    <x v="12"/>
    <n v="22.5"/>
    <x v="645"/>
    <x v="30"/>
    <d v="2025-01-31T00:00:00"/>
    <x v="1"/>
    <x v="0"/>
    <x v="2"/>
    <s v="California"/>
    <s v="San Joaquin County"/>
    <x v="7"/>
    <x v="4"/>
    <x v="1"/>
  </r>
  <r>
    <x v="721"/>
    <x v="0"/>
    <x v="3"/>
    <n v="14.6"/>
    <x v="646"/>
    <x v="30"/>
    <d v="2025-02-01T00:00:00"/>
    <x v="2"/>
    <x v="2"/>
    <x v="0"/>
    <s v="California"/>
    <s v="San Luis Obispo County"/>
    <x v="3"/>
    <x v="4"/>
    <x v="2"/>
  </r>
  <r>
    <x v="722"/>
    <x v="5"/>
    <x v="2"/>
    <n v="32.5"/>
    <x v="647"/>
    <x v="30"/>
    <d v="2025-02-03T00:00:00"/>
    <x v="1"/>
    <x v="0"/>
    <x v="0"/>
    <s v="California"/>
    <s v="Santa Barbara County"/>
    <x v="2"/>
    <x v="4"/>
    <x v="1"/>
  </r>
  <r>
    <x v="723"/>
    <x v="18"/>
    <x v="0"/>
    <n v="78.099999999999994"/>
    <x v="648"/>
    <x v="30"/>
    <d v="2025-02-03T00:00:00"/>
    <x v="1"/>
    <x v="0"/>
    <x v="2"/>
    <s v="California"/>
    <s v="Santa Clara County"/>
    <x v="2"/>
    <x v="4"/>
    <x v="1"/>
  </r>
  <r>
    <x v="724"/>
    <x v="12"/>
    <x v="13"/>
    <n v="110.2"/>
    <x v="649"/>
    <x v="30"/>
    <d v="2025-01-31T00:00:00"/>
    <x v="1"/>
    <x v="1"/>
    <x v="4"/>
    <s v="California"/>
    <s v="Ventura County"/>
    <x v="7"/>
    <x v="4"/>
    <x v="1"/>
  </r>
  <r>
    <x v="725"/>
    <x v="6"/>
    <x v="2"/>
    <n v="86.3"/>
    <x v="650"/>
    <x v="30"/>
    <d v="2025-02-02T00:00:00"/>
    <x v="2"/>
    <x v="3"/>
    <x v="0"/>
    <s v="California"/>
    <s v="Alameda County"/>
    <x v="1"/>
    <x v="4"/>
    <x v="2"/>
  </r>
  <r>
    <x v="726"/>
    <x v="1"/>
    <x v="13"/>
    <n v="73.599999999999994"/>
    <x v="651"/>
    <x v="30"/>
    <d v="2025-02-02T00:00:00"/>
    <x v="3"/>
    <x v="3"/>
    <x v="4"/>
    <s v="California"/>
    <s v="Humboldt County"/>
    <x v="1"/>
    <x v="4"/>
    <x v="3"/>
  </r>
  <r>
    <x v="727"/>
    <x v="6"/>
    <x v="15"/>
    <n v="67.7"/>
    <x v="652"/>
    <x v="30"/>
    <d v="2025-02-02T00:00:00"/>
    <x v="2"/>
    <x v="0"/>
    <x v="2"/>
    <s v="California"/>
    <s v="Los Angeles County"/>
    <x v="1"/>
    <x v="4"/>
    <x v="2"/>
  </r>
  <r>
    <x v="728"/>
    <x v="7"/>
    <x v="13"/>
    <n v="142.19999999999999"/>
    <x v="653"/>
    <x v="30"/>
    <d v="2025-02-01T00:00:00"/>
    <x v="2"/>
    <x v="2"/>
    <x v="4"/>
    <s v="California"/>
    <s v="Los Angeles County"/>
    <x v="3"/>
    <x v="4"/>
    <x v="2"/>
  </r>
  <r>
    <x v="729"/>
    <x v="1"/>
    <x v="11"/>
    <n v="45.8"/>
    <x v="654"/>
    <x v="30"/>
    <d v="2025-02-02T00:00:00"/>
    <x v="2"/>
    <x v="1"/>
    <x v="2"/>
    <s v="California"/>
    <s v="Los Angeles County"/>
    <x v="1"/>
    <x v="4"/>
    <x v="2"/>
  </r>
  <r>
    <x v="730"/>
    <x v="10"/>
    <x v="1"/>
    <n v="24.2"/>
    <x v="655"/>
    <x v="31"/>
    <d v="2025-02-04T00:00:00"/>
    <x v="2"/>
    <x v="3"/>
    <x v="2"/>
    <s v="California"/>
    <s v="Los Angeles County"/>
    <x v="2"/>
    <x v="4"/>
    <x v="2"/>
  </r>
  <r>
    <x v="731"/>
    <x v="2"/>
    <x v="2"/>
    <n v="144.9"/>
    <x v="656"/>
    <x v="31"/>
    <d v="2025-02-02T00:00:00"/>
    <x v="3"/>
    <x v="2"/>
    <x v="2"/>
    <s v="California"/>
    <s v="Los Angeles County"/>
    <x v="3"/>
    <x v="4"/>
    <x v="3"/>
  </r>
  <r>
    <x v="732"/>
    <x v="11"/>
    <x v="9"/>
    <n v="32.799999999999997"/>
    <x v="657"/>
    <x v="31"/>
    <d v="2025-02-04T00:00:00"/>
    <x v="2"/>
    <x v="2"/>
    <x v="0"/>
    <s v="California"/>
    <s v="Riverside County"/>
    <x v="2"/>
    <x v="4"/>
    <x v="2"/>
  </r>
  <r>
    <x v="733"/>
    <x v="7"/>
    <x v="7"/>
    <n v="35.700000000000003"/>
    <x v="658"/>
    <x v="31"/>
    <d v="2025-02-01T00:00:00"/>
    <x v="2"/>
    <x v="0"/>
    <x v="1"/>
    <s v="California"/>
    <s v="Sacramento County"/>
    <x v="7"/>
    <x v="4"/>
    <x v="2"/>
  </r>
  <r>
    <x v="734"/>
    <x v="9"/>
    <x v="1"/>
    <n v="54.6"/>
    <x v="659"/>
    <x v="31"/>
    <d v="2025-02-02T00:00:00"/>
    <x v="2"/>
    <x v="2"/>
    <x v="0"/>
    <s v="California"/>
    <s v="Sacramento County"/>
    <x v="3"/>
    <x v="4"/>
    <x v="2"/>
  </r>
  <r>
    <x v="735"/>
    <x v="8"/>
    <x v="1"/>
    <n v="35.700000000000003"/>
    <x v="660"/>
    <x v="31"/>
    <d v="2025-02-04T00:00:00"/>
    <x v="0"/>
    <x v="0"/>
    <x v="1"/>
    <s v="California"/>
    <s v="Sacramento County"/>
    <x v="2"/>
    <x v="4"/>
    <x v="0"/>
  </r>
  <r>
    <x v="736"/>
    <x v="10"/>
    <x v="1"/>
    <n v="52.4"/>
    <x v="661"/>
    <x v="31"/>
    <d v="2025-02-01T00:00:00"/>
    <x v="2"/>
    <x v="0"/>
    <x v="3"/>
    <s v="California"/>
    <s v="Sacramento County"/>
    <x v="7"/>
    <x v="4"/>
    <x v="2"/>
  </r>
  <r>
    <x v="737"/>
    <x v="8"/>
    <x v="21"/>
    <n v="16.2"/>
    <x v="662"/>
    <x v="31"/>
    <d v="2025-02-02T00:00:00"/>
    <x v="0"/>
    <x v="0"/>
    <x v="1"/>
    <s v="California"/>
    <s v="San Diego County"/>
    <x v="3"/>
    <x v="4"/>
    <x v="0"/>
  </r>
  <r>
    <x v="738"/>
    <x v="6"/>
    <x v="35"/>
    <n v="42.8"/>
    <x v="663"/>
    <x v="31"/>
    <d v="2025-02-02T00:00:00"/>
    <x v="2"/>
    <x v="0"/>
    <x v="0"/>
    <s v="California"/>
    <s v="San Diego County"/>
    <x v="3"/>
    <x v="4"/>
    <x v="2"/>
  </r>
  <r>
    <x v="739"/>
    <x v="6"/>
    <x v="11"/>
    <n v="144.4"/>
    <x v="664"/>
    <x v="31"/>
    <d v="2025-02-04T00:00:00"/>
    <x v="2"/>
    <x v="4"/>
    <x v="0"/>
    <s v="California"/>
    <s v="San Diego County"/>
    <x v="2"/>
    <x v="4"/>
    <x v="2"/>
  </r>
  <r>
    <x v="740"/>
    <x v="3"/>
    <x v="34"/>
    <n v="30.6"/>
    <x v="665"/>
    <x v="31"/>
    <d v="2025-02-05T00:00:00"/>
    <x v="2"/>
    <x v="2"/>
    <x v="2"/>
    <s v="California"/>
    <s v="Santa Clara County"/>
    <x v="5"/>
    <x v="4"/>
    <x v="2"/>
  </r>
  <r>
    <x v="741"/>
    <x v="2"/>
    <x v="1"/>
    <n v="117.5"/>
    <x v="666"/>
    <x v="31"/>
    <d v="2025-02-02T00:00:00"/>
    <x v="1"/>
    <x v="0"/>
    <x v="0"/>
    <s v="California"/>
    <s v="Stanislaus County"/>
    <x v="3"/>
    <x v="4"/>
    <x v="1"/>
  </r>
  <r>
    <x v="742"/>
    <x v="6"/>
    <x v="1"/>
    <n v="105.7"/>
    <x v="667"/>
    <x v="31"/>
    <d v="2025-02-02T00:00:00"/>
    <x v="2"/>
    <x v="2"/>
    <x v="2"/>
    <s v="California"/>
    <s v="Alameda County"/>
    <x v="3"/>
    <x v="4"/>
    <x v="2"/>
  </r>
  <r>
    <x v="743"/>
    <x v="3"/>
    <x v="2"/>
    <n v="133.69999999999999"/>
    <x v="668"/>
    <x v="31"/>
    <d v="2025-02-02T00:00:00"/>
    <x v="0"/>
    <x v="4"/>
    <x v="2"/>
    <s v="California"/>
    <s v="Alameda County"/>
    <x v="3"/>
    <x v="4"/>
    <x v="0"/>
  </r>
  <r>
    <x v="744"/>
    <x v="4"/>
    <x v="9"/>
    <n v="46.8"/>
    <x v="540"/>
    <x v="32"/>
    <d v="2025-02-10T00:00:00"/>
    <x v="2"/>
    <x v="0"/>
    <x v="1"/>
    <s v="California"/>
    <s v="Alameda County"/>
    <x v="9"/>
    <x v="5"/>
    <x v="2"/>
  </r>
  <r>
    <x v="745"/>
    <x v="10"/>
    <x v="2"/>
    <n v="58.4"/>
    <x v="122"/>
    <x v="32"/>
    <d v="2025-02-04T00:00:00"/>
    <x v="2"/>
    <x v="0"/>
    <x v="0"/>
    <s v="California"/>
    <s v="Contra Costa County"/>
    <x v="1"/>
    <x v="5"/>
    <x v="2"/>
  </r>
  <r>
    <x v="746"/>
    <x v="6"/>
    <x v="11"/>
    <n v="65.099999999999994"/>
    <x v="669"/>
    <x v="32"/>
    <d v="2025-02-06T00:00:00"/>
    <x v="1"/>
    <x v="1"/>
    <x v="2"/>
    <s v="California"/>
    <s v="Kern County"/>
    <x v="5"/>
    <x v="5"/>
    <x v="1"/>
  </r>
  <r>
    <x v="747"/>
    <x v="8"/>
    <x v="0"/>
    <n v="18.600000000000001"/>
    <x v="670"/>
    <x v="32"/>
    <d v="2025-02-05T00:00:00"/>
    <x v="2"/>
    <x v="0"/>
    <x v="4"/>
    <s v="California"/>
    <s v="Kern County"/>
    <x v="2"/>
    <x v="5"/>
    <x v="2"/>
  </r>
  <r>
    <x v="748"/>
    <x v="1"/>
    <x v="5"/>
    <n v="92.3"/>
    <x v="671"/>
    <x v="32"/>
    <d v="2025-02-04T00:00:00"/>
    <x v="1"/>
    <x v="1"/>
    <x v="0"/>
    <s v="California"/>
    <s v="Los Angeles County"/>
    <x v="1"/>
    <x v="5"/>
    <x v="1"/>
  </r>
  <r>
    <x v="749"/>
    <x v="6"/>
    <x v="2"/>
    <n v="81.7"/>
    <x v="672"/>
    <x v="32"/>
    <d v="2025-02-03T00:00:00"/>
    <x v="0"/>
    <x v="4"/>
    <x v="4"/>
    <s v="California"/>
    <s v="Los Angeles County"/>
    <x v="3"/>
    <x v="5"/>
    <x v="0"/>
  </r>
  <r>
    <x v="750"/>
    <x v="8"/>
    <x v="1"/>
    <n v="40.9"/>
    <x v="673"/>
    <x v="32"/>
    <d v="2025-02-04T00:00:00"/>
    <x v="1"/>
    <x v="0"/>
    <x v="1"/>
    <s v="California"/>
    <s v="Los Angeles County"/>
    <x v="1"/>
    <x v="5"/>
    <x v="1"/>
  </r>
  <r>
    <x v="751"/>
    <x v="6"/>
    <x v="12"/>
    <n v="43.2"/>
    <x v="162"/>
    <x v="32"/>
    <d v="2025-02-08T00:00:00"/>
    <x v="2"/>
    <x v="0"/>
    <x v="1"/>
    <s v="California"/>
    <s v="Los Angeles County"/>
    <x v="4"/>
    <x v="5"/>
    <x v="2"/>
  </r>
  <r>
    <x v="752"/>
    <x v="8"/>
    <x v="5"/>
    <n v="25.8"/>
    <x v="674"/>
    <x v="32"/>
    <d v="2025-02-05T00:00:00"/>
    <x v="1"/>
    <x v="2"/>
    <x v="1"/>
    <s v="California"/>
    <s v="Los Angeles County"/>
    <x v="2"/>
    <x v="5"/>
    <x v="1"/>
  </r>
  <r>
    <x v="753"/>
    <x v="15"/>
    <x v="12"/>
    <n v="36.4"/>
    <x v="675"/>
    <x v="32"/>
    <d v="2025-02-03T00:00:00"/>
    <x v="1"/>
    <x v="0"/>
    <x v="0"/>
    <s v="California"/>
    <s v="Los Angeles County"/>
    <x v="3"/>
    <x v="5"/>
    <x v="1"/>
  </r>
  <r>
    <x v="754"/>
    <x v="10"/>
    <x v="0"/>
    <n v="59.1"/>
    <x v="676"/>
    <x v="32"/>
    <d v="2025-02-03T00:00:00"/>
    <x v="2"/>
    <x v="2"/>
    <x v="0"/>
    <s v="California"/>
    <s v="San Bernardino County"/>
    <x v="3"/>
    <x v="5"/>
    <x v="2"/>
  </r>
  <r>
    <x v="755"/>
    <x v="2"/>
    <x v="14"/>
    <n v="74.5"/>
    <x v="677"/>
    <x v="32"/>
    <d v="2025-02-04T00:00:00"/>
    <x v="1"/>
    <x v="4"/>
    <x v="0"/>
    <s v="California"/>
    <s v="Sonoma County"/>
    <x v="1"/>
    <x v="5"/>
    <x v="1"/>
  </r>
  <r>
    <x v="756"/>
    <x v="5"/>
    <x v="0"/>
    <n v="72.8"/>
    <x v="236"/>
    <x v="32"/>
    <d v="2025-02-03T00:00:00"/>
    <x v="2"/>
    <x v="0"/>
    <x v="1"/>
    <s v="California"/>
    <s v="Stanislaus County"/>
    <x v="3"/>
    <x v="5"/>
    <x v="2"/>
  </r>
  <r>
    <x v="757"/>
    <x v="6"/>
    <x v="12"/>
    <n v="137.30000000000001"/>
    <x v="678"/>
    <x v="32"/>
    <d v="2025-02-05T00:00:00"/>
    <x v="2"/>
    <x v="0"/>
    <x v="0"/>
    <s v="California"/>
    <s v="Ventura County"/>
    <x v="2"/>
    <x v="5"/>
    <x v="2"/>
  </r>
  <r>
    <x v="758"/>
    <x v="1"/>
    <x v="2"/>
    <n v="48.7"/>
    <x v="599"/>
    <x v="32"/>
    <d v="2025-02-07T00:00:00"/>
    <x v="2"/>
    <x v="0"/>
    <x v="1"/>
    <s v="California"/>
    <s v="Alameda County"/>
    <x v="0"/>
    <x v="5"/>
    <x v="2"/>
  </r>
  <r>
    <x v="759"/>
    <x v="6"/>
    <x v="12"/>
    <n v="53.7"/>
    <x v="679"/>
    <x v="32"/>
    <d v="2025-02-06T00:00:00"/>
    <x v="1"/>
    <x v="1"/>
    <x v="4"/>
    <s v="California"/>
    <s v="Fresno County"/>
    <x v="5"/>
    <x v="5"/>
    <x v="1"/>
  </r>
  <r>
    <x v="760"/>
    <x v="2"/>
    <x v="3"/>
    <n v="100.9"/>
    <x v="680"/>
    <x v="32"/>
    <d v="2025-02-04T00:00:00"/>
    <x v="2"/>
    <x v="0"/>
    <x v="1"/>
    <s v="California"/>
    <s v="Fresno County"/>
    <x v="1"/>
    <x v="5"/>
    <x v="2"/>
  </r>
  <r>
    <x v="761"/>
    <x v="10"/>
    <x v="1"/>
    <n v="41.8"/>
    <x v="681"/>
    <x v="32"/>
    <d v="2025-02-06T00:00:00"/>
    <x v="1"/>
    <x v="3"/>
    <x v="2"/>
    <s v="California"/>
    <s v="Kern County"/>
    <x v="5"/>
    <x v="5"/>
    <x v="1"/>
  </r>
  <r>
    <x v="762"/>
    <x v="4"/>
    <x v="8"/>
    <n v="28.5"/>
    <x v="416"/>
    <x v="32"/>
    <d v="2025-02-04T00:00:00"/>
    <x v="1"/>
    <x v="2"/>
    <x v="1"/>
    <s v="California"/>
    <s v="Los Angeles County"/>
    <x v="1"/>
    <x v="5"/>
    <x v="1"/>
  </r>
  <r>
    <x v="763"/>
    <x v="7"/>
    <x v="12"/>
    <n v="88.9"/>
    <x v="682"/>
    <x v="32"/>
    <d v="2025-02-05T00:00:00"/>
    <x v="2"/>
    <x v="0"/>
    <x v="2"/>
    <s v="California"/>
    <s v="Los Angeles County"/>
    <x v="2"/>
    <x v="5"/>
    <x v="2"/>
  </r>
  <r>
    <x v="764"/>
    <x v="6"/>
    <x v="0"/>
    <n v="62.5"/>
    <x v="683"/>
    <x v="32"/>
    <d v="2025-02-11T00:00:00"/>
    <x v="2"/>
    <x v="0"/>
    <x v="2"/>
    <s v="California"/>
    <s v="Los Angeles County"/>
    <x v="8"/>
    <x v="5"/>
    <x v="2"/>
  </r>
  <r>
    <x v="765"/>
    <x v="1"/>
    <x v="2"/>
    <n v="46.9"/>
    <x v="684"/>
    <x v="32"/>
    <d v="2025-02-03T00:00:00"/>
    <x v="1"/>
    <x v="0"/>
    <x v="2"/>
    <s v="California"/>
    <s v="Los Angeles County"/>
    <x v="3"/>
    <x v="5"/>
    <x v="1"/>
  </r>
  <r>
    <x v="766"/>
    <x v="8"/>
    <x v="2"/>
    <n v="45"/>
    <x v="340"/>
    <x v="32"/>
    <d v="2025-02-16T00:00:00"/>
    <x v="1"/>
    <x v="1"/>
    <x v="0"/>
    <s v="California"/>
    <s v="Los Angeles County"/>
    <x v="12"/>
    <x v="5"/>
    <x v="1"/>
  </r>
  <r>
    <x v="767"/>
    <x v="6"/>
    <x v="2"/>
    <n v="45.2"/>
    <x v="685"/>
    <x v="32"/>
    <d v="2025-02-04T00:00:00"/>
    <x v="1"/>
    <x v="4"/>
    <x v="2"/>
    <s v="California"/>
    <s v="Los Angeles County"/>
    <x v="1"/>
    <x v="5"/>
    <x v="1"/>
  </r>
  <r>
    <x v="768"/>
    <x v="4"/>
    <x v="1"/>
    <n v="60.1"/>
    <x v="493"/>
    <x v="32"/>
    <d v="2025-02-03T00:00:00"/>
    <x v="2"/>
    <x v="0"/>
    <x v="2"/>
    <s v="California"/>
    <s v="Los Angeles County"/>
    <x v="3"/>
    <x v="5"/>
    <x v="2"/>
  </r>
  <r>
    <x v="769"/>
    <x v="12"/>
    <x v="12"/>
    <n v="118.7"/>
    <x v="686"/>
    <x v="32"/>
    <d v="2025-02-04T00:00:00"/>
    <x v="2"/>
    <x v="0"/>
    <x v="0"/>
    <s v="California"/>
    <s v="Los Angeles County"/>
    <x v="1"/>
    <x v="5"/>
    <x v="2"/>
  </r>
  <r>
    <x v="770"/>
    <x v="9"/>
    <x v="0"/>
    <n v="57.8"/>
    <x v="687"/>
    <x v="32"/>
    <d v="2025-02-11T00:00:00"/>
    <x v="2"/>
    <x v="1"/>
    <x v="0"/>
    <s v="California"/>
    <s v="Los Angeles County"/>
    <x v="8"/>
    <x v="5"/>
    <x v="2"/>
  </r>
  <r>
    <x v="771"/>
    <x v="4"/>
    <x v="0"/>
    <n v="19.5"/>
    <x v="688"/>
    <x v="32"/>
    <d v="2025-02-03T00:00:00"/>
    <x v="1"/>
    <x v="1"/>
    <x v="1"/>
    <s v="California"/>
    <s v="Los Angeles County"/>
    <x v="3"/>
    <x v="5"/>
    <x v="1"/>
  </r>
  <r>
    <x v="772"/>
    <x v="12"/>
    <x v="0"/>
    <n v="42.6"/>
    <x v="440"/>
    <x v="32"/>
    <d v="2025-02-03T00:00:00"/>
    <x v="1"/>
    <x v="0"/>
    <x v="1"/>
    <s v="California"/>
    <s v="Los Angeles County"/>
    <x v="3"/>
    <x v="5"/>
    <x v="1"/>
  </r>
  <r>
    <x v="773"/>
    <x v="6"/>
    <x v="1"/>
    <n v="74.8"/>
    <x v="689"/>
    <x v="32"/>
    <d v="2025-02-03T00:00:00"/>
    <x v="2"/>
    <x v="3"/>
    <x v="2"/>
    <s v="California"/>
    <s v="Madera County"/>
    <x v="3"/>
    <x v="5"/>
    <x v="2"/>
  </r>
  <r>
    <x v="774"/>
    <x v="8"/>
    <x v="2"/>
    <n v="32.5"/>
    <x v="647"/>
    <x v="32"/>
    <d v="2025-02-03T00:00:00"/>
    <x v="1"/>
    <x v="2"/>
    <x v="4"/>
    <s v="California"/>
    <s v="Napa County"/>
    <x v="3"/>
    <x v="5"/>
    <x v="1"/>
  </r>
  <r>
    <x v="775"/>
    <x v="2"/>
    <x v="2"/>
    <n v="60.5"/>
    <x v="690"/>
    <x v="32"/>
    <d v="2025-02-02T00:00:00"/>
    <x v="2"/>
    <x v="1"/>
    <x v="2"/>
    <s v="California"/>
    <s v="Orange County"/>
    <x v="7"/>
    <x v="5"/>
    <x v="2"/>
  </r>
  <r>
    <x v="776"/>
    <x v="1"/>
    <x v="3"/>
    <n v="57.2"/>
    <x v="691"/>
    <x v="32"/>
    <d v="2025-02-04T00:00:00"/>
    <x v="0"/>
    <x v="2"/>
    <x v="0"/>
    <s v="California"/>
    <s v="Orange County"/>
    <x v="1"/>
    <x v="5"/>
    <x v="0"/>
  </r>
  <r>
    <x v="777"/>
    <x v="16"/>
    <x v="1"/>
    <n v="112"/>
    <x v="692"/>
    <x v="32"/>
    <d v="2025-02-03T00:00:00"/>
    <x v="2"/>
    <x v="1"/>
    <x v="1"/>
    <s v="California"/>
    <s v="Placer County"/>
    <x v="3"/>
    <x v="5"/>
    <x v="2"/>
  </r>
  <r>
    <x v="778"/>
    <x v="7"/>
    <x v="7"/>
    <n v="49"/>
    <x v="157"/>
    <x v="32"/>
    <d v="2025-02-03T00:00:00"/>
    <x v="3"/>
    <x v="2"/>
    <x v="1"/>
    <s v="California"/>
    <s v="Sacramento County"/>
    <x v="3"/>
    <x v="5"/>
    <x v="3"/>
  </r>
  <r>
    <x v="779"/>
    <x v="0"/>
    <x v="1"/>
    <n v="33.700000000000003"/>
    <x v="693"/>
    <x v="32"/>
    <d v="2025-02-06T00:00:00"/>
    <x v="2"/>
    <x v="3"/>
    <x v="0"/>
    <s v="California"/>
    <s v="Sacramento County"/>
    <x v="5"/>
    <x v="5"/>
    <x v="2"/>
  </r>
  <r>
    <x v="780"/>
    <x v="4"/>
    <x v="2"/>
    <n v="35.6"/>
    <x v="694"/>
    <x v="32"/>
    <d v="2025-02-05T00:00:00"/>
    <x v="2"/>
    <x v="0"/>
    <x v="2"/>
    <s v="California"/>
    <s v="Sacramento County"/>
    <x v="2"/>
    <x v="5"/>
    <x v="2"/>
  </r>
  <r>
    <x v="781"/>
    <x v="4"/>
    <x v="36"/>
    <n v="30.4"/>
    <x v="695"/>
    <x v="33"/>
    <d v="2025-02-03T00:00:00"/>
    <x v="2"/>
    <x v="0"/>
    <x v="1"/>
    <s v="California"/>
    <s v="San Bernardino County"/>
    <x v="7"/>
    <x v="5"/>
    <x v="2"/>
  </r>
  <r>
    <x v="782"/>
    <x v="10"/>
    <x v="4"/>
    <n v="50.2"/>
    <x v="696"/>
    <x v="33"/>
    <d v="2025-02-04T00:00:00"/>
    <x v="1"/>
    <x v="4"/>
    <x v="0"/>
    <s v="California"/>
    <s v="San Diego County"/>
    <x v="3"/>
    <x v="5"/>
    <x v="1"/>
  </r>
  <r>
    <x v="783"/>
    <x v="1"/>
    <x v="1"/>
    <n v="43.7"/>
    <x v="697"/>
    <x v="33"/>
    <d v="2025-02-05T00:00:00"/>
    <x v="2"/>
    <x v="0"/>
    <x v="0"/>
    <s v="California"/>
    <s v="San Diego County"/>
    <x v="1"/>
    <x v="5"/>
    <x v="2"/>
  </r>
  <r>
    <x v="784"/>
    <x v="10"/>
    <x v="0"/>
    <n v="33.299999999999997"/>
    <x v="698"/>
    <x v="33"/>
    <d v="2025-02-04T00:00:00"/>
    <x v="2"/>
    <x v="2"/>
    <x v="1"/>
    <s v="California"/>
    <s v="San Diego County"/>
    <x v="3"/>
    <x v="5"/>
    <x v="2"/>
  </r>
  <r>
    <x v="785"/>
    <x v="8"/>
    <x v="12"/>
    <n v="15.1"/>
    <x v="266"/>
    <x v="33"/>
    <d v="2025-02-05T00:00:00"/>
    <x v="2"/>
    <x v="4"/>
    <x v="2"/>
    <s v="California"/>
    <s v="San Diego County"/>
    <x v="1"/>
    <x v="5"/>
    <x v="2"/>
  </r>
  <r>
    <x v="786"/>
    <x v="6"/>
    <x v="9"/>
    <n v="118.2"/>
    <x v="699"/>
    <x v="33"/>
    <d v="2025-02-04T00:00:00"/>
    <x v="2"/>
    <x v="3"/>
    <x v="4"/>
    <s v="California"/>
    <s v="San Diego County"/>
    <x v="3"/>
    <x v="5"/>
    <x v="2"/>
  </r>
  <r>
    <x v="787"/>
    <x v="10"/>
    <x v="2"/>
    <n v="28.9"/>
    <x v="700"/>
    <x v="33"/>
    <d v="2025-02-05T00:00:00"/>
    <x v="2"/>
    <x v="2"/>
    <x v="1"/>
    <s v="California"/>
    <s v="San Diego County"/>
    <x v="1"/>
    <x v="5"/>
    <x v="2"/>
  </r>
  <r>
    <x v="788"/>
    <x v="4"/>
    <x v="2"/>
    <n v="55.6"/>
    <x v="701"/>
    <x v="33"/>
    <d v="2025-02-04T00:00:00"/>
    <x v="1"/>
    <x v="0"/>
    <x v="1"/>
    <s v="California"/>
    <s v="San Diego County"/>
    <x v="3"/>
    <x v="5"/>
    <x v="1"/>
  </r>
  <r>
    <x v="789"/>
    <x v="9"/>
    <x v="12"/>
    <n v="25.6"/>
    <x v="298"/>
    <x v="33"/>
    <d v="2025-02-05T00:00:00"/>
    <x v="2"/>
    <x v="0"/>
    <x v="1"/>
    <s v="California"/>
    <s v="San Diego County"/>
    <x v="1"/>
    <x v="5"/>
    <x v="2"/>
  </r>
  <r>
    <x v="790"/>
    <x v="7"/>
    <x v="2"/>
    <n v="31.3"/>
    <x v="442"/>
    <x v="33"/>
    <d v="2025-02-04T00:00:00"/>
    <x v="1"/>
    <x v="0"/>
    <x v="0"/>
    <s v="California"/>
    <s v="San Francisco"/>
    <x v="3"/>
    <x v="5"/>
    <x v="1"/>
  </r>
  <r>
    <x v="791"/>
    <x v="0"/>
    <x v="2"/>
    <n v="22.1"/>
    <x v="702"/>
    <x v="33"/>
    <d v="2025-02-07T00:00:00"/>
    <x v="1"/>
    <x v="0"/>
    <x v="0"/>
    <s v="California"/>
    <s v="San Francisco"/>
    <x v="5"/>
    <x v="5"/>
    <x v="1"/>
  </r>
  <r>
    <x v="792"/>
    <x v="2"/>
    <x v="21"/>
    <n v="99.4"/>
    <x v="703"/>
    <x v="33"/>
    <d v="2025-02-04T00:00:00"/>
    <x v="1"/>
    <x v="1"/>
    <x v="0"/>
    <s v="California"/>
    <s v="Santa Clara County"/>
    <x v="3"/>
    <x v="5"/>
    <x v="1"/>
  </r>
  <r>
    <x v="793"/>
    <x v="7"/>
    <x v="13"/>
    <n v="66.599999999999994"/>
    <x v="704"/>
    <x v="33"/>
    <d v="2025-02-04T00:00:00"/>
    <x v="2"/>
    <x v="0"/>
    <x v="0"/>
    <s v="California"/>
    <s v="Santa Clara County"/>
    <x v="3"/>
    <x v="5"/>
    <x v="2"/>
  </r>
  <r>
    <x v="794"/>
    <x v="8"/>
    <x v="1"/>
    <n v="22.6"/>
    <x v="705"/>
    <x v="33"/>
    <d v="2025-02-06T00:00:00"/>
    <x v="1"/>
    <x v="0"/>
    <x v="0"/>
    <s v="California"/>
    <s v="Santa Clara County"/>
    <x v="2"/>
    <x v="5"/>
    <x v="1"/>
  </r>
  <r>
    <x v="795"/>
    <x v="2"/>
    <x v="16"/>
    <n v="66.8"/>
    <x v="706"/>
    <x v="33"/>
    <d v="2025-02-04T00:00:00"/>
    <x v="2"/>
    <x v="0"/>
    <x v="4"/>
    <s v="California"/>
    <s v="Ventura County"/>
    <x v="3"/>
    <x v="5"/>
    <x v="2"/>
  </r>
  <r>
    <x v="796"/>
    <x v="0"/>
    <x v="12"/>
    <n v="20.8"/>
    <x v="707"/>
    <x v="33"/>
    <d v="2025-02-10T00:00:00"/>
    <x v="1"/>
    <x v="1"/>
    <x v="4"/>
    <s v="California"/>
    <s v="Contra Costa County"/>
    <x v="6"/>
    <x v="5"/>
    <x v="1"/>
  </r>
  <r>
    <x v="797"/>
    <x v="2"/>
    <x v="3"/>
    <n v="102.5"/>
    <x v="708"/>
    <x v="33"/>
    <d v="2025-02-04T00:00:00"/>
    <x v="2"/>
    <x v="4"/>
    <x v="2"/>
    <s v="California"/>
    <s v="Los Angeles County"/>
    <x v="3"/>
    <x v="5"/>
    <x v="2"/>
  </r>
  <r>
    <x v="798"/>
    <x v="0"/>
    <x v="16"/>
    <n v="24.8"/>
    <x v="709"/>
    <x v="33"/>
    <d v="2025-02-07T00:00:00"/>
    <x v="2"/>
    <x v="0"/>
    <x v="0"/>
    <s v="California"/>
    <s v="Los Angeles County"/>
    <x v="5"/>
    <x v="5"/>
    <x v="2"/>
  </r>
  <r>
    <x v="799"/>
    <x v="4"/>
    <x v="37"/>
    <n v="31.4"/>
    <x v="710"/>
    <x v="33"/>
    <d v="2025-02-04T00:00:00"/>
    <x v="2"/>
    <x v="3"/>
    <x v="0"/>
    <s v="California"/>
    <s v="Los Angeles County"/>
    <x v="3"/>
    <x v="5"/>
    <x v="2"/>
  </r>
  <r>
    <x v="800"/>
    <x v="9"/>
    <x v="9"/>
    <n v="59.3"/>
    <x v="711"/>
    <x v="33"/>
    <d v="2025-02-06T00:00:00"/>
    <x v="1"/>
    <x v="1"/>
    <x v="2"/>
    <s v="California"/>
    <s v="Marin County"/>
    <x v="2"/>
    <x v="5"/>
    <x v="1"/>
  </r>
  <r>
    <x v="801"/>
    <x v="11"/>
    <x v="13"/>
    <n v="39"/>
    <x v="540"/>
    <x v="33"/>
    <d v="2025-02-06T00:00:00"/>
    <x v="1"/>
    <x v="1"/>
    <x v="0"/>
    <s v="California"/>
    <s v="Sacramento County"/>
    <x v="2"/>
    <x v="5"/>
    <x v="1"/>
  </r>
  <r>
    <x v="802"/>
    <x v="5"/>
    <x v="13"/>
    <n v="98.6"/>
    <x v="712"/>
    <x v="33"/>
    <d v="2025-02-05T00:00:00"/>
    <x v="2"/>
    <x v="1"/>
    <x v="0"/>
    <s v="California"/>
    <s v="Sacramento County"/>
    <x v="1"/>
    <x v="5"/>
    <x v="2"/>
  </r>
  <r>
    <x v="803"/>
    <x v="8"/>
    <x v="0"/>
    <n v="20"/>
    <x v="614"/>
    <x v="34"/>
    <d v="2025-02-05T00:00:00"/>
    <x v="1"/>
    <x v="3"/>
    <x v="2"/>
    <s v="California"/>
    <s v="San Diego County"/>
    <x v="3"/>
    <x v="5"/>
    <x v="1"/>
  </r>
  <r>
    <x v="804"/>
    <x v="1"/>
    <x v="1"/>
    <n v="42.9"/>
    <x v="550"/>
    <x v="34"/>
    <d v="2025-02-06T00:00:00"/>
    <x v="2"/>
    <x v="0"/>
    <x v="2"/>
    <s v="California"/>
    <s v="San Diego County"/>
    <x v="1"/>
    <x v="5"/>
    <x v="2"/>
  </r>
  <r>
    <x v="805"/>
    <x v="7"/>
    <x v="3"/>
    <n v="55.6"/>
    <x v="713"/>
    <x v="34"/>
    <d v="2025-02-06T00:00:00"/>
    <x v="2"/>
    <x v="2"/>
    <x v="1"/>
    <s v="California"/>
    <s v="San Diego County"/>
    <x v="1"/>
    <x v="5"/>
    <x v="2"/>
  </r>
  <r>
    <x v="806"/>
    <x v="8"/>
    <x v="12"/>
    <n v="19.2"/>
    <x v="714"/>
    <x v="34"/>
    <d v="2025-02-09T00:00:00"/>
    <x v="2"/>
    <x v="0"/>
    <x v="0"/>
    <s v="California"/>
    <s v="San Luis Obispo County"/>
    <x v="0"/>
    <x v="5"/>
    <x v="2"/>
  </r>
  <r>
    <x v="807"/>
    <x v="5"/>
    <x v="1"/>
    <n v="28.8"/>
    <x v="636"/>
    <x v="34"/>
    <d v="2025-02-06T00:00:00"/>
    <x v="1"/>
    <x v="1"/>
    <x v="0"/>
    <s v="California"/>
    <s v="Sonoma County"/>
    <x v="1"/>
    <x v="5"/>
    <x v="1"/>
  </r>
  <r>
    <x v="808"/>
    <x v="4"/>
    <x v="0"/>
    <n v="29.7"/>
    <x v="47"/>
    <x v="34"/>
    <d v="2025-02-06T00:00:00"/>
    <x v="2"/>
    <x v="2"/>
    <x v="4"/>
    <s v="California"/>
    <s v="Tulare County"/>
    <x v="1"/>
    <x v="5"/>
    <x v="2"/>
  </r>
  <r>
    <x v="809"/>
    <x v="6"/>
    <x v="13"/>
    <n v="63.3"/>
    <x v="715"/>
    <x v="34"/>
    <d v="2025-02-05T00:00:00"/>
    <x v="0"/>
    <x v="0"/>
    <x v="2"/>
    <s v="California"/>
    <s v="Alameda County"/>
    <x v="3"/>
    <x v="5"/>
    <x v="0"/>
  </r>
  <r>
    <x v="810"/>
    <x v="4"/>
    <x v="0"/>
    <n v="46"/>
    <x v="716"/>
    <x v="34"/>
    <d v="2025-02-05T00:00:00"/>
    <x v="2"/>
    <x v="0"/>
    <x v="2"/>
    <s v="California"/>
    <s v="Alameda County"/>
    <x v="3"/>
    <x v="5"/>
    <x v="2"/>
  </r>
  <r>
    <x v="811"/>
    <x v="11"/>
    <x v="2"/>
    <n v="38"/>
    <x v="717"/>
    <x v="34"/>
    <d v="2025-02-06T00:00:00"/>
    <x v="2"/>
    <x v="1"/>
    <x v="2"/>
    <s v="California"/>
    <s v="Alameda County"/>
    <x v="1"/>
    <x v="5"/>
    <x v="2"/>
  </r>
  <r>
    <x v="812"/>
    <x v="10"/>
    <x v="15"/>
    <n v="34.6"/>
    <x v="327"/>
    <x v="34"/>
    <d v="2025-02-06T00:00:00"/>
    <x v="2"/>
    <x v="0"/>
    <x v="1"/>
    <s v="California"/>
    <s v="Alameda County"/>
    <x v="1"/>
    <x v="5"/>
    <x v="2"/>
  </r>
  <r>
    <x v="813"/>
    <x v="3"/>
    <x v="7"/>
    <n v="79.7"/>
    <x v="718"/>
    <x v="34"/>
    <d v="2025-02-05T00:00:00"/>
    <x v="2"/>
    <x v="4"/>
    <x v="1"/>
    <s v="California"/>
    <s v="Alameda County"/>
    <x v="3"/>
    <x v="5"/>
    <x v="2"/>
  </r>
  <r>
    <x v="814"/>
    <x v="8"/>
    <x v="8"/>
    <n v="30.5"/>
    <x v="719"/>
    <x v="34"/>
    <d v="2025-02-08T00:00:00"/>
    <x v="1"/>
    <x v="3"/>
    <x v="0"/>
    <s v="California"/>
    <s v="Contra Costa County"/>
    <x v="5"/>
    <x v="5"/>
    <x v="1"/>
  </r>
  <r>
    <x v="815"/>
    <x v="0"/>
    <x v="1"/>
    <n v="20.8"/>
    <x v="480"/>
    <x v="34"/>
    <d v="2025-02-05T00:00:00"/>
    <x v="2"/>
    <x v="0"/>
    <x v="0"/>
    <s v="California"/>
    <s v="Fresno County"/>
    <x v="3"/>
    <x v="5"/>
    <x v="2"/>
  </r>
  <r>
    <x v="816"/>
    <x v="11"/>
    <x v="3"/>
    <n v="48.5"/>
    <x v="720"/>
    <x v="34"/>
    <d v="2025-02-08T00:00:00"/>
    <x v="2"/>
    <x v="2"/>
    <x v="2"/>
    <s v="California"/>
    <s v="Fresno County"/>
    <x v="5"/>
    <x v="5"/>
    <x v="2"/>
  </r>
  <r>
    <x v="817"/>
    <x v="2"/>
    <x v="12"/>
    <n v="61.8"/>
    <x v="721"/>
    <x v="34"/>
    <d v="2025-02-08T00:00:00"/>
    <x v="2"/>
    <x v="4"/>
    <x v="0"/>
    <s v="California"/>
    <s v="Kern County"/>
    <x v="5"/>
    <x v="5"/>
    <x v="2"/>
  </r>
  <r>
    <x v="818"/>
    <x v="10"/>
    <x v="0"/>
    <n v="46.1"/>
    <x v="722"/>
    <x v="34"/>
    <d v="2025-02-05T00:00:00"/>
    <x v="3"/>
    <x v="2"/>
    <x v="0"/>
    <s v="California"/>
    <s v="Los Angeles County"/>
    <x v="3"/>
    <x v="5"/>
    <x v="3"/>
  </r>
  <r>
    <x v="819"/>
    <x v="4"/>
    <x v="13"/>
    <n v="44"/>
    <x v="723"/>
    <x v="34"/>
    <d v="2025-02-05T00:00:00"/>
    <x v="2"/>
    <x v="0"/>
    <x v="0"/>
    <s v="California"/>
    <s v="Los Angeles County"/>
    <x v="3"/>
    <x v="5"/>
    <x v="2"/>
  </r>
  <r>
    <x v="820"/>
    <x v="18"/>
    <x v="1"/>
    <n v="95.7"/>
    <x v="724"/>
    <x v="34"/>
    <d v="2025-02-10T00:00:00"/>
    <x v="2"/>
    <x v="3"/>
    <x v="2"/>
    <s v="California"/>
    <s v="Los Angeles County"/>
    <x v="4"/>
    <x v="5"/>
    <x v="2"/>
  </r>
  <r>
    <x v="821"/>
    <x v="7"/>
    <x v="9"/>
    <n v="46.4"/>
    <x v="615"/>
    <x v="34"/>
    <d v="2025-02-07T00:00:00"/>
    <x v="2"/>
    <x v="0"/>
    <x v="0"/>
    <s v="California"/>
    <s v="Los Angeles County"/>
    <x v="2"/>
    <x v="5"/>
    <x v="2"/>
  </r>
  <r>
    <x v="822"/>
    <x v="6"/>
    <x v="1"/>
    <n v="47.2"/>
    <x v="725"/>
    <x v="34"/>
    <d v="2025-02-06T00:00:00"/>
    <x v="2"/>
    <x v="0"/>
    <x v="2"/>
    <s v="California"/>
    <s v="Los Angeles County"/>
    <x v="1"/>
    <x v="5"/>
    <x v="2"/>
  </r>
  <r>
    <x v="823"/>
    <x v="7"/>
    <x v="1"/>
    <n v="58.6"/>
    <x v="726"/>
    <x v="34"/>
    <d v="2025-02-05T00:00:00"/>
    <x v="2"/>
    <x v="2"/>
    <x v="1"/>
    <s v="California"/>
    <s v="Los Angeles County"/>
    <x v="3"/>
    <x v="5"/>
    <x v="2"/>
  </r>
  <r>
    <x v="824"/>
    <x v="4"/>
    <x v="2"/>
    <n v="57"/>
    <x v="727"/>
    <x v="34"/>
    <d v="2025-02-05T00:00:00"/>
    <x v="1"/>
    <x v="0"/>
    <x v="2"/>
    <s v="California"/>
    <s v="Los Angeles County"/>
    <x v="3"/>
    <x v="5"/>
    <x v="1"/>
  </r>
  <r>
    <x v="825"/>
    <x v="8"/>
    <x v="12"/>
    <n v="28.9"/>
    <x v="446"/>
    <x v="34"/>
    <d v="2025-02-08T00:00:00"/>
    <x v="1"/>
    <x v="2"/>
    <x v="0"/>
    <s v="California"/>
    <s v="Los Angeles County"/>
    <x v="5"/>
    <x v="5"/>
    <x v="1"/>
  </r>
  <r>
    <x v="826"/>
    <x v="12"/>
    <x v="9"/>
    <n v="60.7"/>
    <x v="728"/>
    <x v="34"/>
    <d v="2025-02-08T00:00:00"/>
    <x v="0"/>
    <x v="1"/>
    <x v="1"/>
    <s v="California"/>
    <s v="Los Angeles County"/>
    <x v="5"/>
    <x v="5"/>
    <x v="0"/>
  </r>
  <r>
    <x v="827"/>
    <x v="6"/>
    <x v="9"/>
    <n v="60.8"/>
    <x v="729"/>
    <x v="34"/>
    <d v="2025-02-08T00:00:00"/>
    <x v="1"/>
    <x v="0"/>
    <x v="1"/>
    <s v="California"/>
    <s v="Los Angeles County"/>
    <x v="5"/>
    <x v="5"/>
    <x v="1"/>
  </r>
  <r>
    <x v="828"/>
    <x v="6"/>
    <x v="9"/>
    <n v="64.599999999999994"/>
    <x v="730"/>
    <x v="34"/>
    <d v="2025-02-05T00:00:00"/>
    <x v="2"/>
    <x v="3"/>
    <x v="0"/>
    <s v="California"/>
    <s v="Los Angeles County"/>
    <x v="3"/>
    <x v="5"/>
    <x v="2"/>
  </r>
  <r>
    <x v="829"/>
    <x v="8"/>
    <x v="0"/>
    <n v="21.9"/>
    <x v="731"/>
    <x v="34"/>
    <d v="2025-02-07T00:00:00"/>
    <x v="1"/>
    <x v="1"/>
    <x v="2"/>
    <s v="California"/>
    <s v="Nevada County"/>
    <x v="2"/>
    <x v="5"/>
    <x v="1"/>
  </r>
  <r>
    <x v="830"/>
    <x v="4"/>
    <x v="4"/>
    <n v="33.4"/>
    <x v="732"/>
    <x v="34"/>
    <d v="2025-02-06T00:00:00"/>
    <x v="2"/>
    <x v="0"/>
    <x v="0"/>
    <s v="California"/>
    <s v="Riverside County"/>
    <x v="1"/>
    <x v="5"/>
    <x v="2"/>
  </r>
  <r>
    <x v="831"/>
    <x v="2"/>
    <x v="0"/>
    <n v="51.7"/>
    <x v="733"/>
    <x v="34"/>
    <d v="2025-02-05T00:00:00"/>
    <x v="0"/>
    <x v="0"/>
    <x v="0"/>
    <s v="California"/>
    <s v="Sacramento County"/>
    <x v="3"/>
    <x v="5"/>
    <x v="0"/>
  </r>
  <r>
    <x v="832"/>
    <x v="1"/>
    <x v="12"/>
    <n v="84.9"/>
    <x v="734"/>
    <x v="34"/>
    <d v="2025-02-05T00:00:00"/>
    <x v="2"/>
    <x v="1"/>
    <x v="1"/>
    <s v="California"/>
    <s v="Sacramento County"/>
    <x v="3"/>
    <x v="5"/>
    <x v="2"/>
  </r>
  <r>
    <x v="833"/>
    <x v="1"/>
    <x v="5"/>
    <n v="62.3"/>
    <x v="735"/>
    <x v="34"/>
    <d v="2025-02-05T00:00:00"/>
    <x v="2"/>
    <x v="2"/>
    <x v="2"/>
    <s v="California"/>
    <s v="San Bernardino County"/>
    <x v="3"/>
    <x v="5"/>
    <x v="2"/>
  </r>
  <r>
    <x v="834"/>
    <x v="4"/>
    <x v="0"/>
    <n v="50.7"/>
    <x v="163"/>
    <x v="34"/>
    <d v="2025-02-06T00:00:00"/>
    <x v="1"/>
    <x v="2"/>
    <x v="2"/>
    <s v="California"/>
    <s v="San Diego County"/>
    <x v="1"/>
    <x v="5"/>
    <x v="1"/>
  </r>
  <r>
    <x v="835"/>
    <x v="18"/>
    <x v="0"/>
    <n v="39.5"/>
    <x v="736"/>
    <x v="34"/>
    <d v="2025-02-05T00:00:00"/>
    <x v="1"/>
    <x v="4"/>
    <x v="1"/>
    <s v="California"/>
    <s v="San Diego County"/>
    <x v="3"/>
    <x v="5"/>
    <x v="1"/>
  </r>
  <r>
    <x v="836"/>
    <x v="12"/>
    <x v="2"/>
    <n v="30.9"/>
    <x v="737"/>
    <x v="34"/>
    <d v="2025-02-05T00:00:00"/>
    <x v="0"/>
    <x v="4"/>
    <x v="2"/>
    <s v="California"/>
    <s v="San Diego County"/>
    <x v="3"/>
    <x v="5"/>
    <x v="0"/>
  </r>
  <r>
    <x v="837"/>
    <x v="1"/>
    <x v="3"/>
    <n v="36.4"/>
    <x v="133"/>
    <x v="34"/>
    <d v="2025-02-07T00:00:00"/>
    <x v="2"/>
    <x v="0"/>
    <x v="2"/>
    <s v="California"/>
    <s v="San Diego County"/>
    <x v="2"/>
    <x v="5"/>
    <x v="2"/>
  </r>
  <r>
    <x v="838"/>
    <x v="6"/>
    <x v="8"/>
    <n v="105.6"/>
    <x v="738"/>
    <x v="34"/>
    <d v="2025-02-14T00:00:00"/>
    <x v="2"/>
    <x v="0"/>
    <x v="0"/>
    <s v="California"/>
    <s v="San Diego County"/>
    <x v="14"/>
    <x v="5"/>
    <x v="2"/>
  </r>
  <r>
    <x v="839"/>
    <x v="8"/>
    <x v="1"/>
    <n v="22.1"/>
    <x v="573"/>
    <x v="34"/>
    <d v="2025-02-05T00:00:00"/>
    <x v="2"/>
    <x v="0"/>
    <x v="2"/>
    <s v="California"/>
    <s v="San Francisco"/>
    <x v="3"/>
    <x v="5"/>
    <x v="2"/>
  </r>
  <r>
    <x v="840"/>
    <x v="0"/>
    <x v="2"/>
    <n v="22.6"/>
    <x v="418"/>
    <x v="34"/>
    <d v="2025-02-05T00:00:00"/>
    <x v="2"/>
    <x v="2"/>
    <x v="0"/>
    <s v="California"/>
    <s v="San Francisco"/>
    <x v="3"/>
    <x v="5"/>
    <x v="2"/>
  </r>
  <r>
    <x v="841"/>
    <x v="10"/>
    <x v="13"/>
    <n v="26.3"/>
    <x v="739"/>
    <x v="34"/>
    <d v="2025-02-04T00:00:00"/>
    <x v="2"/>
    <x v="2"/>
    <x v="0"/>
    <s v="California"/>
    <s v="San Mateo County"/>
    <x v="7"/>
    <x v="5"/>
    <x v="2"/>
  </r>
  <r>
    <x v="842"/>
    <x v="1"/>
    <x v="12"/>
    <n v="37.799999999999997"/>
    <x v="277"/>
    <x v="34"/>
    <d v="2025-02-05T00:00:00"/>
    <x v="2"/>
    <x v="0"/>
    <x v="2"/>
    <s v="California"/>
    <s v="Santa Clara County"/>
    <x v="3"/>
    <x v="5"/>
    <x v="2"/>
  </r>
  <r>
    <x v="843"/>
    <x v="6"/>
    <x v="14"/>
    <n v="96"/>
    <x v="740"/>
    <x v="34"/>
    <d v="2025-02-07T00:00:00"/>
    <x v="2"/>
    <x v="4"/>
    <x v="1"/>
    <s v="California"/>
    <s v="Sonoma County"/>
    <x v="2"/>
    <x v="5"/>
    <x v="2"/>
  </r>
  <r>
    <x v="844"/>
    <x v="1"/>
    <x v="0"/>
    <n v="83.6"/>
    <x v="681"/>
    <x v="34"/>
    <d v="2025-02-07T00:00:00"/>
    <x v="2"/>
    <x v="2"/>
    <x v="1"/>
    <s v="California"/>
    <s v="Stanislaus County"/>
    <x v="2"/>
    <x v="5"/>
    <x v="2"/>
  </r>
  <r>
    <x v="845"/>
    <x v="2"/>
    <x v="13"/>
    <n v="72.599999999999994"/>
    <x v="349"/>
    <x v="34"/>
    <d v="2025-02-05T00:00:00"/>
    <x v="2"/>
    <x v="0"/>
    <x v="0"/>
    <s v="California"/>
    <s v="Alameda County"/>
    <x v="3"/>
    <x v="5"/>
    <x v="2"/>
  </r>
  <r>
    <x v="846"/>
    <x v="5"/>
    <x v="28"/>
    <n v="69.099999999999994"/>
    <x v="741"/>
    <x v="35"/>
    <d v="2025-02-11T00:00:00"/>
    <x v="1"/>
    <x v="0"/>
    <x v="2"/>
    <s v="California"/>
    <s v="Alameda County"/>
    <x v="4"/>
    <x v="5"/>
    <x v="1"/>
  </r>
  <r>
    <x v="847"/>
    <x v="4"/>
    <x v="1"/>
    <n v="22.6"/>
    <x v="705"/>
    <x v="35"/>
    <d v="2025-02-07T00:00:00"/>
    <x v="2"/>
    <x v="1"/>
    <x v="2"/>
    <s v="California"/>
    <s v="Alameda County"/>
    <x v="1"/>
    <x v="5"/>
    <x v="2"/>
  </r>
  <r>
    <x v="848"/>
    <x v="6"/>
    <x v="1"/>
    <n v="45.3"/>
    <x v="742"/>
    <x v="35"/>
    <d v="2025-02-09T00:00:00"/>
    <x v="1"/>
    <x v="4"/>
    <x v="2"/>
    <s v="California"/>
    <s v="Alameda County"/>
    <x v="5"/>
    <x v="5"/>
    <x v="1"/>
  </r>
  <r>
    <x v="849"/>
    <x v="2"/>
    <x v="1"/>
    <n v="115.1"/>
    <x v="743"/>
    <x v="35"/>
    <d v="2025-02-06T00:00:00"/>
    <x v="2"/>
    <x v="1"/>
    <x v="0"/>
    <s v="California"/>
    <s v="Contra Costa County"/>
    <x v="3"/>
    <x v="5"/>
    <x v="2"/>
  </r>
  <r>
    <x v="850"/>
    <x v="18"/>
    <x v="12"/>
    <n v="79"/>
    <x v="744"/>
    <x v="35"/>
    <d v="2025-02-07T00:00:00"/>
    <x v="1"/>
    <x v="2"/>
    <x v="4"/>
    <s v="California"/>
    <s v="Contra Costa County"/>
    <x v="1"/>
    <x v="5"/>
    <x v="1"/>
  </r>
  <r>
    <x v="851"/>
    <x v="6"/>
    <x v="9"/>
    <n v="52.8"/>
    <x v="723"/>
    <x v="35"/>
    <d v="2025-02-06T00:00:00"/>
    <x v="2"/>
    <x v="0"/>
    <x v="0"/>
    <s v="California"/>
    <s v="El Dorado County"/>
    <x v="3"/>
    <x v="5"/>
    <x v="2"/>
  </r>
  <r>
    <x v="852"/>
    <x v="8"/>
    <x v="1"/>
    <n v="34.1"/>
    <x v="745"/>
    <x v="35"/>
    <d v="2025-02-06T00:00:00"/>
    <x v="1"/>
    <x v="3"/>
    <x v="2"/>
    <s v="California"/>
    <s v="Humboldt County"/>
    <x v="3"/>
    <x v="5"/>
    <x v="1"/>
  </r>
  <r>
    <x v="853"/>
    <x v="6"/>
    <x v="9"/>
    <n v="107.9"/>
    <x v="746"/>
    <x v="35"/>
    <d v="2025-02-05T00:00:00"/>
    <x v="2"/>
    <x v="0"/>
    <x v="2"/>
    <s v="California"/>
    <s v="Lake County"/>
    <x v="7"/>
    <x v="5"/>
    <x v="2"/>
  </r>
  <r>
    <x v="854"/>
    <x v="8"/>
    <x v="15"/>
    <n v="48.5"/>
    <x v="747"/>
    <x v="35"/>
    <d v="2025-02-05T00:00:00"/>
    <x v="1"/>
    <x v="2"/>
    <x v="2"/>
    <s v="California"/>
    <s v="Los Angeles County"/>
    <x v="7"/>
    <x v="5"/>
    <x v="1"/>
  </r>
  <r>
    <x v="855"/>
    <x v="5"/>
    <x v="2"/>
    <n v="34.700000000000003"/>
    <x v="748"/>
    <x v="35"/>
    <d v="2025-02-06T00:00:00"/>
    <x v="0"/>
    <x v="4"/>
    <x v="1"/>
    <s v="California"/>
    <s v="Los Angeles County"/>
    <x v="3"/>
    <x v="5"/>
    <x v="0"/>
  </r>
  <r>
    <x v="856"/>
    <x v="8"/>
    <x v="0"/>
    <n v="16.8"/>
    <x v="749"/>
    <x v="35"/>
    <d v="2025-02-07T00:00:00"/>
    <x v="2"/>
    <x v="3"/>
    <x v="0"/>
    <s v="California"/>
    <s v="Los Angeles County"/>
    <x v="1"/>
    <x v="5"/>
    <x v="2"/>
  </r>
  <r>
    <x v="857"/>
    <x v="8"/>
    <x v="13"/>
    <n v="18.3"/>
    <x v="17"/>
    <x v="35"/>
    <d v="2025-02-08T00:00:00"/>
    <x v="2"/>
    <x v="0"/>
    <x v="0"/>
    <s v="California"/>
    <s v="Los Angeles County"/>
    <x v="2"/>
    <x v="5"/>
    <x v="2"/>
  </r>
  <r>
    <x v="858"/>
    <x v="18"/>
    <x v="2"/>
    <n v="55.9"/>
    <x v="750"/>
    <x v="35"/>
    <d v="2025-02-11T00:00:00"/>
    <x v="1"/>
    <x v="3"/>
    <x v="1"/>
    <s v="California"/>
    <s v="Los Angeles County"/>
    <x v="4"/>
    <x v="5"/>
    <x v="1"/>
  </r>
  <r>
    <x v="859"/>
    <x v="8"/>
    <x v="2"/>
    <n v="39.200000000000003"/>
    <x v="557"/>
    <x v="35"/>
    <d v="2025-02-07T00:00:00"/>
    <x v="2"/>
    <x v="0"/>
    <x v="1"/>
    <s v="California"/>
    <s v="Los Angeles County"/>
    <x v="1"/>
    <x v="5"/>
    <x v="2"/>
  </r>
  <r>
    <x v="860"/>
    <x v="15"/>
    <x v="12"/>
    <n v="66.5"/>
    <x v="751"/>
    <x v="35"/>
    <d v="2025-02-07T00:00:00"/>
    <x v="0"/>
    <x v="3"/>
    <x v="1"/>
    <s v="California"/>
    <s v="Los Angeles County"/>
    <x v="1"/>
    <x v="5"/>
    <x v="0"/>
  </r>
  <r>
    <x v="861"/>
    <x v="6"/>
    <x v="13"/>
    <n v="52.1"/>
    <x v="752"/>
    <x v="35"/>
    <d v="2025-02-07T00:00:00"/>
    <x v="1"/>
    <x v="1"/>
    <x v="1"/>
    <s v="California"/>
    <s v="Napa County"/>
    <x v="1"/>
    <x v="5"/>
    <x v="1"/>
  </r>
  <r>
    <x v="862"/>
    <x v="8"/>
    <x v="1"/>
    <n v="19"/>
    <x v="753"/>
    <x v="35"/>
    <d v="2025-02-06T00:00:00"/>
    <x v="1"/>
    <x v="4"/>
    <x v="2"/>
    <s v="California"/>
    <s v="Sacramento County"/>
    <x v="3"/>
    <x v="5"/>
    <x v="1"/>
  </r>
  <r>
    <x v="863"/>
    <x v="7"/>
    <x v="2"/>
    <n v="84.8"/>
    <x v="754"/>
    <x v="35"/>
    <d v="2025-02-07T00:00:00"/>
    <x v="2"/>
    <x v="2"/>
    <x v="0"/>
    <s v="California"/>
    <s v="San Diego County"/>
    <x v="1"/>
    <x v="5"/>
    <x v="2"/>
  </r>
  <r>
    <x v="864"/>
    <x v="2"/>
    <x v="12"/>
    <n v="63.9"/>
    <x v="755"/>
    <x v="35"/>
    <d v="2025-02-08T00:00:00"/>
    <x v="2"/>
    <x v="0"/>
    <x v="0"/>
    <s v="California"/>
    <s v="San Diego County"/>
    <x v="2"/>
    <x v="5"/>
    <x v="2"/>
  </r>
  <r>
    <x v="865"/>
    <x v="2"/>
    <x v="2"/>
    <n v="65.5"/>
    <x v="756"/>
    <x v="35"/>
    <d v="2025-02-05T00:00:00"/>
    <x v="2"/>
    <x v="1"/>
    <x v="1"/>
    <s v="California"/>
    <s v="San Diego County"/>
    <x v="7"/>
    <x v="5"/>
    <x v="2"/>
  </r>
  <r>
    <x v="866"/>
    <x v="12"/>
    <x v="1"/>
    <n v="116.2"/>
    <x v="757"/>
    <x v="35"/>
    <d v="2025-02-11T00:00:00"/>
    <x v="1"/>
    <x v="3"/>
    <x v="0"/>
    <s v="California"/>
    <s v="San Francisco"/>
    <x v="4"/>
    <x v="5"/>
    <x v="1"/>
  </r>
  <r>
    <x v="867"/>
    <x v="10"/>
    <x v="12"/>
    <n v="22.9"/>
    <x v="758"/>
    <x v="35"/>
    <d v="2025-02-07T00:00:00"/>
    <x v="2"/>
    <x v="2"/>
    <x v="1"/>
    <s v="California"/>
    <s v="Solano County"/>
    <x v="1"/>
    <x v="5"/>
    <x v="2"/>
  </r>
  <r>
    <x v="868"/>
    <x v="10"/>
    <x v="2"/>
    <n v="53.7"/>
    <x v="759"/>
    <x v="35"/>
    <d v="2025-02-06T00:00:00"/>
    <x v="1"/>
    <x v="0"/>
    <x v="4"/>
    <s v="California"/>
    <s v="Sonoma County"/>
    <x v="3"/>
    <x v="5"/>
    <x v="1"/>
  </r>
  <r>
    <x v="869"/>
    <x v="6"/>
    <x v="9"/>
    <n v="43.2"/>
    <x v="760"/>
    <x v="35"/>
    <d v="2025-02-07T00:00:00"/>
    <x v="2"/>
    <x v="0"/>
    <x v="0"/>
    <s v="California"/>
    <s v="Stanislaus County"/>
    <x v="1"/>
    <x v="5"/>
    <x v="2"/>
  </r>
  <r>
    <x v="870"/>
    <x v="1"/>
    <x v="2"/>
    <n v="84.5"/>
    <x v="103"/>
    <x v="35"/>
    <d v="2025-02-07T00:00:00"/>
    <x v="1"/>
    <x v="2"/>
    <x v="2"/>
    <s v="California"/>
    <s v="Butte County"/>
    <x v="1"/>
    <x v="5"/>
    <x v="1"/>
  </r>
  <r>
    <x v="871"/>
    <x v="3"/>
    <x v="1"/>
    <n v="42.2"/>
    <x v="533"/>
    <x v="35"/>
    <d v="2025-02-06T00:00:00"/>
    <x v="2"/>
    <x v="1"/>
    <x v="2"/>
    <s v="California"/>
    <s v="Contra Costa County"/>
    <x v="3"/>
    <x v="5"/>
    <x v="2"/>
  </r>
  <r>
    <x v="872"/>
    <x v="2"/>
    <x v="13"/>
    <n v="94.7"/>
    <x v="761"/>
    <x v="35"/>
    <d v="2025-02-08T00:00:00"/>
    <x v="2"/>
    <x v="1"/>
    <x v="2"/>
    <s v="California"/>
    <s v="Fresno County"/>
    <x v="2"/>
    <x v="5"/>
    <x v="2"/>
  </r>
  <r>
    <x v="873"/>
    <x v="8"/>
    <x v="16"/>
    <n v="16.7"/>
    <x v="182"/>
    <x v="35"/>
    <d v="2025-02-17T00:00:00"/>
    <x v="2"/>
    <x v="0"/>
    <x v="2"/>
    <s v="California"/>
    <s v="Fresno County"/>
    <x v="13"/>
    <x v="5"/>
    <x v="2"/>
  </r>
  <r>
    <x v="874"/>
    <x v="2"/>
    <x v="1"/>
    <n v="83.6"/>
    <x v="762"/>
    <x v="35"/>
    <d v="2025-02-11T00:00:00"/>
    <x v="2"/>
    <x v="1"/>
    <x v="0"/>
    <s v="California"/>
    <s v="Los Angeles County"/>
    <x v="4"/>
    <x v="5"/>
    <x v="2"/>
  </r>
  <r>
    <x v="875"/>
    <x v="7"/>
    <x v="13"/>
    <n v="33.6"/>
    <x v="763"/>
    <x v="36"/>
    <d v="2025-02-07T00:00:00"/>
    <x v="2"/>
    <x v="3"/>
    <x v="0"/>
    <s v="California"/>
    <s v="Los Angeles County"/>
    <x v="3"/>
    <x v="5"/>
    <x v="2"/>
  </r>
  <r>
    <x v="876"/>
    <x v="7"/>
    <x v="1"/>
    <n v="64.7"/>
    <x v="385"/>
    <x v="36"/>
    <d v="2025-02-08T00:00:00"/>
    <x v="1"/>
    <x v="1"/>
    <x v="2"/>
    <s v="California"/>
    <s v="Los Angeles County"/>
    <x v="1"/>
    <x v="5"/>
    <x v="1"/>
  </r>
  <r>
    <x v="877"/>
    <x v="0"/>
    <x v="2"/>
    <n v="15.7"/>
    <x v="179"/>
    <x v="36"/>
    <d v="2025-02-12T00:00:00"/>
    <x v="2"/>
    <x v="0"/>
    <x v="0"/>
    <s v="California"/>
    <s v="Los Angeles County"/>
    <x v="4"/>
    <x v="5"/>
    <x v="2"/>
  </r>
  <r>
    <x v="878"/>
    <x v="15"/>
    <x v="13"/>
    <n v="49.4"/>
    <x v="764"/>
    <x v="36"/>
    <d v="2025-02-06T00:00:00"/>
    <x v="1"/>
    <x v="1"/>
    <x v="0"/>
    <s v="California"/>
    <s v="Los Angeles County"/>
    <x v="7"/>
    <x v="5"/>
    <x v="1"/>
  </r>
  <r>
    <x v="879"/>
    <x v="10"/>
    <x v="13"/>
    <n v="37"/>
    <x v="765"/>
    <x v="36"/>
    <d v="2025-02-09T00:00:00"/>
    <x v="2"/>
    <x v="1"/>
    <x v="2"/>
    <s v="California"/>
    <s v="Los Angeles County"/>
    <x v="2"/>
    <x v="5"/>
    <x v="2"/>
  </r>
  <r>
    <x v="880"/>
    <x v="2"/>
    <x v="1"/>
    <n v="83.7"/>
    <x v="589"/>
    <x v="36"/>
    <d v="2025-02-08T00:00:00"/>
    <x v="2"/>
    <x v="3"/>
    <x v="2"/>
    <s v="California"/>
    <s v="Los Angeles County"/>
    <x v="1"/>
    <x v="5"/>
    <x v="2"/>
  </r>
  <r>
    <x v="881"/>
    <x v="1"/>
    <x v="9"/>
    <n v="35.1"/>
    <x v="766"/>
    <x v="36"/>
    <d v="2025-02-07T00:00:00"/>
    <x v="2"/>
    <x v="0"/>
    <x v="0"/>
    <s v="California"/>
    <s v="Los Angeles County"/>
    <x v="3"/>
    <x v="5"/>
    <x v="2"/>
  </r>
  <r>
    <x v="882"/>
    <x v="16"/>
    <x v="8"/>
    <n v="74"/>
    <x v="767"/>
    <x v="36"/>
    <d v="2025-02-07T00:00:00"/>
    <x v="2"/>
    <x v="4"/>
    <x v="0"/>
    <s v="California"/>
    <s v="Madera County"/>
    <x v="3"/>
    <x v="5"/>
    <x v="2"/>
  </r>
  <r>
    <x v="883"/>
    <x v="6"/>
    <x v="25"/>
    <n v="55.5"/>
    <x v="768"/>
    <x v="36"/>
    <d v="2025-02-09T00:00:00"/>
    <x v="1"/>
    <x v="3"/>
    <x v="0"/>
    <s v="California"/>
    <s v="Monterey County"/>
    <x v="2"/>
    <x v="5"/>
    <x v="1"/>
  </r>
  <r>
    <x v="884"/>
    <x v="11"/>
    <x v="1"/>
    <n v="38.9"/>
    <x v="482"/>
    <x v="36"/>
    <d v="2025-02-08T00:00:00"/>
    <x v="2"/>
    <x v="1"/>
    <x v="2"/>
    <s v="California"/>
    <s v="Orange County"/>
    <x v="1"/>
    <x v="5"/>
    <x v="2"/>
  </r>
  <r>
    <x v="885"/>
    <x v="16"/>
    <x v="1"/>
    <n v="64.599999999999994"/>
    <x v="769"/>
    <x v="36"/>
    <d v="2025-02-13T00:00:00"/>
    <x v="1"/>
    <x v="2"/>
    <x v="1"/>
    <s v="California"/>
    <s v="Orange County"/>
    <x v="6"/>
    <x v="5"/>
    <x v="1"/>
  </r>
  <r>
    <x v="886"/>
    <x v="2"/>
    <x v="2"/>
    <n v="95.3"/>
    <x v="770"/>
    <x v="36"/>
    <d v="2025-02-07T00:00:00"/>
    <x v="1"/>
    <x v="0"/>
    <x v="0"/>
    <s v="California"/>
    <s v="Placer County"/>
    <x v="3"/>
    <x v="5"/>
    <x v="1"/>
  </r>
  <r>
    <x v="887"/>
    <x v="13"/>
    <x v="2"/>
    <n v="25.8"/>
    <x v="771"/>
    <x v="36"/>
    <d v="2025-02-07T00:00:00"/>
    <x v="2"/>
    <x v="1"/>
    <x v="1"/>
    <s v="California"/>
    <s v="Sacramento County"/>
    <x v="3"/>
    <x v="5"/>
    <x v="2"/>
  </r>
  <r>
    <x v="888"/>
    <x v="0"/>
    <x v="1"/>
    <n v="11.6"/>
    <x v="772"/>
    <x v="36"/>
    <d v="2025-02-10T00:00:00"/>
    <x v="2"/>
    <x v="1"/>
    <x v="1"/>
    <s v="California"/>
    <s v="Sacramento County"/>
    <x v="5"/>
    <x v="5"/>
    <x v="2"/>
  </r>
  <r>
    <x v="889"/>
    <x v="7"/>
    <x v="0"/>
    <n v="52.3"/>
    <x v="773"/>
    <x v="36"/>
    <d v="2025-02-07T00:00:00"/>
    <x v="2"/>
    <x v="1"/>
    <x v="0"/>
    <s v="California"/>
    <s v="San Diego County"/>
    <x v="3"/>
    <x v="5"/>
    <x v="2"/>
  </r>
  <r>
    <x v="890"/>
    <x v="2"/>
    <x v="7"/>
    <n v="112.2"/>
    <x v="774"/>
    <x v="36"/>
    <d v="2025-02-07T00:00:00"/>
    <x v="2"/>
    <x v="1"/>
    <x v="1"/>
    <s v="California"/>
    <s v="San Diego County"/>
    <x v="3"/>
    <x v="5"/>
    <x v="2"/>
  </r>
  <r>
    <x v="891"/>
    <x v="4"/>
    <x v="9"/>
    <n v="34.6"/>
    <x v="775"/>
    <x v="36"/>
    <d v="2025-02-08T00:00:00"/>
    <x v="1"/>
    <x v="2"/>
    <x v="0"/>
    <s v="California"/>
    <s v="San Diego County"/>
    <x v="1"/>
    <x v="5"/>
    <x v="1"/>
  </r>
  <r>
    <x v="892"/>
    <x v="14"/>
    <x v="12"/>
    <n v="20.100000000000001"/>
    <x v="48"/>
    <x v="36"/>
    <d v="2025-02-12T00:00:00"/>
    <x v="1"/>
    <x v="1"/>
    <x v="2"/>
    <s v="California"/>
    <s v="San Diego County"/>
    <x v="4"/>
    <x v="5"/>
    <x v="1"/>
  </r>
  <r>
    <x v="893"/>
    <x v="2"/>
    <x v="12"/>
    <n v="56.4"/>
    <x v="776"/>
    <x v="36"/>
    <d v="2025-02-08T00:00:00"/>
    <x v="2"/>
    <x v="2"/>
    <x v="0"/>
    <s v="California"/>
    <s v="Santa Barbara County"/>
    <x v="1"/>
    <x v="5"/>
    <x v="2"/>
  </r>
  <r>
    <x v="894"/>
    <x v="13"/>
    <x v="11"/>
    <n v="55.3"/>
    <x v="777"/>
    <x v="36"/>
    <d v="2025-02-08T00:00:00"/>
    <x v="2"/>
    <x v="1"/>
    <x v="4"/>
    <s v="California"/>
    <s v="Santa Clara County"/>
    <x v="1"/>
    <x v="5"/>
    <x v="2"/>
  </r>
  <r>
    <x v="895"/>
    <x v="2"/>
    <x v="31"/>
    <n v="75.5"/>
    <x v="778"/>
    <x v="36"/>
    <d v="2025-02-07T00:00:00"/>
    <x v="2"/>
    <x v="0"/>
    <x v="0"/>
    <s v="California"/>
    <s v="Santa Clara County"/>
    <x v="3"/>
    <x v="5"/>
    <x v="2"/>
  </r>
  <r>
    <x v="896"/>
    <x v="8"/>
    <x v="0"/>
    <n v="23.6"/>
    <x v="779"/>
    <x v="36"/>
    <d v="2025-02-11T00:00:00"/>
    <x v="2"/>
    <x v="0"/>
    <x v="0"/>
    <s v="California"/>
    <s v="Stanislaus County"/>
    <x v="0"/>
    <x v="5"/>
    <x v="2"/>
  </r>
  <r>
    <x v="897"/>
    <x v="9"/>
    <x v="1"/>
    <n v="70.7"/>
    <x v="780"/>
    <x v="36"/>
    <d v="2025-02-08T00:00:00"/>
    <x v="2"/>
    <x v="2"/>
    <x v="0"/>
    <s v="California"/>
    <s v="Stanislaus County"/>
    <x v="1"/>
    <x v="5"/>
    <x v="2"/>
  </r>
  <r>
    <x v="898"/>
    <x v="12"/>
    <x v="1"/>
    <n v="43.2"/>
    <x v="781"/>
    <x v="36"/>
    <d v="2025-02-07T00:00:00"/>
    <x v="2"/>
    <x v="2"/>
    <x v="0"/>
    <s v="California"/>
    <s v="Sutter County"/>
    <x v="3"/>
    <x v="5"/>
    <x v="2"/>
  </r>
  <r>
    <x v="899"/>
    <x v="9"/>
    <x v="11"/>
    <n v="70"/>
    <x v="782"/>
    <x v="36"/>
    <d v="2025-02-07T00:00:00"/>
    <x v="0"/>
    <x v="1"/>
    <x v="0"/>
    <s v="California"/>
    <s v="Tuolumne County"/>
    <x v="3"/>
    <x v="5"/>
    <x v="0"/>
  </r>
  <r>
    <x v="900"/>
    <x v="0"/>
    <x v="1"/>
    <n v="20.5"/>
    <x v="783"/>
    <x v="36"/>
    <d v="2025-02-08T00:00:00"/>
    <x v="2"/>
    <x v="2"/>
    <x v="4"/>
    <s v="California"/>
    <s v="Ventura County"/>
    <x v="1"/>
    <x v="5"/>
    <x v="2"/>
  </r>
  <r>
    <x v="901"/>
    <x v="0"/>
    <x v="12"/>
    <n v="29.1"/>
    <x v="565"/>
    <x v="36"/>
    <d v="2025-02-07T00:00:00"/>
    <x v="2"/>
    <x v="3"/>
    <x v="0"/>
    <s v="California"/>
    <s v="Yolo County"/>
    <x v="3"/>
    <x v="5"/>
    <x v="2"/>
  </r>
  <r>
    <x v="902"/>
    <x v="6"/>
    <x v="11"/>
    <n v="53.6"/>
    <x v="784"/>
    <x v="36"/>
    <d v="2025-02-07T00:00:00"/>
    <x v="1"/>
    <x v="2"/>
    <x v="1"/>
    <s v="California"/>
    <s v="Los Angeles County"/>
    <x v="3"/>
    <x v="5"/>
    <x v="1"/>
  </r>
  <r>
    <x v="903"/>
    <x v="6"/>
    <x v="9"/>
    <n v="72.3"/>
    <x v="785"/>
    <x v="36"/>
    <d v="2025-02-08T00:00:00"/>
    <x v="2"/>
    <x v="1"/>
    <x v="0"/>
    <s v="California"/>
    <s v="Los Angeles County"/>
    <x v="1"/>
    <x v="5"/>
    <x v="2"/>
  </r>
  <r>
    <x v="904"/>
    <x v="13"/>
    <x v="12"/>
    <n v="22.6"/>
    <x v="786"/>
    <x v="36"/>
    <d v="2025-02-09T00:00:00"/>
    <x v="3"/>
    <x v="0"/>
    <x v="1"/>
    <s v="California"/>
    <s v="Los Angeles County"/>
    <x v="2"/>
    <x v="5"/>
    <x v="3"/>
  </r>
  <r>
    <x v="905"/>
    <x v="9"/>
    <x v="1"/>
    <n v="44.2"/>
    <x v="787"/>
    <x v="36"/>
    <d v="2025-02-10T00:00:00"/>
    <x v="0"/>
    <x v="2"/>
    <x v="4"/>
    <s v="California"/>
    <s v="Los Angeles County"/>
    <x v="5"/>
    <x v="5"/>
    <x v="0"/>
  </r>
  <r>
    <x v="906"/>
    <x v="9"/>
    <x v="2"/>
    <n v="94.1"/>
    <x v="788"/>
    <x v="36"/>
    <d v="2025-02-19T00:00:00"/>
    <x v="2"/>
    <x v="2"/>
    <x v="2"/>
    <s v="California"/>
    <s v="Los Angeles County"/>
    <x v="10"/>
    <x v="5"/>
    <x v="2"/>
  </r>
  <r>
    <x v="907"/>
    <x v="8"/>
    <x v="2"/>
    <n v="17.899999999999999"/>
    <x v="789"/>
    <x v="36"/>
    <d v="2025-02-08T00:00:00"/>
    <x v="1"/>
    <x v="1"/>
    <x v="1"/>
    <s v="California"/>
    <s v="Los Angeles County"/>
    <x v="1"/>
    <x v="5"/>
    <x v="1"/>
  </r>
  <r>
    <x v="908"/>
    <x v="12"/>
    <x v="3"/>
    <n v="52.7"/>
    <x v="790"/>
    <x v="36"/>
    <d v="2025-02-07T00:00:00"/>
    <x v="1"/>
    <x v="1"/>
    <x v="1"/>
    <s v="California"/>
    <s v="Los Angeles County"/>
    <x v="3"/>
    <x v="5"/>
    <x v="1"/>
  </r>
  <r>
    <x v="909"/>
    <x v="8"/>
    <x v="0"/>
    <n v="36.799999999999997"/>
    <x v="791"/>
    <x v="36"/>
    <d v="2025-02-06T00:00:00"/>
    <x v="0"/>
    <x v="0"/>
    <x v="2"/>
    <s v="California"/>
    <s v="Los Angeles County"/>
    <x v="7"/>
    <x v="5"/>
    <x v="0"/>
  </r>
  <r>
    <x v="910"/>
    <x v="4"/>
    <x v="0"/>
    <n v="52.5"/>
    <x v="413"/>
    <x v="36"/>
    <d v="2025-02-07T00:00:00"/>
    <x v="1"/>
    <x v="0"/>
    <x v="1"/>
    <s v="California"/>
    <s v="Sacramento County"/>
    <x v="3"/>
    <x v="5"/>
    <x v="1"/>
  </r>
  <r>
    <x v="911"/>
    <x v="2"/>
    <x v="1"/>
    <n v="133.80000000000001"/>
    <x v="792"/>
    <x v="36"/>
    <d v="2025-02-08T00:00:00"/>
    <x v="1"/>
    <x v="0"/>
    <x v="1"/>
    <s v="California"/>
    <s v="San Bernardino County"/>
    <x v="1"/>
    <x v="5"/>
    <x v="1"/>
  </r>
  <r>
    <x v="912"/>
    <x v="6"/>
    <x v="1"/>
    <n v="53.2"/>
    <x v="793"/>
    <x v="36"/>
    <d v="2025-02-08T00:00:00"/>
    <x v="1"/>
    <x v="0"/>
    <x v="0"/>
    <s v="California"/>
    <s v="San Francisco"/>
    <x v="1"/>
    <x v="5"/>
    <x v="1"/>
  </r>
  <r>
    <x v="913"/>
    <x v="14"/>
    <x v="13"/>
    <n v="18.7"/>
    <x v="794"/>
    <x v="36"/>
    <d v="2025-02-08T00:00:00"/>
    <x v="0"/>
    <x v="0"/>
    <x v="1"/>
    <s v="California"/>
    <s v="Santa Barbara County"/>
    <x v="1"/>
    <x v="5"/>
    <x v="0"/>
  </r>
  <r>
    <x v="914"/>
    <x v="6"/>
    <x v="12"/>
    <n v="108.8"/>
    <x v="795"/>
    <x v="36"/>
    <d v="2025-02-07T00:00:00"/>
    <x v="2"/>
    <x v="3"/>
    <x v="2"/>
    <s v="California"/>
    <s v="Santa Clara County"/>
    <x v="3"/>
    <x v="5"/>
    <x v="2"/>
  </r>
  <r>
    <x v="915"/>
    <x v="15"/>
    <x v="9"/>
    <n v="38.5"/>
    <x v="796"/>
    <x v="36"/>
    <d v="2025-02-10T00:00:00"/>
    <x v="2"/>
    <x v="0"/>
    <x v="1"/>
    <s v="California"/>
    <s v="Calaveras County"/>
    <x v="5"/>
    <x v="5"/>
    <x v="2"/>
  </r>
  <r>
    <x v="916"/>
    <x v="10"/>
    <x v="7"/>
    <n v="46.5"/>
    <x v="797"/>
    <x v="36"/>
    <d v="2025-02-08T00:00:00"/>
    <x v="1"/>
    <x v="2"/>
    <x v="1"/>
    <s v="California"/>
    <s v="Fresno County"/>
    <x v="1"/>
    <x v="5"/>
    <x v="1"/>
  </r>
  <r>
    <x v="917"/>
    <x v="2"/>
    <x v="2"/>
    <n v="75.8"/>
    <x v="129"/>
    <x v="36"/>
    <d v="2025-02-10T00:00:00"/>
    <x v="2"/>
    <x v="1"/>
    <x v="4"/>
    <s v="California"/>
    <s v="Humboldt County"/>
    <x v="5"/>
    <x v="5"/>
    <x v="2"/>
  </r>
  <r>
    <x v="918"/>
    <x v="8"/>
    <x v="0"/>
    <n v="20.9"/>
    <x v="798"/>
    <x v="36"/>
    <d v="2025-02-10T00:00:00"/>
    <x v="1"/>
    <x v="0"/>
    <x v="0"/>
    <s v="California"/>
    <s v="Kern County"/>
    <x v="5"/>
    <x v="5"/>
    <x v="1"/>
  </r>
  <r>
    <x v="919"/>
    <x v="18"/>
    <x v="2"/>
    <n v="47.4"/>
    <x v="60"/>
    <x v="36"/>
    <d v="2025-02-09T00:00:00"/>
    <x v="2"/>
    <x v="0"/>
    <x v="0"/>
    <s v="California"/>
    <s v="Los Angeles County"/>
    <x v="2"/>
    <x v="5"/>
    <x v="2"/>
  </r>
  <r>
    <x v="920"/>
    <x v="9"/>
    <x v="1"/>
    <n v="53.8"/>
    <x v="799"/>
    <x v="36"/>
    <d v="2025-02-07T00:00:00"/>
    <x v="0"/>
    <x v="0"/>
    <x v="1"/>
    <s v="California"/>
    <s v="Los Angeles County"/>
    <x v="3"/>
    <x v="5"/>
    <x v="0"/>
  </r>
  <r>
    <x v="921"/>
    <x v="8"/>
    <x v="2"/>
    <n v="24.6"/>
    <x v="800"/>
    <x v="36"/>
    <d v="2025-02-08T00:00:00"/>
    <x v="3"/>
    <x v="1"/>
    <x v="2"/>
    <s v="California"/>
    <s v="Los Angeles County"/>
    <x v="1"/>
    <x v="5"/>
    <x v="3"/>
  </r>
  <r>
    <x v="922"/>
    <x v="9"/>
    <x v="2"/>
    <n v="70.900000000000006"/>
    <x v="801"/>
    <x v="36"/>
    <d v="2025-02-11T00:00:00"/>
    <x v="2"/>
    <x v="2"/>
    <x v="2"/>
    <s v="California"/>
    <s v="Los Angeles County"/>
    <x v="0"/>
    <x v="5"/>
    <x v="2"/>
  </r>
  <r>
    <x v="923"/>
    <x v="17"/>
    <x v="2"/>
    <n v="31.9"/>
    <x v="802"/>
    <x v="36"/>
    <d v="2025-02-08T00:00:00"/>
    <x v="2"/>
    <x v="2"/>
    <x v="2"/>
    <s v="California"/>
    <s v="Los Angeles County"/>
    <x v="1"/>
    <x v="5"/>
    <x v="2"/>
  </r>
  <r>
    <x v="924"/>
    <x v="0"/>
    <x v="1"/>
    <n v="20.399999999999999"/>
    <x v="803"/>
    <x v="36"/>
    <d v="2025-02-10T00:00:00"/>
    <x v="1"/>
    <x v="3"/>
    <x v="2"/>
    <s v="California"/>
    <s v="Los Angeles County"/>
    <x v="5"/>
    <x v="5"/>
    <x v="1"/>
  </r>
  <r>
    <x v="925"/>
    <x v="8"/>
    <x v="1"/>
    <n v="18.600000000000001"/>
    <x v="804"/>
    <x v="36"/>
    <d v="2025-02-08T00:00:00"/>
    <x v="0"/>
    <x v="0"/>
    <x v="1"/>
    <s v="California"/>
    <s v="Los Angeles County"/>
    <x v="1"/>
    <x v="5"/>
    <x v="0"/>
  </r>
  <r>
    <x v="926"/>
    <x v="4"/>
    <x v="9"/>
    <n v="48.3"/>
    <x v="805"/>
    <x v="36"/>
    <d v="2025-02-08T00:00:00"/>
    <x v="2"/>
    <x v="1"/>
    <x v="0"/>
    <s v="California"/>
    <s v="Los Angeles County"/>
    <x v="1"/>
    <x v="5"/>
    <x v="2"/>
  </r>
  <r>
    <x v="927"/>
    <x v="0"/>
    <x v="12"/>
    <n v="27.7"/>
    <x v="806"/>
    <x v="36"/>
    <d v="2025-02-08T00:00:00"/>
    <x v="2"/>
    <x v="0"/>
    <x v="0"/>
    <s v="California"/>
    <s v="Los Angeles County"/>
    <x v="1"/>
    <x v="5"/>
    <x v="2"/>
  </r>
  <r>
    <x v="928"/>
    <x v="4"/>
    <x v="9"/>
    <n v="22.5"/>
    <x v="158"/>
    <x v="36"/>
    <d v="2025-02-08T00:00:00"/>
    <x v="2"/>
    <x v="4"/>
    <x v="2"/>
    <s v="California"/>
    <s v="Los Angeles County"/>
    <x v="1"/>
    <x v="5"/>
    <x v="2"/>
  </r>
  <r>
    <x v="929"/>
    <x v="17"/>
    <x v="9"/>
    <n v="21.6"/>
    <x v="807"/>
    <x v="36"/>
    <d v="2025-02-14T00:00:00"/>
    <x v="2"/>
    <x v="0"/>
    <x v="1"/>
    <s v="California"/>
    <s v="Los Angeles County"/>
    <x v="9"/>
    <x v="5"/>
    <x v="2"/>
  </r>
  <r>
    <x v="930"/>
    <x v="10"/>
    <x v="3"/>
    <n v="26.3"/>
    <x v="808"/>
    <x v="36"/>
    <d v="2025-02-06T00:00:00"/>
    <x v="2"/>
    <x v="2"/>
    <x v="1"/>
    <s v="California"/>
    <s v="Los Angeles County"/>
    <x v="7"/>
    <x v="5"/>
    <x v="2"/>
  </r>
  <r>
    <x v="931"/>
    <x v="6"/>
    <x v="3"/>
    <n v="103"/>
    <x v="809"/>
    <x v="37"/>
    <d v="2025-02-08T00:00:00"/>
    <x v="1"/>
    <x v="0"/>
    <x v="2"/>
    <s v="California"/>
    <s v="Sacramento County"/>
    <x v="3"/>
    <x v="5"/>
    <x v="1"/>
  </r>
  <r>
    <x v="932"/>
    <x v="5"/>
    <x v="20"/>
    <n v="46.6"/>
    <x v="810"/>
    <x v="37"/>
    <d v="2025-02-08T00:00:00"/>
    <x v="2"/>
    <x v="0"/>
    <x v="1"/>
    <s v="California"/>
    <s v="Sacramento County"/>
    <x v="3"/>
    <x v="5"/>
    <x v="2"/>
  </r>
  <r>
    <x v="933"/>
    <x v="0"/>
    <x v="9"/>
    <n v="32.200000000000003"/>
    <x v="811"/>
    <x v="37"/>
    <d v="2025-02-10T00:00:00"/>
    <x v="2"/>
    <x v="0"/>
    <x v="2"/>
    <s v="California"/>
    <s v="San Benito County"/>
    <x v="2"/>
    <x v="5"/>
    <x v="2"/>
  </r>
  <r>
    <x v="934"/>
    <x v="8"/>
    <x v="2"/>
    <n v="22"/>
    <x v="812"/>
    <x v="37"/>
    <d v="2025-02-14T00:00:00"/>
    <x v="1"/>
    <x v="1"/>
    <x v="0"/>
    <s v="California"/>
    <s v="San Bernardino County"/>
    <x v="6"/>
    <x v="5"/>
    <x v="1"/>
  </r>
  <r>
    <x v="935"/>
    <x v="0"/>
    <x v="1"/>
    <n v="25.2"/>
    <x v="813"/>
    <x v="37"/>
    <d v="2025-02-11T00:00:00"/>
    <x v="2"/>
    <x v="0"/>
    <x v="0"/>
    <s v="California"/>
    <s v="San Bernardino County"/>
    <x v="5"/>
    <x v="5"/>
    <x v="2"/>
  </r>
  <r>
    <x v="936"/>
    <x v="1"/>
    <x v="13"/>
    <n v="68.7"/>
    <x v="814"/>
    <x v="37"/>
    <d v="2025-02-09T00:00:00"/>
    <x v="1"/>
    <x v="4"/>
    <x v="0"/>
    <s v="California"/>
    <s v="San Diego County"/>
    <x v="1"/>
    <x v="5"/>
    <x v="1"/>
  </r>
  <r>
    <x v="937"/>
    <x v="0"/>
    <x v="2"/>
    <n v="22.2"/>
    <x v="815"/>
    <x v="37"/>
    <d v="2025-02-10T00:00:00"/>
    <x v="1"/>
    <x v="2"/>
    <x v="2"/>
    <s v="California"/>
    <s v="San Diego County"/>
    <x v="2"/>
    <x v="5"/>
    <x v="1"/>
  </r>
  <r>
    <x v="938"/>
    <x v="1"/>
    <x v="3"/>
    <n v="36"/>
    <x v="816"/>
    <x v="37"/>
    <d v="2025-02-08T00:00:00"/>
    <x v="2"/>
    <x v="1"/>
    <x v="0"/>
    <s v="California"/>
    <s v="San Diego County"/>
    <x v="3"/>
    <x v="5"/>
    <x v="2"/>
  </r>
  <r>
    <x v="939"/>
    <x v="18"/>
    <x v="0"/>
    <n v="50.6"/>
    <x v="578"/>
    <x v="37"/>
    <d v="2025-02-09T00:00:00"/>
    <x v="2"/>
    <x v="0"/>
    <x v="1"/>
    <s v="California"/>
    <s v="San Diego County"/>
    <x v="1"/>
    <x v="5"/>
    <x v="2"/>
  </r>
  <r>
    <x v="940"/>
    <x v="15"/>
    <x v="1"/>
    <n v="44.9"/>
    <x v="817"/>
    <x v="37"/>
    <d v="2025-02-09T00:00:00"/>
    <x v="1"/>
    <x v="0"/>
    <x v="1"/>
    <s v="California"/>
    <s v="San Diego County"/>
    <x v="1"/>
    <x v="5"/>
    <x v="1"/>
  </r>
  <r>
    <x v="941"/>
    <x v="6"/>
    <x v="2"/>
    <n v="71.599999999999994"/>
    <x v="818"/>
    <x v="37"/>
    <d v="2025-02-11T00:00:00"/>
    <x v="1"/>
    <x v="1"/>
    <x v="2"/>
    <s v="California"/>
    <s v="Santa Barbara County"/>
    <x v="5"/>
    <x v="5"/>
    <x v="1"/>
  </r>
  <r>
    <x v="942"/>
    <x v="6"/>
    <x v="13"/>
    <n v="51.5"/>
    <x v="15"/>
    <x v="37"/>
    <d v="2025-02-09T00:00:00"/>
    <x v="0"/>
    <x v="4"/>
    <x v="0"/>
    <s v="California"/>
    <s v="Santa Clara County"/>
    <x v="1"/>
    <x v="5"/>
    <x v="0"/>
  </r>
  <r>
    <x v="943"/>
    <x v="7"/>
    <x v="9"/>
    <n v="55.5"/>
    <x v="819"/>
    <x v="37"/>
    <d v="2025-02-08T00:00:00"/>
    <x v="1"/>
    <x v="1"/>
    <x v="1"/>
    <s v="California"/>
    <s v="Santa Clara County"/>
    <x v="3"/>
    <x v="5"/>
    <x v="1"/>
  </r>
  <r>
    <x v="944"/>
    <x v="6"/>
    <x v="0"/>
    <n v="51.7"/>
    <x v="733"/>
    <x v="37"/>
    <d v="2025-02-21T00:00:00"/>
    <x v="1"/>
    <x v="2"/>
    <x v="0"/>
    <s v="California"/>
    <s v="Stanislaus County"/>
    <x v="12"/>
    <x v="5"/>
    <x v="1"/>
  </r>
  <r>
    <x v="945"/>
    <x v="8"/>
    <x v="38"/>
    <n v="45.5"/>
    <x v="820"/>
    <x v="37"/>
    <d v="2025-02-08T00:00:00"/>
    <x v="2"/>
    <x v="3"/>
    <x v="2"/>
    <s v="California"/>
    <s v="Stanislaus County"/>
    <x v="3"/>
    <x v="5"/>
    <x v="2"/>
  </r>
  <r>
    <x v="946"/>
    <x v="8"/>
    <x v="1"/>
    <n v="33.799999999999997"/>
    <x v="821"/>
    <x v="37"/>
    <d v="2025-02-13T00:00:00"/>
    <x v="2"/>
    <x v="3"/>
    <x v="0"/>
    <s v="California"/>
    <s v="Tulare County"/>
    <x v="4"/>
    <x v="5"/>
    <x v="2"/>
  </r>
  <r>
    <x v="947"/>
    <x v="3"/>
    <x v="2"/>
    <n v="76.5"/>
    <x v="822"/>
    <x v="37"/>
    <d v="2025-02-08T00:00:00"/>
    <x v="2"/>
    <x v="0"/>
    <x v="1"/>
    <s v="California"/>
    <s v="Alameda County"/>
    <x v="3"/>
    <x v="5"/>
    <x v="2"/>
  </r>
  <r>
    <x v="948"/>
    <x v="9"/>
    <x v="2"/>
    <n v="42.6"/>
    <x v="823"/>
    <x v="37"/>
    <d v="2025-02-13T00:00:00"/>
    <x v="2"/>
    <x v="2"/>
    <x v="2"/>
    <s v="California"/>
    <s v="Fresno County"/>
    <x v="4"/>
    <x v="5"/>
    <x v="2"/>
  </r>
  <r>
    <x v="949"/>
    <x v="6"/>
    <x v="2"/>
    <n v="44.1"/>
    <x v="431"/>
    <x v="37"/>
    <d v="2025-02-09T00:00:00"/>
    <x v="2"/>
    <x v="1"/>
    <x v="1"/>
    <s v="California"/>
    <s v="Kern County"/>
    <x v="1"/>
    <x v="5"/>
    <x v="2"/>
  </r>
  <r>
    <x v="950"/>
    <x v="8"/>
    <x v="1"/>
    <n v="40.9"/>
    <x v="673"/>
    <x v="37"/>
    <d v="2025-02-11T00:00:00"/>
    <x v="1"/>
    <x v="0"/>
    <x v="0"/>
    <s v="California"/>
    <s v="Los Angeles County"/>
    <x v="5"/>
    <x v="5"/>
    <x v="1"/>
  </r>
  <r>
    <x v="951"/>
    <x v="9"/>
    <x v="2"/>
    <n v="49.1"/>
    <x v="824"/>
    <x v="37"/>
    <d v="2025-02-11T00:00:00"/>
    <x v="2"/>
    <x v="3"/>
    <x v="1"/>
    <s v="California"/>
    <s v="Los Angeles County"/>
    <x v="5"/>
    <x v="5"/>
    <x v="2"/>
  </r>
  <r>
    <x v="952"/>
    <x v="18"/>
    <x v="0"/>
    <n v="85.3"/>
    <x v="825"/>
    <x v="37"/>
    <d v="2025-02-11T00:00:00"/>
    <x v="1"/>
    <x v="1"/>
    <x v="1"/>
    <s v="California"/>
    <s v="Los Angeles County"/>
    <x v="5"/>
    <x v="5"/>
    <x v="1"/>
  </r>
  <r>
    <x v="953"/>
    <x v="6"/>
    <x v="12"/>
    <n v="43.1"/>
    <x v="826"/>
    <x v="38"/>
    <d v="2025-02-11T00:00:00"/>
    <x v="1"/>
    <x v="0"/>
    <x v="0"/>
    <s v="California"/>
    <s v="Los Angeles County"/>
    <x v="2"/>
    <x v="5"/>
    <x v="1"/>
  </r>
  <r>
    <x v="954"/>
    <x v="4"/>
    <x v="12"/>
    <n v="46.2"/>
    <x v="827"/>
    <x v="38"/>
    <d v="2025-02-09T00:00:00"/>
    <x v="1"/>
    <x v="2"/>
    <x v="0"/>
    <s v="California"/>
    <s v="Los Angeles County"/>
    <x v="3"/>
    <x v="5"/>
    <x v="1"/>
  </r>
  <r>
    <x v="955"/>
    <x v="1"/>
    <x v="0"/>
    <n v="74.400000000000006"/>
    <x v="610"/>
    <x v="38"/>
    <d v="2025-02-10T00:00:00"/>
    <x v="1"/>
    <x v="4"/>
    <x v="2"/>
    <s v="California"/>
    <s v="Los Angeles County"/>
    <x v="1"/>
    <x v="5"/>
    <x v="1"/>
  </r>
  <r>
    <x v="956"/>
    <x v="17"/>
    <x v="1"/>
    <n v="51.2"/>
    <x v="298"/>
    <x v="38"/>
    <d v="2025-02-09T00:00:00"/>
    <x v="1"/>
    <x v="1"/>
    <x v="0"/>
    <s v="California"/>
    <s v="Los Angeles County"/>
    <x v="3"/>
    <x v="5"/>
    <x v="1"/>
  </r>
  <r>
    <x v="957"/>
    <x v="14"/>
    <x v="12"/>
    <n v="11.8"/>
    <x v="828"/>
    <x v="38"/>
    <d v="2025-02-08T00:00:00"/>
    <x v="1"/>
    <x v="2"/>
    <x v="0"/>
    <s v="California"/>
    <s v="Los Angeles County"/>
    <x v="7"/>
    <x v="5"/>
    <x v="1"/>
  </r>
  <r>
    <x v="958"/>
    <x v="10"/>
    <x v="6"/>
    <n v="40.799999999999997"/>
    <x v="829"/>
    <x v="38"/>
    <d v="2025-02-09T00:00:00"/>
    <x v="2"/>
    <x v="3"/>
    <x v="2"/>
    <s v="California"/>
    <s v="Los Angeles County"/>
    <x v="3"/>
    <x v="5"/>
    <x v="2"/>
  </r>
  <r>
    <x v="959"/>
    <x v="8"/>
    <x v="0"/>
    <n v="24.7"/>
    <x v="830"/>
    <x v="38"/>
    <d v="2025-02-10T00:00:00"/>
    <x v="2"/>
    <x v="2"/>
    <x v="1"/>
    <s v="California"/>
    <s v="Los Angeles County"/>
    <x v="1"/>
    <x v="5"/>
    <x v="2"/>
  </r>
  <r>
    <x v="960"/>
    <x v="8"/>
    <x v="3"/>
    <n v="22.1"/>
    <x v="831"/>
    <x v="38"/>
    <d v="2025-02-08T00:00:00"/>
    <x v="2"/>
    <x v="2"/>
    <x v="4"/>
    <s v="California"/>
    <s v="Los Angeles County"/>
    <x v="7"/>
    <x v="5"/>
    <x v="2"/>
  </r>
  <r>
    <x v="961"/>
    <x v="8"/>
    <x v="0"/>
    <n v="18.100000000000001"/>
    <x v="832"/>
    <x v="38"/>
    <d v="2025-02-12T00:00:00"/>
    <x v="1"/>
    <x v="3"/>
    <x v="2"/>
    <s v="California"/>
    <s v="Los Angeles County"/>
    <x v="5"/>
    <x v="5"/>
    <x v="1"/>
  </r>
  <r>
    <x v="962"/>
    <x v="17"/>
    <x v="1"/>
    <n v="58.8"/>
    <x v="833"/>
    <x v="38"/>
    <d v="2025-02-11T00:00:00"/>
    <x v="2"/>
    <x v="0"/>
    <x v="0"/>
    <s v="California"/>
    <s v="Orange County"/>
    <x v="2"/>
    <x v="5"/>
    <x v="2"/>
  </r>
  <r>
    <x v="963"/>
    <x v="18"/>
    <x v="1"/>
    <n v="30.8"/>
    <x v="834"/>
    <x v="38"/>
    <d v="2025-02-09T00:00:00"/>
    <x v="2"/>
    <x v="0"/>
    <x v="0"/>
    <s v="California"/>
    <s v="Sacramento County"/>
    <x v="3"/>
    <x v="5"/>
    <x v="2"/>
  </r>
  <r>
    <x v="964"/>
    <x v="0"/>
    <x v="1"/>
    <n v="12"/>
    <x v="835"/>
    <x v="38"/>
    <d v="2025-02-12T00:00:00"/>
    <x v="2"/>
    <x v="0"/>
    <x v="0"/>
    <s v="California"/>
    <s v="Sacramento County"/>
    <x v="5"/>
    <x v="5"/>
    <x v="2"/>
  </r>
  <r>
    <x v="965"/>
    <x v="0"/>
    <x v="12"/>
    <n v="13.6"/>
    <x v="630"/>
    <x v="38"/>
    <d v="2025-02-11T00:00:00"/>
    <x v="1"/>
    <x v="2"/>
    <x v="0"/>
    <s v="California"/>
    <s v="Sacramento County"/>
    <x v="2"/>
    <x v="5"/>
    <x v="1"/>
  </r>
  <r>
    <x v="966"/>
    <x v="0"/>
    <x v="0"/>
    <n v="17.899999999999999"/>
    <x v="836"/>
    <x v="38"/>
    <d v="2025-02-09T00:00:00"/>
    <x v="1"/>
    <x v="3"/>
    <x v="0"/>
    <s v="California"/>
    <s v="Sacramento County"/>
    <x v="3"/>
    <x v="5"/>
    <x v="1"/>
  </r>
  <r>
    <x v="967"/>
    <x v="9"/>
    <x v="1"/>
    <n v="38.6"/>
    <x v="837"/>
    <x v="38"/>
    <d v="2025-02-12T00:00:00"/>
    <x v="2"/>
    <x v="4"/>
    <x v="0"/>
    <s v="California"/>
    <s v="San Bernardino County"/>
    <x v="5"/>
    <x v="5"/>
    <x v="2"/>
  </r>
  <r>
    <x v="968"/>
    <x v="5"/>
    <x v="9"/>
    <n v="32.700000000000003"/>
    <x v="838"/>
    <x v="38"/>
    <d v="2025-02-09T00:00:00"/>
    <x v="1"/>
    <x v="2"/>
    <x v="2"/>
    <s v="California"/>
    <s v="San Diego County"/>
    <x v="3"/>
    <x v="5"/>
    <x v="1"/>
  </r>
  <r>
    <x v="969"/>
    <x v="3"/>
    <x v="1"/>
    <n v="111.4"/>
    <x v="839"/>
    <x v="38"/>
    <d v="2025-02-09T00:00:00"/>
    <x v="2"/>
    <x v="1"/>
    <x v="0"/>
    <s v="California"/>
    <s v="San Diego County"/>
    <x v="3"/>
    <x v="5"/>
    <x v="2"/>
  </r>
  <r>
    <x v="970"/>
    <x v="2"/>
    <x v="13"/>
    <n v="80.3"/>
    <x v="840"/>
    <x v="38"/>
    <d v="2025-02-10T00:00:00"/>
    <x v="2"/>
    <x v="1"/>
    <x v="0"/>
    <s v="California"/>
    <s v="San Diego County"/>
    <x v="1"/>
    <x v="5"/>
    <x v="2"/>
  </r>
  <r>
    <x v="971"/>
    <x v="6"/>
    <x v="1"/>
    <n v="58.9"/>
    <x v="841"/>
    <x v="38"/>
    <d v="2025-02-09T00:00:00"/>
    <x v="1"/>
    <x v="1"/>
    <x v="0"/>
    <s v="California"/>
    <s v="San Diego County"/>
    <x v="3"/>
    <x v="5"/>
    <x v="1"/>
  </r>
  <r>
    <x v="972"/>
    <x v="6"/>
    <x v="2"/>
    <n v="51.9"/>
    <x v="515"/>
    <x v="38"/>
    <d v="2025-02-10T00:00:00"/>
    <x v="2"/>
    <x v="1"/>
    <x v="4"/>
    <s v="California"/>
    <s v="San Diego County"/>
    <x v="1"/>
    <x v="5"/>
    <x v="2"/>
  </r>
  <r>
    <x v="973"/>
    <x v="2"/>
    <x v="2"/>
    <n v="50.3"/>
    <x v="842"/>
    <x v="38"/>
    <d v="2025-02-09T00:00:00"/>
    <x v="1"/>
    <x v="2"/>
    <x v="0"/>
    <s v="California"/>
    <s v="San Francisco"/>
    <x v="3"/>
    <x v="5"/>
    <x v="1"/>
  </r>
  <r>
    <x v="974"/>
    <x v="11"/>
    <x v="13"/>
    <n v="45"/>
    <x v="843"/>
    <x v="38"/>
    <d v="2025-02-14T00:00:00"/>
    <x v="2"/>
    <x v="3"/>
    <x v="0"/>
    <s v="California"/>
    <s v="San Mateo County"/>
    <x v="4"/>
    <x v="5"/>
    <x v="2"/>
  </r>
  <r>
    <x v="975"/>
    <x v="10"/>
    <x v="13"/>
    <n v="44.7"/>
    <x v="844"/>
    <x v="38"/>
    <d v="2025-02-10T00:00:00"/>
    <x v="2"/>
    <x v="2"/>
    <x v="0"/>
    <s v="California"/>
    <s v="Santa Clara County"/>
    <x v="1"/>
    <x v="5"/>
    <x v="2"/>
  </r>
  <r>
    <x v="976"/>
    <x v="18"/>
    <x v="20"/>
    <n v="33"/>
    <x v="845"/>
    <x v="38"/>
    <d v="2025-02-09T00:00:00"/>
    <x v="2"/>
    <x v="2"/>
    <x v="0"/>
    <s v="California"/>
    <s v="Santa Clara County"/>
    <x v="3"/>
    <x v="5"/>
    <x v="2"/>
  </r>
  <r>
    <x v="977"/>
    <x v="1"/>
    <x v="9"/>
    <n v="44.9"/>
    <x v="846"/>
    <x v="38"/>
    <d v="2025-02-11T00:00:00"/>
    <x v="2"/>
    <x v="2"/>
    <x v="2"/>
    <s v="California"/>
    <s v="Sonoma County"/>
    <x v="2"/>
    <x v="5"/>
    <x v="2"/>
  </r>
  <r>
    <x v="978"/>
    <x v="10"/>
    <x v="1"/>
    <n v="34.6"/>
    <x v="564"/>
    <x v="38"/>
    <d v="2025-02-12T00:00:00"/>
    <x v="2"/>
    <x v="0"/>
    <x v="1"/>
    <s v="California"/>
    <s v="Stanislaus County"/>
    <x v="5"/>
    <x v="5"/>
    <x v="2"/>
  </r>
  <r>
    <x v="979"/>
    <x v="7"/>
    <x v="3"/>
    <n v="47.1"/>
    <x v="847"/>
    <x v="38"/>
    <d v="2025-02-13T00:00:00"/>
    <x v="2"/>
    <x v="0"/>
    <x v="0"/>
    <s v="California"/>
    <s v="Ventura County"/>
    <x v="0"/>
    <x v="5"/>
    <x v="2"/>
  </r>
  <r>
    <x v="980"/>
    <x v="4"/>
    <x v="9"/>
    <n v="26.1"/>
    <x v="848"/>
    <x v="38"/>
    <d v="2025-02-13T00:00:00"/>
    <x v="1"/>
    <x v="0"/>
    <x v="2"/>
    <s v="California"/>
    <s v="Alameda County"/>
    <x v="0"/>
    <x v="5"/>
    <x v="1"/>
  </r>
  <r>
    <x v="981"/>
    <x v="12"/>
    <x v="9"/>
    <n v="66.8"/>
    <x v="849"/>
    <x v="38"/>
    <d v="2025-02-11T00:00:00"/>
    <x v="2"/>
    <x v="0"/>
    <x v="0"/>
    <s v="California"/>
    <s v="Alameda County"/>
    <x v="2"/>
    <x v="5"/>
    <x v="2"/>
  </r>
  <r>
    <x v="982"/>
    <x v="2"/>
    <x v="1"/>
    <n v="167.9"/>
    <x v="850"/>
    <x v="38"/>
    <d v="2025-02-09T00:00:00"/>
    <x v="2"/>
    <x v="3"/>
    <x v="2"/>
    <s v="California"/>
    <s v="Alameda County"/>
    <x v="3"/>
    <x v="5"/>
    <x v="2"/>
  </r>
  <r>
    <x v="983"/>
    <x v="10"/>
    <x v="11"/>
    <n v="34.6"/>
    <x v="851"/>
    <x v="38"/>
    <d v="2025-02-09T00:00:00"/>
    <x v="2"/>
    <x v="2"/>
    <x v="1"/>
    <s v="California"/>
    <s v="Alameda County"/>
    <x v="3"/>
    <x v="5"/>
    <x v="2"/>
  </r>
  <r>
    <x v="984"/>
    <x v="8"/>
    <x v="2"/>
    <n v="35.1"/>
    <x v="852"/>
    <x v="39"/>
    <d v="2025-02-13T00:00:00"/>
    <x v="1"/>
    <x v="4"/>
    <x v="2"/>
    <s v="California"/>
    <s v="Contra Costa County"/>
    <x v="5"/>
    <x v="6"/>
    <x v="1"/>
  </r>
  <r>
    <x v="985"/>
    <x v="6"/>
    <x v="12"/>
    <n v="104.5"/>
    <x v="378"/>
    <x v="39"/>
    <d v="2025-02-10T00:00:00"/>
    <x v="1"/>
    <x v="1"/>
    <x v="1"/>
    <s v="California"/>
    <s v="Contra Costa County"/>
    <x v="3"/>
    <x v="6"/>
    <x v="1"/>
  </r>
  <r>
    <x v="986"/>
    <x v="8"/>
    <x v="0"/>
    <n v="37.9"/>
    <x v="853"/>
    <x v="39"/>
    <d v="2025-02-11T00:00:00"/>
    <x v="0"/>
    <x v="1"/>
    <x v="2"/>
    <s v="California"/>
    <s v="Fresno County"/>
    <x v="1"/>
    <x v="6"/>
    <x v="0"/>
  </r>
  <r>
    <x v="987"/>
    <x v="4"/>
    <x v="2"/>
    <n v="25.5"/>
    <x v="514"/>
    <x v="39"/>
    <d v="2025-02-12T00:00:00"/>
    <x v="1"/>
    <x v="3"/>
    <x v="0"/>
    <s v="California"/>
    <s v="Fresno County"/>
    <x v="2"/>
    <x v="6"/>
    <x v="1"/>
  </r>
  <r>
    <x v="988"/>
    <x v="0"/>
    <x v="2"/>
    <n v="32"/>
    <x v="854"/>
    <x v="39"/>
    <d v="2025-02-13T00:00:00"/>
    <x v="2"/>
    <x v="1"/>
    <x v="0"/>
    <s v="California"/>
    <s v="Kern County"/>
    <x v="5"/>
    <x v="6"/>
    <x v="2"/>
  </r>
  <r>
    <x v="989"/>
    <x v="1"/>
    <x v="0"/>
    <n v="47.1"/>
    <x v="392"/>
    <x v="39"/>
    <d v="2025-02-10T00:00:00"/>
    <x v="2"/>
    <x v="0"/>
    <x v="0"/>
    <s v="California"/>
    <s v="Kings County"/>
    <x v="3"/>
    <x v="6"/>
    <x v="2"/>
  </r>
  <r>
    <x v="990"/>
    <x v="6"/>
    <x v="1"/>
    <n v="50.6"/>
    <x v="855"/>
    <x v="39"/>
    <d v="2025-02-15T00:00:00"/>
    <x v="0"/>
    <x v="0"/>
    <x v="0"/>
    <s v="California"/>
    <s v="Los Angeles County"/>
    <x v="4"/>
    <x v="6"/>
    <x v="0"/>
  </r>
  <r>
    <x v="991"/>
    <x v="6"/>
    <x v="9"/>
    <n v="81.7"/>
    <x v="856"/>
    <x v="39"/>
    <d v="2025-02-10T00:00:00"/>
    <x v="2"/>
    <x v="1"/>
    <x v="2"/>
    <s v="California"/>
    <s v="Los Angeles County"/>
    <x v="3"/>
    <x v="6"/>
    <x v="2"/>
  </r>
  <r>
    <x v="992"/>
    <x v="5"/>
    <x v="1"/>
    <n v="50.7"/>
    <x v="857"/>
    <x v="39"/>
    <d v="2025-02-10T00:00:00"/>
    <x v="3"/>
    <x v="2"/>
    <x v="2"/>
    <s v="California"/>
    <s v="Los Angeles County"/>
    <x v="3"/>
    <x v="6"/>
    <x v="3"/>
  </r>
  <r>
    <x v="993"/>
    <x v="2"/>
    <x v="10"/>
    <n v="67.3"/>
    <x v="858"/>
    <x v="39"/>
    <d v="2025-02-13T00:00:00"/>
    <x v="2"/>
    <x v="2"/>
    <x v="0"/>
    <s v="California"/>
    <s v="Los Angeles County"/>
    <x v="5"/>
    <x v="6"/>
    <x v="2"/>
  </r>
  <r>
    <x v="994"/>
    <x v="2"/>
    <x v="12"/>
    <n v="64.8"/>
    <x v="629"/>
    <x v="39"/>
    <d v="2025-02-12T00:00:00"/>
    <x v="2"/>
    <x v="3"/>
    <x v="0"/>
    <s v="California"/>
    <s v="Los Angeles County"/>
    <x v="2"/>
    <x v="6"/>
    <x v="2"/>
  </r>
  <r>
    <x v="995"/>
    <x v="5"/>
    <x v="32"/>
    <n v="61.3"/>
    <x v="859"/>
    <x v="39"/>
    <d v="2025-02-10T00:00:00"/>
    <x v="2"/>
    <x v="0"/>
    <x v="2"/>
    <s v="California"/>
    <s v="Los Angeles County"/>
    <x v="3"/>
    <x v="6"/>
    <x v="2"/>
  </r>
  <r>
    <x v="996"/>
    <x v="14"/>
    <x v="0"/>
    <n v="32.9"/>
    <x v="860"/>
    <x v="39"/>
    <d v="2025-02-12T00:00:00"/>
    <x v="2"/>
    <x v="4"/>
    <x v="0"/>
    <s v="California"/>
    <s v="Los Angeles County"/>
    <x v="2"/>
    <x v="6"/>
    <x v="2"/>
  </r>
  <r>
    <x v="997"/>
    <x v="6"/>
    <x v="1"/>
    <n v="100.8"/>
    <x v="861"/>
    <x v="39"/>
    <d v="2025-02-12T00:00:00"/>
    <x v="2"/>
    <x v="0"/>
    <x v="0"/>
    <s v="California"/>
    <s v="Los Angeles County"/>
    <x v="2"/>
    <x v="6"/>
    <x v="2"/>
  </r>
  <r>
    <x v="998"/>
    <x v="8"/>
    <x v="12"/>
    <n v="25.1"/>
    <x v="862"/>
    <x v="39"/>
    <d v="2025-02-11T00:00:00"/>
    <x v="2"/>
    <x v="1"/>
    <x v="0"/>
    <s v="California"/>
    <s v="Los Angeles County"/>
    <x v="1"/>
    <x v="6"/>
    <x v="2"/>
  </r>
  <r>
    <x v="999"/>
    <x v="17"/>
    <x v="0"/>
    <n v="48.5"/>
    <x v="319"/>
    <x v="39"/>
    <d v="2025-02-10T00:00:00"/>
    <x v="2"/>
    <x v="0"/>
    <x v="1"/>
    <s v="California"/>
    <s v="Los Angeles County"/>
    <x v="3"/>
    <x v="6"/>
    <x v="2"/>
  </r>
  <r>
    <x v="1000"/>
    <x v="7"/>
    <x v="1"/>
    <n v="33.6"/>
    <x v="863"/>
    <x v="39"/>
    <d v="2025-02-13T00:00:00"/>
    <x v="2"/>
    <x v="2"/>
    <x v="2"/>
    <s v="California"/>
    <s v="Los Angeles County"/>
    <x v="5"/>
    <x v="6"/>
    <x v="2"/>
  </r>
  <r>
    <x v="1001"/>
    <x v="8"/>
    <x v="0"/>
    <n v="39.299999999999997"/>
    <x v="864"/>
    <x v="39"/>
    <d v="2025-02-20T00:00:00"/>
    <x v="2"/>
    <x v="1"/>
    <x v="1"/>
    <s v="California"/>
    <s v="Monterey County"/>
    <x v="11"/>
    <x v="6"/>
    <x v="2"/>
  </r>
  <r>
    <x v="1002"/>
    <x v="4"/>
    <x v="7"/>
    <n v="48.8"/>
    <x v="865"/>
    <x v="39"/>
    <d v="2025-02-11T00:00:00"/>
    <x v="2"/>
    <x v="3"/>
    <x v="1"/>
    <s v="California"/>
    <s v="Orange County"/>
    <x v="1"/>
    <x v="6"/>
    <x v="2"/>
  </r>
  <r>
    <x v="1003"/>
    <x v="6"/>
    <x v="8"/>
    <n v="72.8"/>
    <x v="866"/>
    <x v="39"/>
    <d v="2025-02-11T00:00:00"/>
    <x v="1"/>
    <x v="1"/>
    <x v="2"/>
    <s v="California"/>
    <s v="Placer County"/>
    <x v="1"/>
    <x v="6"/>
    <x v="1"/>
  </r>
  <r>
    <x v="1004"/>
    <x v="10"/>
    <x v="8"/>
    <n v="46.2"/>
    <x v="867"/>
    <x v="39"/>
    <d v="2025-02-10T00:00:00"/>
    <x v="1"/>
    <x v="3"/>
    <x v="4"/>
    <s v="California"/>
    <s v="Placer County"/>
    <x v="3"/>
    <x v="6"/>
    <x v="1"/>
  </r>
  <r>
    <x v="1005"/>
    <x v="4"/>
    <x v="1"/>
    <n v="20.7"/>
    <x v="50"/>
    <x v="39"/>
    <d v="2025-02-10T00:00:00"/>
    <x v="2"/>
    <x v="2"/>
    <x v="3"/>
    <s v="California"/>
    <s v="Sacramento County"/>
    <x v="3"/>
    <x v="6"/>
    <x v="2"/>
  </r>
  <r>
    <x v="1006"/>
    <x v="0"/>
    <x v="0"/>
    <n v="35.700000000000003"/>
    <x v="519"/>
    <x v="39"/>
    <d v="2025-02-11T00:00:00"/>
    <x v="2"/>
    <x v="3"/>
    <x v="0"/>
    <s v="California"/>
    <s v="Sacramento County"/>
    <x v="1"/>
    <x v="6"/>
    <x v="2"/>
  </r>
  <r>
    <x v="1007"/>
    <x v="2"/>
    <x v="27"/>
    <n v="166.2"/>
    <x v="868"/>
    <x v="39"/>
    <d v="2025-02-11T00:00:00"/>
    <x v="0"/>
    <x v="2"/>
    <x v="0"/>
    <s v="California"/>
    <s v="San Bernardino County"/>
    <x v="1"/>
    <x v="6"/>
    <x v="0"/>
  </r>
  <r>
    <x v="1008"/>
    <x v="6"/>
    <x v="12"/>
    <n v="85.8"/>
    <x v="869"/>
    <x v="39"/>
    <d v="2025-02-10T00:00:00"/>
    <x v="2"/>
    <x v="1"/>
    <x v="1"/>
    <s v="California"/>
    <s v="San Bernardino County"/>
    <x v="3"/>
    <x v="6"/>
    <x v="2"/>
  </r>
  <r>
    <x v="1009"/>
    <x v="8"/>
    <x v="2"/>
    <n v="26"/>
    <x v="292"/>
    <x v="39"/>
    <d v="2025-02-11T00:00:00"/>
    <x v="3"/>
    <x v="1"/>
    <x v="0"/>
    <s v="California"/>
    <s v="San Bernardino County"/>
    <x v="1"/>
    <x v="6"/>
    <x v="3"/>
  </r>
  <r>
    <x v="1010"/>
    <x v="2"/>
    <x v="15"/>
    <n v="116.6"/>
    <x v="870"/>
    <x v="39"/>
    <d v="2025-02-12T00:00:00"/>
    <x v="2"/>
    <x v="0"/>
    <x v="0"/>
    <s v="California"/>
    <s v="San Diego County"/>
    <x v="2"/>
    <x v="6"/>
    <x v="2"/>
  </r>
  <r>
    <x v="1011"/>
    <x v="9"/>
    <x v="3"/>
    <n v="53.9"/>
    <x v="871"/>
    <x v="39"/>
    <d v="2025-02-12T00:00:00"/>
    <x v="3"/>
    <x v="0"/>
    <x v="2"/>
    <s v="California"/>
    <s v="San Diego County"/>
    <x v="2"/>
    <x v="6"/>
    <x v="3"/>
  </r>
  <r>
    <x v="1012"/>
    <x v="12"/>
    <x v="9"/>
    <n v="72.3"/>
    <x v="785"/>
    <x v="39"/>
    <d v="2025-02-11T00:00:00"/>
    <x v="0"/>
    <x v="2"/>
    <x v="2"/>
    <s v="California"/>
    <s v="San Diego County"/>
    <x v="1"/>
    <x v="6"/>
    <x v="0"/>
  </r>
  <r>
    <x v="1013"/>
    <x v="5"/>
    <x v="1"/>
    <n v="31.4"/>
    <x v="143"/>
    <x v="39"/>
    <d v="2025-02-11T00:00:00"/>
    <x v="2"/>
    <x v="0"/>
    <x v="0"/>
    <s v="California"/>
    <s v="San Diego County"/>
    <x v="1"/>
    <x v="6"/>
    <x v="2"/>
  </r>
  <r>
    <x v="1014"/>
    <x v="13"/>
    <x v="1"/>
    <n v="53.1"/>
    <x v="872"/>
    <x v="39"/>
    <d v="2025-02-12T00:00:00"/>
    <x v="1"/>
    <x v="1"/>
    <x v="0"/>
    <s v="California"/>
    <s v="San Diego County"/>
    <x v="2"/>
    <x v="6"/>
    <x v="1"/>
  </r>
  <r>
    <x v="1015"/>
    <x v="2"/>
    <x v="12"/>
    <n v="56.2"/>
    <x v="873"/>
    <x v="39"/>
    <d v="2025-02-10T00:00:00"/>
    <x v="2"/>
    <x v="0"/>
    <x v="0"/>
    <s v="California"/>
    <s v="San Diego County"/>
    <x v="3"/>
    <x v="6"/>
    <x v="2"/>
  </r>
  <r>
    <x v="1016"/>
    <x v="1"/>
    <x v="7"/>
    <n v="77.3"/>
    <x v="874"/>
    <x v="39"/>
    <d v="2025-02-10T00:00:00"/>
    <x v="2"/>
    <x v="2"/>
    <x v="0"/>
    <s v="California"/>
    <s v="Santa Clara County"/>
    <x v="3"/>
    <x v="6"/>
    <x v="2"/>
  </r>
  <r>
    <x v="1017"/>
    <x v="6"/>
    <x v="15"/>
    <n v="57.8"/>
    <x v="875"/>
    <x v="39"/>
    <d v="2025-02-10T00:00:00"/>
    <x v="0"/>
    <x v="0"/>
    <x v="0"/>
    <s v="California"/>
    <s v="Shasta County"/>
    <x v="3"/>
    <x v="6"/>
    <x v="0"/>
  </r>
  <r>
    <x v="1018"/>
    <x v="12"/>
    <x v="20"/>
    <n v="42.1"/>
    <x v="876"/>
    <x v="39"/>
    <d v="2025-02-11T00:00:00"/>
    <x v="2"/>
    <x v="1"/>
    <x v="1"/>
    <s v="California"/>
    <s v="Shasta County"/>
    <x v="1"/>
    <x v="6"/>
    <x v="2"/>
  </r>
  <r>
    <x v="1019"/>
    <x v="8"/>
    <x v="11"/>
    <n v="22.8"/>
    <x v="877"/>
    <x v="39"/>
    <d v="2025-02-13T00:00:00"/>
    <x v="1"/>
    <x v="2"/>
    <x v="2"/>
    <s v="California"/>
    <s v="Stanislaus County"/>
    <x v="5"/>
    <x v="6"/>
    <x v="1"/>
  </r>
  <r>
    <x v="1020"/>
    <x v="2"/>
    <x v="2"/>
    <n v="171.1"/>
    <x v="878"/>
    <x v="40"/>
    <d v="2025-02-17T00:00:00"/>
    <x v="2"/>
    <x v="2"/>
    <x v="1"/>
    <s v="California"/>
    <s v="Stanislaus County"/>
    <x v="6"/>
    <x v="6"/>
    <x v="2"/>
  </r>
  <r>
    <x v="1021"/>
    <x v="8"/>
    <x v="0"/>
    <n v="28"/>
    <x v="879"/>
    <x v="40"/>
    <d v="2025-02-12T00:00:00"/>
    <x v="1"/>
    <x v="2"/>
    <x v="2"/>
    <s v="California"/>
    <s v="Alameda County"/>
    <x v="1"/>
    <x v="6"/>
    <x v="1"/>
  </r>
  <r>
    <x v="1022"/>
    <x v="6"/>
    <x v="3"/>
    <n v="50.2"/>
    <x v="880"/>
    <x v="40"/>
    <d v="2025-02-12T00:00:00"/>
    <x v="1"/>
    <x v="2"/>
    <x v="0"/>
    <s v="California"/>
    <s v="Alameda County"/>
    <x v="1"/>
    <x v="6"/>
    <x v="1"/>
  </r>
  <r>
    <x v="1023"/>
    <x v="6"/>
    <x v="1"/>
    <n v="56"/>
    <x v="881"/>
    <x v="40"/>
    <d v="2025-02-10T00:00:00"/>
    <x v="1"/>
    <x v="0"/>
    <x v="2"/>
    <s v="California"/>
    <s v="Kern County"/>
    <x v="7"/>
    <x v="6"/>
    <x v="1"/>
  </r>
  <r>
    <x v="1024"/>
    <x v="1"/>
    <x v="1"/>
    <n v="38.299999999999997"/>
    <x v="882"/>
    <x v="40"/>
    <d v="2025-02-11T00:00:00"/>
    <x v="2"/>
    <x v="1"/>
    <x v="0"/>
    <s v="California"/>
    <s v="Los Angeles County"/>
    <x v="3"/>
    <x v="6"/>
    <x v="2"/>
  </r>
  <r>
    <x v="1025"/>
    <x v="0"/>
    <x v="9"/>
    <n v="22.3"/>
    <x v="883"/>
    <x v="40"/>
    <d v="2025-02-14T00:00:00"/>
    <x v="2"/>
    <x v="2"/>
    <x v="1"/>
    <s v="California"/>
    <s v="Los Angeles County"/>
    <x v="5"/>
    <x v="6"/>
    <x v="2"/>
  </r>
  <r>
    <x v="1026"/>
    <x v="0"/>
    <x v="2"/>
    <n v="22.3"/>
    <x v="884"/>
    <x v="40"/>
    <d v="2025-02-13T00:00:00"/>
    <x v="2"/>
    <x v="2"/>
    <x v="0"/>
    <s v="California"/>
    <s v="Los Angeles County"/>
    <x v="2"/>
    <x v="6"/>
    <x v="2"/>
  </r>
  <r>
    <x v="1027"/>
    <x v="1"/>
    <x v="0"/>
    <n v="32.9"/>
    <x v="860"/>
    <x v="40"/>
    <d v="2025-02-15T00:00:00"/>
    <x v="2"/>
    <x v="0"/>
    <x v="0"/>
    <s v="California"/>
    <s v="Los Angeles County"/>
    <x v="0"/>
    <x v="6"/>
    <x v="2"/>
  </r>
  <r>
    <x v="1028"/>
    <x v="10"/>
    <x v="2"/>
    <n v="31.9"/>
    <x v="802"/>
    <x v="40"/>
    <d v="2025-02-15T00:00:00"/>
    <x v="2"/>
    <x v="0"/>
    <x v="0"/>
    <s v="California"/>
    <s v="Los Angeles County"/>
    <x v="0"/>
    <x v="6"/>
    <x v="2"/>
  </r>
  <r>
    <x v="1029"/>
    <x v="6"/>
    <x v="1"/>
    <n v="94"/>
    <x v="885"/>
    <x v="40"/>
    <d v="2025-02-11T00:00:00"/>
    <x v="1"/>
    <x v="2"/>
    <x v="2"/>
    <s v="California"/>
    <s v="Los Angeles County"/>
    <x v="3"/>
    <x v="6"/>
    <x v="1"/>
  </r>
  <r>
    <x v="1030"/>
    <x v="10"/>
    <x v="1"/>
    <n v="30.7"/>
    <x v="886"/>
    <x v="40"/>
    <d v="2025-02-11T00:00:00"/>
    <x v="2"/>
    <x v="0"/>
    <x v="1"/>
    <s v="California"/>
    <s v="Los Angeles County"/>
    <x v="3"/>
    <x v="6"/>
    <x v="2"/>
  </r>
  <r>
    <x v="1031"/>
    <x v="5"/>
    <x v="9"/>
    <n v="90.5"/>
    <x v="887"/>
    <x v="40"/>
    <d v="2025-02-17T00:00:00"/>
    <x v="1"/>
    <x v="0"/>
    <x v="2"/>
    <s v="California"/>
    <s v="Los Angeles County"/>
    <x v="6"/>
    <x v="6"/>
    <x v="1"/>
  </r>
  <r>
    <x v="1032"/>
    <x v="8"/>
    <x v="9"/>
    <n v="25.3"/>
    <x v="888"/>
    <x v="40"/>
    <d v="2025-02-14T00:00:00"/>
    <x v="2"/>
    <x v="0"/>
    <x v="2"/>
    <s v="California"/>
    <s v="Los Angeles County"/>
    <x v="5"/>
    <x v="6"/>
    <x v="2"/>
  </r>
  <r>
    <x v="1033"/>
    <x v="6"/>
    <x v="2"/>
    <n v="58.1"/>
    <x v="889"/>
    <x v="40"/>
    <d v="2025-02-14T00:00:00"/>
    <x v="0"/>
    <x v="0"/>
    <x v="2"/>
    <s v="California"/>
    <s v="Los Angeles County"/>
    <x v="5"/>
    <x v="6"/>
    <x v="0"/>
  </r>
  <r>
    <x v="1034"/>
    <x v="2"/>
    <x v="2"/>
    <n v="74.900000000000006"/>
    <x v="890"/>
    <x v="40"/>
    <d v="2025-02-11T00:00:00"/>
    <x v="2"/>
    <x v="4"/>
    <x v="0"/>
    <s v="California"/>
    <s v="Los Angeles County"/>
    <x v="3"/>
    <x v="6"/>
    <x v="2"/>
  </r>
  <r>
    <x v="1035"/>
    <x v="4"/>
    <x v="1"/>
    <n v="32.5"/>
    <x v="891"/>
    <x v="40"/>
    <d v="2025-02-11T00:00:00"/>
    <x v="1"/>
    <x v="2"/>
    <x v="2"/>
    <s v="California"/>
    <s v="Marin County"/>
    <x v="3"/>
    <x v="6"/>
    <x v="1"/>
  </r>
  <r>
    <x v="1036"/>
    <x v="4"/>
    <x v="9"/>
    <n v="62"/>
    <x v="892"/>
    <x v="40"/>
    <d v="2025-02-11T00:00:00"/>
    <x v="1"/>
    <x v="4"/>
    <x v="2"/>
    <s v="California"/>
    <s v="Orange County"/>
    <x v="3"/>
    <x v="6"/>
    <x v="1"/>
  </r>
  <r>
    <x v="1037"/>
    <x v="13"/>
    <x v="13"/>
    <n v="28.9"/>
    <x v="893"/>
    <x v="40"/>
    <d v="2025-02-13T00:00:00"/>
    <x v="2"/>
    <x v="0"/>
    <x v="1"/>
    <s v="California"/>
    <s v="Sacramento County"/>
    <x v="2"/>
    <x v="6"/>
    <x v="2"/>
  </r>
  <r>
    <x v="1038"/>
    <x v="6"/>
    <x v="8"/>
    <n v="42.8"/>
    <x v="894"/>
    <x v="40"/>
    <d v="2025-02-12T00:00:00"/>
    <x v="2"/>
    <x v="0"/>
    <x v="2"/>
    <s v="California"/>
    <s v="Sacramento County"/>
    <x v="1"/>
    <x v="6"/>
    <x v="2"/>
  </r>
  <r>
    <x v="1039"/>
    <x v="8"/>
    <x v="8"/>
    <n v="39.4"/>
    <x v="895"/>
    <x v="40"/>
    <d v="2025-02-12T00:00:00"/>
    <x v="1"/>
    <x v="0"/>
    <x v="0"/>
    <s v="California"/>
    <s v="San Benito County"/>
    <x v="1"/>
    <x v="6"/>
    <x v="1"/>
  </r>
  <r>
    <x v="1040"/>
    <x v="18"/>
    <x v="2"/>
    <n v="66.400000000000006"/>
    <x v="896"/>
    <x v="40"/>
    <d v="2025-02-11T00:00:00"/>
    <x v="0"/>
    <x v="2"/>
    <x v="1"/>
    <s v="California"/>
    <s v="San Bernardino County"/>
    <x v="3"/>
    <x v="6"/>
    <x v="0"/>
  </r>
  <r>
    <x v="1041"/>
    <x v="17"/>
    <x v="12"/>
    <n v="35.9"/>
    <x v="897"/>
    <x v="40"/>
    <d v="2025-02-17T00:00:00"/>
    <x v="2"/>
    <x v="1"/>
    <x v="0"/>
    <s v="California"/>
    <s v="San Bernardino County"/>
    <x v="6"/>
    <x v="6"/>
    <x v="2"/>
  </r>
  <r>
    <x v="1042"/>
    <x v="0"/>
    <x v="12"/>
    <n v="26.9"/>
    <x v="799"/>
    <x v="40"/>
    <d v="2025-02-11T00:00:00"/>
    <x v="1"/>
    <x v="1"/>
    <x v="0"/>
    <s v="California"/>
    <s v="San Bernardino County"/>
    <x v="3"/>
    <x v="6"/>
    <x v="1"/>
  </r>
  <r>
    <x v="1043"/>
    <x v="2"/>
    <x v="0"/>
    <n v="55.1"/>
    <x v="898"/>
    <x v="40"/>
    <d v="2025-02-11T00:00:00"/>
    <x v="2"/>
    <x v="0"/>
    <x v="0"/>
    <s v="California"/>
    <s v="San Bernardino County"/>
    <x v="3"/>
    <x v="6"/>
    <x v="2"/>
  </r>
  <r>
    <x v="1044"/>
    <x v="4"/>
    <x v="1"/>
    <n v="23.9"/>
    <x v="538"/>
    <x v="40"/>
    <d v="2025-02-11T00:00:00"/>
    <x v="1"/>
    <x v="0"/>
    <x v="2"/>
    <s v="California"/>
    <s v="San Diego County"/>
    <x v="3"/>
    <x v="6"/>
    <x v="1"/>
  </r>
  <r>
    <x v="1045"/>
    <x v="9"/>
    <x v="15"/>
    <n v="21.1"/>
    <x v="899"/>
    <x v="40"/>
    <d v="2025-02-18T00:00:00"/>
    <x v="2"/>
    <x v="0"/>
    <x v="1"/>
    <s v="California"/>
    <s v="San Diego County"/>
    <x v="9"/>
    <x v="6"/>
    <x v="2"/>
  </r>
  <r>
    <x v="1046"/>
    <x v="8"/>
    <x v="9"/>
    <n v="33.799999999999997"/>
    <x v="900"/>
    <x v="40"/>
    <d v="2025-02-12T00:00:00"/>
    <x v="2"/>
    <x v="0"/>
    <x v="0"/>
    <s v="California"/>
    <s v="San Diego County"/>
    <x v="1"/>
    <x v="6"/>
    <x v="2"/>
  </r>
  <r>
    <x v="1047"/>
    <x v="2"/>
    <x v="12"/>
    <n v="56.1"/>
    <x v="901"/>
    <x v="40"/>
    <d v="2025-02-10T00:00:00"/>
    <x v="2"/>
    <x v="3"/>
    <x v="2"/>
    <s v="California"/>
    <s v="San Mateo County"/>
    <x v="7"/>
    <x v="6"/>
    <x v="2"/>
  </r>
  <r>
    <x v="1048"/>
    <x v="3"/>
    <x v="0"/>
    <n v="58.5"/>
    <x v="902"/>
    <x v="41"/>
    <d v="2025-02-15T00:00:00"/>
    <x v="2"/>
    <x v="1"/>
    <x v="2"/>
    <s v="California"/>
    <s v="San Mateo County"/>
    <x v="5"/>
    <x v="6"/>
    <x v="2"/>
  </r>
  <r>
    <x v="1049"/>
    <x v="6"/>
    <x v="0"/>
    <n v="84.2"/>
    <x v="903"/>
    <x v="41"/>
    <d v="2025-02-13T00:00:00"/>
    <x v="1"/>
    <x v="3"/>
    <x v="0"/>
    <s v="California"/>
    <s v="Santa Clara County"/>
    <x v="1"/>
    <x v="6"/>
    <x v="1"/>
  </r>
  <r>
    <x v="1050"/>
    <x v="11"/>
    <x v="12"/>
    <n v="52"/>
    <x v="904"/>
    <x v="41"/>
    <d v="2025-02-14T00:00:00"/>
    <x v="1"/>
    <x v="0"/>
    <x v="0"/>
    <s v="California"/>
    <s v="Santa Clara County"/>
    <x v="2"/>
    <x v="6"/>
    <x v="1"/>
  </r>
  <r>
    <x v="1051"/>
    <x v="4"/>
    <x v="9"/>
    <n v="31.5"/>
    <x v="905"/>
    <x v="41"/>
    <d v="2025-02-12T00:00:00"/>
    <x v="2"/>
    <x v="0"/>
    <x v="2"/>
    <s v="California"/>
    <s v="Santa Clara County"/>
    <x v="3"/>
    <x v="6"/>
    <x v="2"/>
  </r>
  <r>
    <x v="1052"/>
    <x v="16"/>
    <x v="2"/>
    <n v="46.2"/>
    <x v="209"/>
    <x v="41"/>
    <d v="2025-02-12T00:00:00"/>
    <x v="1"/>
    <x v="0"/>
    <x v="0"/>
    <s v="California"/>
    <s v="Shasta County"/>
    <x v="3"/>
    <x v="6"/>
    <x v="1"/>
  </r>
  <r>
    <x v="1053"/>
    <x v="2"/>
    <x v="13"/>
    <n v="135"/>
    <x v="906"/>
    <x v="41"/>
    <d v="2025-02-12T00:00:00"/>
    <x v="2"/>
    <x v="1"/>
    <x v="2"/>
    <s v="California"/>
    <s v="Sonoma County"/>
    <x v="3"/>
    <x v="6"/>
    <x v="2"/>
  </r>
  <r>
    <x v="1054"/>
    <x v="12"/>
    <x v="2"/>
    <n v="92.2"/>
    <x v="907"/>
    <x v="41"/>
    <d v="2025-02-15T00:00:00"/>
    <x v="1"/>
    <x v="0"/>
    <x v="0"/>
    <s v="California"/>
    <s v="Alameda County"/>
    <x v="5"/>
    <x v="6"/>
    <x v="1"/>
  </r>
  <r>
    <x v="1055"/>
    <x v="8"/>
    <x v="0"/>
    <n v="36.6"/>
    <x v="547"/>
    <x v="41"/>
    <d v="2025-02-13T00:00:00"/>
    <x v="1"/>
    <x v="2"/>
    <x v="2"/>
    <s v="California"/>
    <s v="Alameda County"/>
    <x v="1"/>
    <x v="6"/>
    <x v="1"/>
  </r>
  <r>
    <x v="1056"/>
    <x v="9"/>
    <x v="1"/>
    <n v="50.6"/>
    <x v="855"/>
    <x v="41"/>
    <d v="2025-02-14T00:00:00"/>
    <x v="2"/>
    <x v="0"/>
    <x v="0"/>
    <s v="California"/>
    <s v="Fresno County"/>
    <x v="2"/>
    <x v="6"/>
    <x v="2"/>
  </r>
  <r>
    <x v="1057"/>
    <x v="18"/>
    <x v="3"/>
    <n v="56.7"/>
    <x v="908"/>
    <x v="41"/>
    <d v="2025-02-14T00:00:00"/>
    <x v="2"/>
    <x v="0"/>
    <x v="0"/>
    <s v="California"/>
    <s v="Fresno County"/>
    <x v="2"/>
    <x v="6"/>
    <x v="2"/>
  </r>
  <r>
    <x v="1058"/>
    <x v="9"/>
    <x v="15"/>
    <n v="22.9"/>
    <x v="909"/>
    <x v="41"/>
    <d v="2025-02-12T00:00:00"/>
    <x v="2"/>
    <x v="0"/>
    <x v="1"/>
    <s v="California"/>
    <s v="Humboldt County"/>
    <x v="3"/>
    <x v="6"/>
    <x v="2"/>
  </r>
  <r>
    <x v="1059"/>
    <x v="15"/>
    <x v="10"/>
    <n v="53.6"/>
    <x v="910"/>
    <x v="41"/>
    <d v="2025-02-12T00:00:00"/>
    <x v="1"/>
    <x v="0"/>
    <x v="0"/>
    <s v="California"/>
    <s v="Kern County"/>
    <x v="3"/>
    <x v="6"/>
    <x v="1"/>
  </r>
  <r>
    <x v="1060"/>
    <x v="18"/>
    <x v="1"/>
    <n v="30.2"/>
    <x v="266"/>
    <x v="41"/>
    <d v="2025-02-13T00:00:00"/>
    <x v="0"/>
    <x v="2"/>
    <x v="2"/>
    <s v="California"/>
    <s v="Los Angeles County"/>
    <x v="1"/>
    <x v="6"/>
    <x v="0"/>
  </r>
  <r>
    <x v="1061"/>
    <x v="15"/>
    <x v="13"/>
    <n v="83.4"/>
    <x v="911"/>
    <x v="41"/>
    <d v="2025-02-12T00:00:00"/>
    <x v="1"/>
    <x v="1"/>
    <x v="2"/>
    <s v="California"/>
    <s v="Los Angeles County"/>
    <x v="3"/>
    <x v="6"/>
    <x v="1"/>
  </r>
  <r>
    <x v="1062"/>
    <x v="13"/>
    <x v="4"/>
    <n v="16.600000000000001"/>
    <x v="896"/>
    <x v="41"/>
    <d v="2025-02-13T00:00:00"/>
    <x v="1"/>
    <x v="1"/>
    <x v="0"/>
    <s v="California"/>
    <s v="Los Angeles County"/>
    <x v="1"/>
    <x v="6"/>
    <x v="1"/>
  </r>
  <r>
    <x v="1063"/>
    <x v="8"/>
    <x v="14"/>
    <n v="21.9"/>
    <x v="912"/>
    <x v="41"/>
    <d v="2025-02-13T00:00:00"/>
    <x v="2"/>
    <x v="4"/>
    <x v="1"/>
    <s v="California"/>
    <s v="Los Angeles County"/>
    <x v="1"/>
    <x v="6"/>
    <x v="2"/>
  </r>
  <r>
    <x v="1064"/>
    <x v="8"/>
    <x v="31"/>
    <n v="33.799999999999997"/>
    <x v="913"/>
    <x v="41"/>
    <d v="2025-02-13T00:00:00"/>
    <x v="1"/>
    <x v="2"/>
    <x v="4"/>
    <s v="California"/>
    <s v="Los Angeles County"/>
    <x v="1"/>
    <x v="6"/>
    <x v="1"/>
  </r>
  <r>
    <x v="1065"/>
    <x v="18"/>
    <x v="1"/>
    <n v="53.2"/>
    <x v="793"/>
    <x v="41"/>
    <d v="2025-02-11T00:00:00"/>
    <x v="1"/>
    <x v="1"/>
    <x v="0"/>
    <s v="California"/>
    <s v="Los Angeles County"/>
    <x v="7"/>
    <x v="6"/>
    <x v="1"/>
  </r>
  <r>
    <x v="1066"/>
    <x v="2"/>
    <x v="1"/>
    <n v="176.7"/>
    <x v="914"/>
    <x v="41"/>
    <d v="2025-02-14T00:00:00"/>
    <x v="2"/>
    <x v="2"/>
    <x v="0"/>
    <s v="California"/>
    <s v="Los Angeles County"/>
    <x v="2"/>
    <x v="6"/>
    <x v="2"/>
  </r>
  <r>
    <x v="1067"/>
    <x v="12"/>
    <x v="2"/>
    <n v="54"/>
    <x v="915"/>
    <x v="41"/>
    <d v="2025-02-14T00:00:00"/>
    <x v="1"/>
    <x v="0"/>
    <x v="1"/>
    <s v="California"/>
    <s v="Los Angeles County"/>
    <x v="2"/>
    <x v="6"/>
    <x v="1"/>
  </r>
  <r>
    <x v="1068"/>
    <x v="9"/>
    <x v="1"/>
    <n v="70.099999999999994"/>
    <x v="634"/>
    <x v="41"/>
    <d v="2025-02-19T00:00:00"/>
    <x v="2"/>
    <x v="3"/>
    <x v="2"/>
    <s v="California"/>
    <s v="Los Angeles County"/>
    <x v="9"/>
    <x v="6"/>
    <x v="2"/>
  </r>
  <r>
    <x v="1069"/>
    <x v="8"/>
    <x v="0"/>
    <n v="26.5"/>
    <x v="38"/>
    <x v="41"/>
    <d v="2025-02-13T00:00:00"/>
    <x v="2"/>
    <x v="1"/>
    <x v="0"/>
    <s v="California"/>
    <s v="Los Angeles County"/>
    <x v="1"/>
    <x v="6"/>
    <x v="2"/>
  </r>
  <r>
    <x v="1070"/>
    <x v="7"/>
    <x v="9"/>
    <n v="89"/>
    <x v="916"/>
    <x v="41"/>
    <d v="2025-02-13T00:00:00"/>
    <x v="1"/>
    <x v="2"/>
    <x v="4"/>
    <s v="California"/>
    <s v="Los Angeles County"/>
    <x v="1"/>
    <x v="6"/>
    <x v="1"/>
  </r>
  <r>
    <x v="1071"/>
    <x v="1"/>
    <x v="13"/>
    <n v="47"/>
    <x v="917"/>
    <x v="41"/>
    <d v="2025-02-14T00:00:00"/>
    <x v="2"/>
    <x v="3"/>
    <x v="0"/>
    <s v="California"/>
    <s v="Merced County"/>
    <x v="2"/>
    <x v="6"/>
    <x v="2"/>
  </r>
  <r>
    <x v="1072"/>
    <x v="3"/>
    <x v="1"/>
    <n v="55.2"/>
    <x v="918"/>
    <x v="41"/>
    <d v="2025-02-14T00:00:00"/>
    <x v="1"/>
    <x v="1"/>
    <x v="1"/>
    <s v="California"/>
    <s v="Sacramento County"/>
    <x v="2"/>
    <x v="6"/>
    <x v="1"/>
  </r>
  <r>
    <x v="1073"/>
    <x v="8"/>
    <x v="39"/>
    <n v="33.299999999999997"/>
    <x v="919"/>
    <x v="41"/>
    <d v="2025-02-25T00:00:00"/>
    <x v="1"/>
    <x v="1"/>
    <x v="2"/>
    <s v="California"/>
    <s v="Sacramento County"/>
    <x v="12"/>
    <x v="6"/>
    <x v="1"/>
  </r>
  <r>
    <x v="1074"/>
    <x v="2"/>
    <x v="12"/>
    <n v="110.9"/>
    <x v="920"/>
    <x v="42"/>
    <d v="2025-02-12T00:00:00"/>
    <x v="1"/>
    <x v="2"/>
    <x v="4"/>
    <s v="California"/>
    <s v="Sacramento County"/>
    <x v="7"/>
    <x v="6"/>
    <x v="1"/>
  </r>
  <r>
    <x v="1075"/>
    <x v="2"/>
    <x v="13"/>
    <n v="67.3"/>
    <x v="921"/>
    <x v="42"/>
    <d v="2025-02-13T00:00:00"/>
    <x v="1"/>
    <x v="0"/>
    <x v="0"/>
    <s v="California"/>
    <s v="San Diego County"/>
    <x v="3"/>
    <x v="6"/>
    <x v="1"/>
  </r>
  <r>
    <x v="1076"/>
    <x v="6"/>
    <x v="2"/>
    <n v="69.7"/>
    <x v="922"/>
    <x v="42"/>
    <d v="2025-02-13T00:00:00"/>
    <x v="1"/>
    <x v="2"/>
    <x v="1"/>
    <s v="California"/>
    <s v="San Diego County"/>
    <x v="3"/>
    <x v="6"/>
    <x v="1"/>
  </r>
  <r>
    <x v="1077"/>
    <x v="5"/>
    <x v="0"/>
    <n v="39.1"/>
    <x v="923"/>
    <x v="42"/>
    <d v="2025-02-17T00:00:00"/>
    <x v="1"/>
    <x v="0"/>
    <x v="1"/>
    <s v="California"/>
    <s v="San Francisco"/>
    <x v="0"/>
    <x v="6"/>
    <x v="1"/>
  </r>
  <r>
    <x v="1078"/>
    <x v="2"/>
    <x v="2"/>
    <n v="208.6"/>
    <x v="924"/>
    <x v="42"/>
    <d v="2025-02-12T00:00:00"/>
    <x v="1"/>
    <x v="4"/>
    <x v="2"/>
    <s v="California"/>
    <s v="San Francisco"/>
    <x v="7"/>
    <x v="6"/>
    <x v="1"/>
  </r>
  <r>
    <x v="1079"/>
    <x v="15"/>
    <x v="2"/>
    <n v="27.8"/>
    <x v="925"/>
    <x v="42"/>
    <d v="2025-02-13T00:00:00"/>
    <x v="1"/>
    <x v="3"/>
    <x v="1"/>
    <s v="California"/>
    <s v="Santa Clara County"/>
    <x v="3"/>
    <x v="6"/>
    <x v="1"/>
  </r>
  <r>
    <x v="1080"/>
    <x v="10"/>
    <x v="9"/>
    <n v="29.4"/>
    <x v="926"/>
    <x v="42"/>
    <d v="2025-02-14T00:00:00"/>
    <x v="2"/>
    <x v="0"/>
    <x v="0"/>
    <s v="California"/>
    <s v="Santa Clara County"/>
    <x v="1"/>
    <x v="6"/>
    <x v="2"/>
  </r>
  <r>
    <x v="1081"/>
    <x v="9"/>
    <x v="1"/>
    <n v="29.2"/>
    <x v="305"/>
    <x v="42"/>
    <d v="2025-02-14T00:00:00"/>
    <x v="2"/>
    <x v="1"/>
    <x v="2"/>
    <s v="California"/>
    <s v="Tulare County"/>
    <x v="1"/>
    <x v="6"/>
    <x v="2"/>
  </r>
  <r>
    <x v="1082"/>
    <x v="10"/>
    <x v="9"/>
    <n v="26.5"/>
    <x v="927"/>
    <x v="42"/>
    <d v="2025-02-14T00:00:00"/>
    <x v="2"/>
    <x v="0"/>
    <x v="0"/>
    <s v="California"/>
    <s v="Tuolumne County"/>
    <x v="1"/>
    <x v="6"/>
    <x v="2"/>
  </r>
  <r>
    <x v="1083"/>
    <x v="5"/>
    <x v="0"/>
    <n v="30.3"/>
    <x v="928"/>
    <x v="42"/>
    <d v="2025-02-13T00:00:00"/>
    <x v="2"/>
    <x v="4"/>
    <x v="1"/>
    <s v="California"/>
    <s v="Ventura County"/>
    <x v="3"/>
    <x v="6"/>
    <x v="2"/>
  </r>
  <r>
    <x v="1084"/>
    <x v="16"/>
    <x v="4"/>
    <n v="39.700000000000003"/>
    <x v="929"/>
    <x v="42"/>
    <d v="2025-02-13T00:00:00"/>
    <x v="2"/>
    <x v="0"/>
    <x v="0"/>
    <s v="California"/>
    <s v="Alameda County"/>
    <x v="3"/>
    <x v="6"/>
    <x v="2"/>
  </r>
  <r>
    <x v="1085"/>
    <x v="7"/>
    <x v="7"/>
    <n v="58.9"/>
    <x v="930"/>
    <x v="42"/>
    <d v="2025-02-14T00:00:00"/>
    <x v="2"/>
    <x v="1"/>
    <x v="4"/>
    <s v="California"/>
    <s v="Alameda County"/>
    <x v="1"/>
    <x v="6"/>
    <x v="2"/>
  </r>
  <r>
    <x v="1086"/>
    <x v="2"/>
    <x v="1"/>
    <n v="174.1"/>
    <x v="931"/>
    <x v="42"/>
    <d v="2025-02-14T00:00:00"/>
    <x v="2"/>
    <x v="0"/>
    <x v="1"/>
    <s v="California"/>
    <s v="Amador County"/>
    <x v="1"/>
    <x v="6"/>
    <x v="2"/>
  </r>
  <r>
    <x v="1087"/>
    <x v="6"/>
    <x v="1"/>
    <n v="70.8"/>
    <x v="932"/>
    <x v="42"/>
    <d v="2025-02-15T00:00:00"/>
    <x v="1"/>
    <x v="2"/>
    <x v="0"/>
    <s v="California"/>
    <s v="Kern County"/>
    <x v="2"/>
    <x v="6"/>
    <x v="1"/>
  </r>
  <r>
    <x v="1088"/>
    <x v="7"/>
    <x v="1"/>
    <n v="57.4"/>
    <x v="311"/>
    <x v="42"/>
    <d v="2025-02-14T00:00:00"/>
    <x v="2"/>
    <x v="1"/>
    <x v="1"/>
    <s v="California"/>
    <s v="Kings County"/>
    <x v="1"/>
    <x v="6"/>
    <x v="2"/>
  </r>
  <r>
    <x v="1089"/>
    <x v="0"/>
    <x v="1"/>
    <n v="28.5"/>
    <x v="933"/>
    <x v="42"/>
    <d v="2025-02-14T00:00:00"/>
    <x v="1"/>
    <x v="3"/>
    <x v="1"/>
    <s v="California"/>
    <s v="Los Angeles County"/>
    <x v="1"/>
    <x v="6"/>
    <x v="1"/>
  </r>
  <r>
    <x v="1090"/>
    <x v="2"/>
    <x v="28"/>
    <n v="106.6"/>
    <x v="934"/>
    <x v="42"/>
    <d v="2025-02-13T00:00:00"/>
    <x v="0"/>
    <x v="1"/>
    <x v="4"/>
    <s v="California"/>
    <s v="Los Angeles County"/>
    <x v="3"/>
    <x v="6"/>
    <x v="0"/>
  </r>
  <r>
    <x v="1091"/>
    <x v="2"/>
    <x v="2"/>
    <n v="119.7"/>
    <x v="935"/>
    <x v="42"/>
    <d v="2025-02-13T00:00:00"/>
    <x v="2"/>
    <x v="1"/>
    <x v="4"/>
    <s v="California"/>
    <s v="Los Angeles County"/>
    <x v="3"/>
    <x v="6"/>
    <x v="2"/>
  </r>
  <r>
    <x v="1092"/>
    <x v="18"/>
    <x v="0"/>
    <n v="73.3"/>
    <x v="936"/>
    <x v="42"/>
    <d v="2025-02-17T00:00:00"/>
    <x v="2"/>
    <x v="0"/>
    <x v="2"/>
    <s v="California"/>
    <s v="Los Angeles County"/>
    <x v="0"/>
    <x v="6"/>
    <x v="2"/>
  </r>
  <r>
    <x v="1093"/>
    <x v="0"/>
    <x v="1"/>
    <n v="25.8"/>
    <x v="937"/>
    <x v="42"/>
    <d v="2025-02-26T00:00:00"/>
    <x v="1"/>
    <x v="2"/>
    <x v="0"/>
    <s v="California"/>
    <s v="Los Angeles County"/>
    <x v="12"/>
    <x v="6"/>
    <x v="1"/>
  </r>
  <r>
    <x v="1094"/>
    <x v="17"/>
    <x v="2"/>
    <n v="49.1"/>
    <x v="824"/>
    <x v="42"/>
    <d v="2025-02-14T00:00:00"/>
    <x v="2"/>
    <x v="0"/>
    <x v="0"/>
    <s v="California"/>
    <s v="Merced County"/>
    <x v="1"/>
    <x v="6"/>
    <x v="2"/>
  </r>
  <r>
    <x v="1095"/>
    <x v="1"/>
    <x v="0"/>
    <n v="44.9"/>
    <x v="938"/>
    <x v="42"/>
    <d v="2025-02-15T00:00:00"/>
    <x v="2"/>
    <x v="3"/>
    <x v="2"/>
    <s v="California"/>
    <s v="Sacramento County"/>
    <x v="2"/>
    <x v="6"/>
    <x v="2"/>
  </r>
  <r>
    <x v="1096"/>
    <x v="15"/>
    <x v="3"/>
    <n v="29.9"/>
    <x v="549"/>
    <x v="42"/>
    <d v="2025-02-13T00:00:00"/>
    <x v="2"/>
    <x v="0"/>
    <x v="0"/>
    <s v="California"/>
    <s v="Sacramento County"/>
    <x v="3"/>
    <x v="6"/>
    <x v="2"/>
  </r>
  <r>
    <x v="1097"/>
    <x v="7"/>
    <x v="1"/>
    <n v="54.3"/>
    <x v="939"/>
    <x v="43"/>
    <d v="2025-02-14T00:00:00"/>
    <x v="1"/>
    <x v="3"/>
    <x v="0"/>
    <s v="California"/>
    <s v="San Benito County"/>
    <x v="3"/>
    <x v="6"/>
    <x v="1"/>
  </r>
  <r>
    <x v="1098"/>
    <x v="9"/>
    <x v="12"/>
    <n v="57"/>
    <x v="416"/>
    <x v="43"/>
    <d v="2025-02-15T00:00:00"/>
    <x v="2"/>
    <x v="0"/>
    <x v="0"/>
    <s v="California"/>
    <s v="San Diego County"/>
    <x v="1"/>
    <x v="6"/>
    <x v="2"/>
  </r>
  <r>
    <x v="1099"/>
    <x v="2"/>
    <x v="0"/>
    <n v="139.19999999999999"/>
    <x v="388"/>
    <x v="43"/>
    <d v="2025-02-14T00:00:00"/>
    <x v="2"/>
    <x v="3"/>
    <x v="2"/>
    <s v="California"/>
    <s v="San Diego County"/>
    <x v="3"/>
    <x v="6"/>
    <x v="2"/>
  </r>
  <r>
    <x v="1100"/>
    <x v="10"/>
    <x v="0"/>
    <n v="33"/>
    <x v="940"/>
    <x v="43"/>
    <d v="2025-02-16T00:00:00"/>
    <x v="2"/>
    <x v="0"/>
    <x v="2"/>
    <s v="California"/>
    <s v="San Diego County"/>
    <x v="2"/>
    <x v="6"/>
    <x v="2"/>
  </r>
  <r>
    <x v="1101"/>
    <x v="11"/>
    <x v="13"/>
    <n v="80.2"/>
    <x v="941"/>
    <x v="43"/>
    <d v="2025-02-15T00:00:00"/>
    <x v="1"/>
    <x v="1"/>
    <x v="4"/>
    <s v="California"/>
    <s v="San Diego County"/>
    <x v="1"/>
    <x v="6"/>
    <x v="1"/>
  </r>
  <r>
    <x v="1102"/>
    <x v="18"/>
    <x v="8"/>
    <n v="49"/>
    <x v="942"/>
    <x v="43"/>
    <d v="2025-02-14T00:00:00"/>
    <x v="0"/>
    <x v="2"/>
    <x v="1"/>
    <s v="California"/>
    <s v="San Mateo County"/>
    <x v="3"/>
    <x v="6"/>
    <x v="0"/>
  </r>
  <r>
    <x v="1103"/>
    <x v="1"/>
    <x v="12"/>
    <n v="104.4"/>
    <x v="943"/>
    <x v="43"/>
    <d v="2025-02-13T00:00:00"/>
    <x v="2"/>
    <x v="0"/>
    <x v="0"/>
    <s v="California"/>
    <s v="San Mateo County"/>
    <x v="7"/>
    <x v="6"/>
    <x v="2"/>
  </r>
  <r>
    <x v="1104"/>
    <x v="3"/>
    <x v="0"/>
    <n v="41.6"/>
    <x v="480"/>
    <x v="43"/>
    <d v="2025-02-16T00:00:00"/>
    <x v="1"/>
    <x v="3"/>
    <x v="0"/>
    <s v="California"/>
    <s v="Santa Clara County"/>
    <x v="2"/>
    <x v="6"/>
    <x v="1"/>
  </r>
  <r>
    <x v="1105"/>
    <x v="19"/>
    <x v="1"/>
    <n v="16.399999999999999"/>
    <x v="944"/>
    <x v="43"/>
    <d v="2025-02-14T00:00:00"/>
    <x v="3"/>
    <x v="0"/>
    <x v="2"/>
    <s v="California"/>
    <s v="Santa Clara County"/>
    <x v="3"/>
    <x v="6"/>
    <x v="3"/>
  </r>
  <r>
    <x v="1106"/>
    <x v="8"/>
    <x v="1"/>
    <n v="22"/>
    <x v="945"/>
    <x v="43"/>
    <d v="2025-02-14T00:00:00"/>
    <x v="1"/>
    <x v="2"/>
    <x v="2"/>
    <s v="California"/>
    <s v="Shasta County"/>
    <x v="3"/>
    <x v="6"/>
    <x v="1"/>
  </r>
  <r>
    <x v="1107"/>
    <x v="15"/>
    <x v="1"/>
    <n v="33.6"/>
    <x v="863"/>
    <x v="43"/>
    <d v="2025-02-18T00:00:00"/>
    <x v="2"/>
    <x v="0"/>
    <x v="0"/>
    <s v="California"/>
    <s v="Alameda County"/>
    <x v="0"/>
    <x v="6"/>
    <x v="2"/>
  </r>
  <r>
    <x v="1108"/>
    <x v="11"/>
    <x v="13"/>
    <n v="43"/>
    <x v="946"/>
    <x v="43"/>
    <d v="2025-02-14T00:00:00"/>
    <x v="2"/>
    <x v="2"/>
    <x v="0"/>
    <s v="California"/>
    <s v="Alameda County"/>
    <x v="3"/>
    <x v="6"/>
    <x v="2"/>
  </r>
  <r>
    <x v="1109"/>
    <x v="6"/>
    <x v="9"/>
    <n v="108.8"/>
    <x v="947"/>
    <x v="43"/>
    <d v="2025-02-16T00:00:00"/>
    <x v="2"/>
    <x v="4"/>
    <x v="2"/>
    <s v="California"/>
    <s v="Alameda County"/>
    <x v="2"/>
    <x v="6"/>
    <x v="2"/>
  </r>
  <r>
    <x v="1110"/>
    <x v="0"/>
    <x v="11"/>
    <n v="29.3"/>
    <x v="948"/>
    <x v="43"/>
    <d v="2025-02-15T00:00:00"/>
    <x v="1"/>
    <x v="4"/>
    <x v="2"/>
    <s v="California"/>
    <s v="Alameda County"/>
    <x v="1"/>
    <x v="6"/>
    <x v="1"/>
  </r>
  <r>
    <x v="1111"/>
    <x v="2"/>
    <x v="0"/>
    <n v="122.7"/>
    <x v="949"/>
    <x v="43"/>
    <d v="2025-02-16T00:00:00"/>
    <x v="3"/>
    <x v="0"/>
    <x v="2"/>
    <s v="California"/>
    <s v="Contra Costa County"/>
    <x v="2"/>
    <x v="6"/>
    <x v="3"/>
  </r>
  <r>
    <x v="1112"/>
    <x v="4"/>
    <x v="3"/>
    <n v="22.9"/>
    <x v="950"/>
    <x v="43"/>
    <d v="2025-02-14T00:00:00"/>
    <x v="2"/>
    <x v="0"/>
    <x v="0"/>
    <s v="California"/>
    <s v="El Dorado County"/>
    <x v="3"/>
    <x v="6"/>
    <x v="2"/>
  </r>
  <r>
    <x v="1113"/>
    <x v="8"/>
    <x v="7"/>
    <n v="25.5"/>
    <x v="951"/>
    <x v="43"/>
    <d v="2025-02-20T00:00:00"/>
    <x v="2"/>
    <x v="0"/>
    <x v="0"/>
    <s v="California"/>
    <s v="Imperial County"/>
    <x v="6"/>
    <x v="6"/>
    <x v="2"/>
  </r>
  <r>
    <x v="1114"/>
    <x v="17"/>
    <x v="2"/>
    <n v="23.4"/>
    <x v="952"/>
    <x v="43"/>
    <d v="2025-02-17T00:00:00"/>
    <x v="2"/>
    <x v="0"/>
    <x v="2"/>
    <s v="California"/>
    <s v="Los Angeles County"/>
    <x v="5"/>
    <x v="6"/>
    <x v="2"/>
  </r>
  <r>
    <x v="1115"/>
    <x v="5"/>
    <x v="8"/>
    <n v="27.4"/>
    <x v="77"/>
    <x v="43"/>
    <d v="2025-02-16T00:00:00"/>
    <x v="2"/>
    <x v="2"/>
    <x v="0"/>
    <s v="California"/>
    <s v="Los Angeles County"/>
    <x v="2"/>
    <x v="6"/>
    <x v="2"/>
  </r>
  <r>
    <x v="1116"/>
    <x v="5"/>
    <x v="9"/>
    <n v="68.400000000000006"/>
    <x v="953"/>
    <x v="43"/>
    <d v="2025-02-14T00:00:00"/>
    <x v="2"/>
    <x v="0"/>
    <x v="0"/>
    <s v="California"/>
    <s v="Los Angeles County"/>
    <x v="3"/>
    <x v="6"/>
    <x v="2"/>
  </r>
  <r>
    <x v="1117"/>
    <x v="6"/>
    <x v="0"/>
    <n v="51.9"/>
    <x v="954"/>
    <x v="43"/>
    <d v="2025-02-13T00:00:00"/>
    <x v="2"/>
    <x v="0"/>
    <x v="0"/>
    <s v="California"/>
    <s v="Los Angeles County"/>
    <x v="7"/>
    <x v="6"/>
    <x v="2"/>
  </r>
  <r>
    <x v="1118"/>
    <x v="0"/>
    <x v="9"/>
    <n v="26.4"/>
    <x v="955"/>
    <x v="43"/>
    <d v="2025-02-16T00:00:00"/>
    <x v="2"/>
    <x v="0"/>
    <x v="2"/>
    <s v="California"/>
    <s v="Los Angeles County"/>
    <x v="2"/>
    <x v="6"/>
    <x v="2"/>
  </r>
  <r>
    <x v="1119"/>
    <x v="12"/>
    <x v="1"/>
    <n v="117"/>
    <x v="540"/>
    <x v="43"/>
    <d v="2025-02-14T00:00:00"/>
    <x v="2"/>
    <x v="1"/>
    <x v="1"/>
    <s v="California"/>
    <s v="Los Angeles County"/>
    <x v="3"/>
    <x v="6"/>
    <x v="2"/>
  </r>
  <r>
    <x v="1120"/>
    <x v="7"/>
    <x v="2"/>
    <n v="49.6"/>
    <x v="956"/>
    <x v="44"/>
    <d v="2025-02-16T00:00:00"/>
    <x v="2"/>
    <x v="0"/>
    <x v="0"/>
    <s v="California"/>
    <s v="Los Angeles County"/>
    <x v="1"/>
    <x v="6"/>
    <x v="2"/>
  </r>
  <r>
    <x v="1121"/>
    <x v="4"/>
    <x v="2"/>
    <n v="38"/>
    <x v="717"/>
    <x v="44"/>
    <d v="2025-02-17T00:00:00"/>
    <x v="1"/>
    <x v="2"/>
    <x v="4"/>
    <s v="California"/>
    <s v="Los Angeles County"/>
    <x v="2"/>
    <x v="6"/>
    <x v="1"/>
  </r>
  <r>
    <x v="1122"/>
    <x v="0"/>
    <x v="2"/>
    <n v="20.6"/>
    <x v="957"/>
    <x v="44"/>
    <d v="2025-02-16T00:00:00"/>
    <x v="2"/>
    <x v="4"/>
    <x v="2"/>
    <s v="California"/>
    <s v="Los Angeles County"/>
    <x v="1"/>
    <x v="6"/>
    <x v="2"/>
  </r>
  <r>
    <x v="1123"/>
    <x v="0"/>
    <x v="1"/>
    <n v="16"/>
    <x v="109"/>
    <x v="44"/>
    <d v="2025-02-15T00:00:00"/>
    <x v="1"/>
    <x v="1"/>
    <x v="1"/>
    <s v="California"/>
    <s v="Monterey County"/>
    <x v="3"/>
    <x v="6"/>
    <x v="1"/>
  </r>
  <r>
    <x v="1124"/>
    <x v="15"/>
    <x v="12"/>
    <n v="49.3"/>
    <x v="958"/>
    <x v="44"/>
    <d v="2025-02-15T00:00:00"/>
    <x v="2"/>
    <x v="2"/>
    <x v="0"/>
    <s v="California"/>
    <s v="Riverside County"/>
    <x v="3"/>
    <x v="6"/>
    <x v="2"/>
  </r>
  <r>
    <x v="1125"/>
    <x v="9"/>
    <x v="1"/>
    <n v="24.1"/>
    <x v="959"/>
    <x v="44"/>
    <d v="2025-02-18T00:00:00"/>
    <x v="2"/>
    <x v="0"/>
    <x v="0"/>
    <s v="California"/>
    <s v="Sacramento County"/>
    <x v="5"/>
    <x v="6"/>
    <x v="2"/>
  </r>
  <r>
    <x v="1126"/>
    <x v="15"/>
    <x v="8"/>
    <n v="32.700000000000003"/>
    <x v="960"/>
    <x v="44"/>
    <d v="2025-02-15T00:00:00"/>
    <x v="2"/>
    <x v="1"/>
    <x v="0"/>
    <s v="California"/>
    <s v="Sacramento County"/>
    <x v="3"/>
    <x v="6"/>
    <x v="2"/>
  </r>
  <r>
    <x v="1127"/>
    <x v="6"/>
    <x v="2"/>
    <n v="74.400000000000006"/>
    <x v="961"/>
    <x v="44"/>
    <d v="2025-02-15T00:00:00"/>
    <x v="2"/>
    <x v="3"/>
    <x v="2"/>
    <s v="California"/>
    <s v="San Diego County"/>
    <x v="3"/>
    <x v="6"/>
    <x v="2"/>
  </r>
  <r>
    <x v="1128"/>
    <x v="12"/>
    <x v="0"/>
    <n v="45.6"/>
    <x v="962"/>
    <x v="44"/>
    <d v="2025-02-18T00:00:00"/>
    <x v="2"/>
    <x v="4"/>
    <x v="0"/>
    <s v="California"/>
    <s v="San Diego County"/>
    <x v="5"/>
    <x v="6"/>
    <x v="2"/>
  </r>
  <r>
    <x v="1129"/>
    <x v="8"/>
    <x v="8"/>
    <n v="19.600000000000001"/>
    <x v="963"/>
    <x v="44"/>
    <d v="2025-02-27T00:00:00"/>
    <x v="2"/>
    <x v="0"/>
    <x v="0"/>
    <s v="California"/>
    <s v="San Diego County"/>
    <x v="10"/>
    <x v="6"/>
    <x v="2"/>
  </r>
  <r>
    <x v="1130"/>
    <x v="9"/>
    <x v="0"/>
    <n v="51.8"/>
    <x v="964"/>
    <x v="44"/>
    <d v="2025-02-15T00:00:00"/>
    <x v="2"/>
    <x v="1"/>
    <x v="0"/>
    <s v="California"/>
    <s v="San Diego County"/>
    <x v="3"/>
    <x v="6"/>
    <x v="2"/>
  </r>
  <r>
    <x v="1131"/>
    <x v="6"/>
    <x v="0"/>
    <n v="74.7"/>
    <x v="965"/>
    <x v="44"/>
    <d v="2025-02-15T00:00:00"/>
    <x v="1"/>
    <x v="0"/>
    <x v="1"/>
    <s v="California"/>
    <s v="San Diego County"/>
    <x v="3"/>
    <x v="6"/>
    <x v="1"/>
  </r>
  <r>
    <x v="1132"/>
    <x v="19"/>
    <x v="2"/>
    <n v="22.4"/>
    <x v="966"/>
    <x v="44"/>
    <d v="2025-02-15T00:00:00"/>
    <x v="2"/>
    <x v="1"/>
    <x v="2"/>
    <s v="California"/>
    <s v="San Mateo County"/>
    <x v="3"/>
    <x v="6"/>
    <x v="2"/>
  </r>
  <r>
    <x v="1133"/>
    <x v="1"/>
    <x v="12"/>
    <n v="31.4"/>
    <x v="967"/>
    <x v="44"/>
    <d v="2025-02-15T00:00:00"/>
    <x v="2"/>
    <x v="1"/>
    <x v="0"/>
    <s v="California"/>
    <s v="San Mateo County"/>
    <x v="3"/>
    <x v="6"/>
    <x v="2"/>
  </r>
  <r>
    <x v="1134"/>
    <x v="6"/>
    <x v="0"/>
    <n v="94"/>
    <x v="255"/>
    <x v="44"/>
    <d v="2025-02-14T00:00:00"/>
    <x v="2"/>
    <x v="1"/>
    <x v="2"/>
    <s v="California"/>
    <s v="Santa Barbara County"/>
    <x v="7"/>
    <x v="6"/>
    <x v="2"/>
  </r>
  <r>
    <x v="1135"/>
    <x v="10"/>
    <x v="0"/>
    <n v="22.3"/>
    <x v="968"/>
    <x v="44"/>
    <d v="2025-02-15T00:00:00"/>
    <x v="1"/>
    <x v="4"/>
    <x v="0"/>
    <s v="California"/>
    <s v="Tulare County"/>
    <x v="3"/>
    <x v="6"/>
    <x v="1"/>
  </r>
  <r>
    <x v="1136"/>
    <x v="0"/>
    <x v="0"/>
    <n v="21.9"/>
    <x v="731"/>
    <x v="44"/>
    <d v="2025-02-17T00:00:00"/>
    <x v="2"/>
    <x v="2"/>
    <x v="0"/>
    <s v="California"/>
    <s v="Alameda County"/>
    <x v="2"/>
    <x v="6"/>
    <x v="2"/>
  </r>
  <r>
    <x v="1137"/>
    <x v="17"/>
    <x v="2"/>
    <n v="27"/>
    <x v="969"/>
    <x v="44"/>
    <d v="2025-02-16T00:00:00"/>
    <x v="2"/>
    <x v="4"/>
    <x v="2"/>
    <s v="California"/>
    <s v="Fresno County"/>
    <x v="1"/>
    <x v="6"/>
    <x v="2"/>
  </r>
  <r>
    <x v="1138"/>
    <x v="2"/>
    <x v="12"/>
    <n v="149.6"/>
    <x v="970"/>
    <x v="44"/>
    <d v="2025-02-14T00:00:00"/>
    <x v="2"/>
    <x v="4"/>
    <x v="0"/>
    <s v="California"/>
    <s v="Kern County"/>
    <x v="7"/>
    <x v="6"/>
    <x v="2"/>
  </r>
  <r>
    <x v="1139"/>
    <x v="2"/>
    <x v="12"/>
    <n v="129.1"/>
    <x v="971"/>
    <x v="44"/>
    <d v="2025-02-24T00:00:00"/>
    <x v="1"/>
    <x v="0"/>
    <x v="1"/>
    <s v="California"/>
    <s v="Los Angeles County"/>
    <x v="14"/>
    <x v="6"/>
    <x v="1"/>
  </r>
  <r>
    <x v="1140"/>
    <x v="1"/>
    <x v="4"/>
    <n v="40.4"/>
    <x v="972"/>
    <x v="44"/>
    <d v="2025-02-15T00:00:00"/>
    <x v="1"/>
    <x v="1"/>
    <x v="1"/>
    <s v="California"/>
    <s v="Los Angeles County"/>
    <x v="3"/>
    <x v="6"/>
    <x v="1"/>
  </r>
  <r>
    <x v="1141"/>
    <x v="4"/>
    <x v="2"/>
    <n v="48.5"/>
    <x v="973"/>
    <x v="44"/>
    <d v="2025-02-16T00:00:00"/>
    <x v="2"/>
    <x v="0"/>
    <x v="4"/>
    <s v="California"/>
    <s v="Los Angeles County"/>
    <x v="1"/>
    <x v="6"/>
    <x v="2"/>
  </r>
  <r>
    <x v="1142"/>
    <x v="9"/>
    <x v="1"/>
    <n v="37.6"/>
    <x v="495"/>
    <x v="44"/>
    <d v="2025-02-16T00:00:00"/>
    <x v="2"/>
    <x v="1"/>
    <x v="2"/>
    <s v="California"/>
    <s v="Los Angeles County"/>
    <x v="1"/>
    <x v="6"/>
    <x v="2"/>
  </r>
  <r>
    <x v="1143"/>
    <x v="8"/>
    <x v="1"/>
    <n v="19.600000000000001"/>
    <x v="496"/>
    <x v="44"/>
    <d v="2025-02-15T00:00:00"/>
    <x v="1"/>
    <x v="3"/>
    <x v="4"/>
    <s v="California"/>
    <s v="Marin County"/>
    <x v="3"/>
    <x v="6"/>
    <x v="1"/>
  </r>
  <r>
    <x v="1144"/>
    <x v="8"/>
    <x v="9"/>
    <n v="18.5"/>
    <x v="974"/>
    <x v="44"/>
    <d v="2025-02-15T00:00:00"/>
    <x v="2"/>
    <x v="2"/>
    <x v="1"/>
    <s v="California"/>
    <s v="Sacramento County"/>
    <x v="3"/>
    <x v="6"/>
    <x v="2"/>
  </r>
  <r>
    <x v="1145"/>
    <x v="5"/>
    <x v="2"/>
    <n v="25.5"/>
    <x v="514"/>
    <x v="44"/>
    <d v="2025-02-16T00:00:00"/>
    <x v="2"/>
    <x v="4"/>
    <x v="1"/>
    <s v="California"/>
    <s v="Sacramento County"/>
    <x v="1"/>
    <x v="6"/>
    <x v="2"/>
  </r>
  <r>
    <x v="1146"/>
    <x v="2"/>
    <x v="1"/>
    <n v="94.7"/>
    <x v="975"/>
    <x v="44"/>
    <d v="2025-02-15T00:00:00"/>
    <x v="2"/>
    <x v="2"/>
    <x v="0"/>
    <s v="California"/>
    <s v="San Benito County"/>
    <x v="3"/>
    <x v="6"/>
    <x v="2"/>
  </r>
  <r>
    <x v="1147"/>
    <x v="1"/>
    <x v="13"/>
    <n v="38.799999999999997"/>
    <x v="976"/>
    <x v="44"/>
    <d v="2025-02-19T00:00:00"/>
    <x v="2"/>
    <x v="2"/>
    <x v="2"/>
    <s v="California"/>
    <s v="San Diego County"/>
    <x v="0"/>
    <x v="6"/>
    <x v="2"/>
  </r>
  <r>
    <x v="1148"/>
    <x v="9"/>
    <x v="1"/>
    <n v="49.4"/>
    <x v="197"/>
    <x v="45"/>
    <d v="2025-02-23T00:00:00"/>
    <x v="1"/>
    <x v="4"/>
    <x v="1"/>
    <s v="California"/>
    <s v="San Diego County"/>
    <x v="9"/>
    <x v="6"/>
    <x v="1"/>
  </r>
  <r>
    <x v="1149"/>
    <x v="7"/>
    <x v="2"/>
    <n v="68"/>
    <x v="977"/>
    <x v="45"/>
    <d v="2025-02-18T00:00:00"/>
    <x v="1"/>
    <x v="0"/>
    <x v="2"/>
    <s v="California"/>
    <s v="San Diego County"/>
    <x v="2"/>
    <x v="6"/>
    <x v="1"/>
  </r>
  <r>
    <x v="1150"/>
    <x v="15"/>
    <x v="3"/>
    <n v="63.7"/>
    <x v="978"/>
    <x v="45"/>
    <d v="2025-02-16T00:00:00"/>
    <x v="2"/>
    <x v="2"/>
    <x v="2"/>
    <s v="California"/>
    <s v="San Diego County"/>
    <x v="3"/>
    <x v="6"/>
    <x v="2"/>
  </r>
  <r>
    <x v="1151"/>
    <x v="10"/>
    <x v="1"/>
    <n v="66.2"/>
    <x v="979"/>
    <x v="45"/>
    <d v="2025-02-16T00:00:00"/>
    <x v="2"/>
    <x v="4"/>
    <x v="2"/>
    <s v="California"/>
    <s v="San Francisco"/>
    <x v="3"/>
    <x v="6"/>
    <x v="2"/>
  </r>
  <r>
    <x v="1152"/>
    <x v="12"/>
    <x v="2"/>
    <n v="32.299999999999997"/>
    <x v="980"/>
    <x v="45"/>
    <d v="2025-02-16T00:00:00"/>
    <x v="3"/>
    <x v="2"/>
    <x v="1"/>
    <s v="California"/>
    <s v="San Mateo County"/>
    <x v="3"/>
    <x v="6"/>
    <x v="3"/>
  </r>
  <r>
    <x v="1153"/>
    <x v="4"/>
    <x v="1"/>
    <n v="66.900000000000006"/>
    <x v="981"/>
    <x v="45"/>
    <d v="2025-02-18T00:00:00"/>
    <x v="1"/>
    <x v="1"/>
    <x v="0"/>
    <s v="California"/>
    <s v="Santa Clara County"/>
    <x v="2"/>
    <x v="6"/>
    <x v="1"/>
  </r>
  <r>
    <x v="1154"/>
    <x v="4"/>
    <x v="4"/>
    <n v="25.2"/>
    <x v="982"/>
    <x v="45"/>
    <d v="2025-02-19T00:00:00"/>
    <x v="2"/>
    <x v="0"/>
    <x v="1"/>
    <s v="California"/>
    <s v="Santa Clara County"/>
    <x v="5"/>
    <x v="6"/>
    <x v="2"/>
  </r>
  <r>
    <x v="1155"/>
    <x v="10"/>
    <x v="13"/>
    <n v="29.5"/>
    <x v="983"/>
    <x v="45"/>
    <d v="2025-02-16T00:00:00"/>
    <x v="1"/>
    <x v="2"/>
    <x v="0"/>
    <s v="California"/>
    <s v="Santa Clara County"/>
    <x v="3"/>
    <x v="6"/>
    <x v="1"/>
  </r>
  <r>
    <x v="1156"/>
    <x v="8"/>
    <x v="9"/>
    <n v="21.6"/>
    <x v="807"/>
    <x v="45"/>
    <d v="2025-02-17T00:00:00"/>
    <x v="2"/>
    <x v="0"/>
    <x v="2"/>
    <s v="California"/>
    <s v="Santa Cruz County"/>
    <x v="1"/>
    <x v="6"/>
    <x v="2"/>
  </r>
  <r>
    <x v="1157"/>
    <x v="12"/>
    <x v="2"/>
    <n v="69"/>
    <x v="461"/>
    <x v="45"/>
    <d v="2025-02-16T00:00:00"/>
    <x v="2"/>
    <x v="0"/>
    <x v="0"/>
    <s v="California"/>
    <s v="Sonoma County"/>
    <x v="3"/>
    <x v="6"/>
    <x v="2"/>
  </r>
  <r>
    <x v="1158"/>
    <x v="7"/>
    <x v="1"/>
    <n v="115"/>
    <x v="984"/>
    <x v="45"/>
    <d v="2025-02-19T00:00:00"/>
    <x v="1"/>
    <x v="0"/>
    <x v="2"/>
    <s v="California"/>
    <s v="Sonoma County"/>
    <x v="5"/>
    <x v="6"/>
    <x v="1"/>
  </r>
  <r>
    <x v="1159"/>
    <x v="2"/>
    <x v="1"/>
    <n v="109.3"/>
    <x v="985"/>
    <x v="45"/>
    <d v="2025-02-17T00:00:00"/>
    <x v="0"/>
    <x v="3"/>
    <x v="1"/>
    <s v="California"/>
    <s v="Stanislaus County"/>
    <x v="1"/>
    <x v="6"/>
    <x v="0"/>
  </r>
  <r>
    <x v="1160"/>
    <x v="9"/>
    <x v="1"/>
    <n v="66.599999999999994"/>
    <x v="986"/>
    <x v="45"/>
    <d v="2025-02-18T00:00:00"/>
    <x v="0"/>
    <x v="4"/>
    <x v="1"/>
    <s v="California"/>
    <s v="Stanislaus County"/>
    <x v="2"/>
    <x v="6"/>
    <x v="0"/>
  </r>
  <r>
    <x v="1161"/>
    <x v="12"/>
    <x v="9"/>
    <n v="47.7"/>
    <x v="987"/>
    <x v="45"/>
    <d v="2025-02-16T00:00:00"/>
    <x v="1"/>
    <x v="3"/>
    <x v="2"/>
    <s v="California"/>
    <s v="Alameda County"/>
    <x v="3"/>
    <x v="6"/>
    <x v="1"/>
  </r>
  <r>
    <x v="1162"/>
    <x v="8"/>
    <x v="1"/>
    <n v="46"/>
    <x v="988"/>
    <x v="45"/>
    <d v="2025-02-16T00:00:00"/>
    <x v="2"/>
    <x v="4"/>
    <x v="4"/>
    <s v="California"/>
    <s v="Kern County"/>
    <x v="3"/>
    <x v="6"/>
    <x v="2"/>
  </r>
  <r>
    <x v="1163"/>
    <x v="1"/>
    <x v="13"/>
    <n v="39.299999999999997"/>
    <x v="989"/>
    <x v="45"/>
    <d v="2025-02-17T00:00:00"/>
    <x v="1"/>
    <x v="3"/>
    <x v="2"/>
    <s v="California"/>
    <s v="Los Angeles County"/>
    <x v="1"/>
    <x v="6"/>
    <x v="1"/>
  </r>
  <r>
    <x v="1164"/>
    <x v="9"/>
    <x v="0"/>
    <n v="70.2"/>
    <x v="474"/>
    <x v="45"/>
    <d v="2025-02-16T00:00:00"/>
    <x v="2"/>
    <x v="0"/>
    <x v="4"/>
    <s v="California"/>
    <s v="Los Angeles County"/>
    <x v="3"/>
    <x v="6"/>
    <x v="2"/>
  </r>
  <r>
    <x v="1165"/>
    <x v="3"/>
    <x v="12"/>
    <n v="71.5"/>
    <x v="990"/>
    <x v="45"/>
    <d v="2025-02-15T00:00:00"/>
    <x v="2"/>
    <x v="1"/>
    <x v="2"/>
    <s v="California"/>
    <s v="Los Angeles County"/>
    <x v="7"/>
    <x v="6"/>
    <x v="2"/>
  </r>
  <r>
    <x v="1166"/>
    <x v="10"/>
    <x v="3"/>
    <n v="31"/>
    <x v="991"/>
    <x v="45"/>
    <d v="2025-02-22T00:00:00"/>
    <x v="2"/>
    <x v="3"/>
    <x v="2"/>
    <s v="California"/>
    <s v="Los Angeles County"/>
    <x v="6"/>
    <x v="6"/>
    <x v="2"/>
  </r>
  <r>
    <x v="1167"/>
    <x v="2"/>
    <x v="9"/>
    <n v="68.2"/>
    <x v="992"/>
    <x v="45"/>
    <d v="2025-02-20T00:00:00"/>
    <x v="2"/>
    <x v="0"/>
    <x v="2"/>
    <s v="California"/>
    <s v="Los Angeles County"/>
    <x v="0"/>
    <x v="6"/>
    <x v="2"/>
  </r>
  <r>
    <x v="1168"/>
    <x v="2"/>
    <x v="0"/>
    <n v="91.4"/>
    <x v="411"/>
    <x v="45"/>
    <d v="2025-02-19T00:00:00"/>
    <x v="2"/>
    <x v="1"/>
    <x v="2"/>
    <s v="California"/>
    <s v="Sacramento County"/>
    <x v="5"/>
    <x v="6"/>
    <x v="2"/>
  </r>
  <r>
    <x v="1169"/>
    <x v="6"/>
    <x v="7"/>
    <n v="112.9"/>
    <x v="993"/>
    <x v="45"/>
    <d v="2025-02-16T00:00:00"/>
    <x v="2"/>
    <x v="0"/>
    <x v="0"/>
    <s v="California"/>
    <s v="Sacramento County"/>
    <x v="3"/>
    <x v="6"/>
    <x v="2"/>
  </r>
  <r>
    <x v="1170"/>
    <x v="17"/>
    <x v="11"/>
    <n v="33.700000000000003"/>
    <x v="994"/>
    <x v="45"/>
    <d v="2025-02-16T00:00:00"/>
    <x v="2"/>
    <x v="1"/>
    <x v="2"/>
    <s v="California"/>
    <s v="San Diego County"/>
    <x v="3"/>
    <x v="6"/>
    <x v="2"/>
  </r>
  <r>
    <x v="1171"/>
    <x v="15"/>
    <x v="7"/>
    <n v="35.299999999999997"/>
    <x v="995"/>
    <x v="45"/>
    <d v="2025-02-17T00:00:00"/>
    <x v="1"/>
    <x v="2"/>
    <x v="0"/>
    <s v="California"/>
    <s v="San Diego County"/>
    <x v="1"/>
    <x v="6"/>
    <x v="1"/>
  </r>
  <r>
    <x v="1172"/>
    <x v="18"/>
    <x v="2"/>
    <n v="45.6"/>
    <x v="996"/>
    <x v="45"/>
    <d v="2025-02-19T00:00:00"/>
    <x v="1"/>
    <x v="3"/>
    <x v="0"/>
    <s v="California"/>
    <s v="San Diego County"/>
    <x v="5"/>
    <x v="6"/>
    <x v="1"/>
  </r>
  <r>
    <x v="1173"/>
    <x v="7"/>
    <x v="3"/>
    <n v="47.1"/>
    <x v="847"/>
    <x v="45"/>
    <d v="2025-02-16T00:00:00"/>
    <x v="2"/>
    <x v="4"/>
    <x v="2"/>
    <s v="California"/>
    <s v="San Mateo County"/>
    <x v="3"/>
    <x v="6"/>
    <x v="2"/>
  </r>
  <r>
    <x v="1174"/>
    <x v="8"/>
    <x v="9"/>
    <n v="16.2"/>
    <x v="969"/>
    <x v="45"/>
    <d v="2025-02-17T00:00:00"/>
    <x v="2"/>
    <x v="3"/>
    <x v="2"/>
    <s v="California"/>
    <s v="Stanislaus County"/>
    <x v="1"/>
    <x v="6"/>
    <x v="2"/>
  </r>
  <r>
    <x v="1175"/>
    <x v="1"/>
    <x v="1"/>
    <n v="159.69999999999999"/>
    <x v="997"/>
    <x v="46"/>
    <d v="2025-02-17T00:00:00"/>
    <x v="1"/>
    <x v="4"/>
    <x v="0"/>
    <s v="California"/>
    <s v="Ventura County"/>
    <x v="3"/>
    <x v="7"/>
    <x v="1"/>
  </r>
  <r>
    <x v="1176"/>
    <x v="8"/>
    <x v="12"/>
    <n v="19"/>
    <x v="998"/>
    <x v="46"/>
    <d v="2025-02-23T00:00:00"/>
    <x v="2"/>
    <x v="2"/>
    <x v="2"/>
    <s v="California"/>
    <s v="Alameda County"/>
    <x v="6"/>
    <x v="7"/>
    <x v="2"/>
  </r>
  <r>
    <x v="1177"/>
    <x v="6"/>
    <x v="13"/>
    <n v="91.1"/>
    <x v="999"/>
    <x v="46"/>
    <d v="2025-02-25T00:00:00"/>
    <x v="2"/>
    <x v="4"/>
    <x v="0"/>
    <s v="California"/>
    <s v="Alameda County"/>
    <x v="8"/>
    <x v="7"/>
    <x v="2"/>
  </r>
  <r>
    <x v="1178"/>
    <x v="2"/>
    <x v="9"/>
    <n v="94.1"/>
    <x v="1000"/>
    <x v="46"/>
    <d v="2025-02-19T00:00:00"/>
    <x v="0"/>
    <x v="1"/>
    <x v="1"/>
    <s v="California"/>
    <s v="Alameda County"/>
    <x v="2"/>
    <x v="7"/>
    <x v="0"/>
  </r>
  <r>
    <x v="1179"/>
    <x v="9"/>
    <x v="11"/>
    <n v="21.1"/>
    <x v="1001"/>
    <x v="46"/>
    <d v="2025-02-17T00:00:00"/>
    <x v="2"/>
    <x v="4"/>
    <x v="2"/>
    <s v="California"/>
    <s v="Butte County"/>
    <x v="3"/>
    <x v="7"/>
    <x v="2"/>
  </r>
  <r>
    <x v="1180"/>
    <x v="8"/>
    <x v="3"/>
    <n v="15.3"/>
    <x v="1002"/>
    <x v="46"/>
    <d v="2025-02-24T00:00:00"/>
    <x v="2"/>
    <x v="2"/>
    <x v="0"/>
    <s v="California"/>
    <s v="Contra Costa County"/>
    <x v="9"/>
    <x v="7"/>
    <x v="2"/>
  </r>
  <r>
    <x v="1181"/>
    <x v="15"/>
    <x v="12"/>
    <n v="21.3"/>
    <x v="464"/>
    <x v="46"/>
    <d v="2025-02-19T00:00:00"/>
    <x v="1"/>
    <x v="1"/>
    <x v="0"/>
    <s v="California"/>
    <s v="Los Angeles County"/>
    <x v="2"/>
    <x v="7"/>
    <x v="1"/>
  </r>
  <r>
    <x v="1182"/>
    <x v="0"/>
    <x v="1"/>
    <n v="23.2"/>
    <x v="434"/>
    <x v="46"/>
    <d v="2025-02-16T00:00:00"/>
    <x v="0"/>
    <x v="3"/>
    <x v="1"/>
    <s v="California"/>
    <s v="Los Angeles County"/>
    <x v="7"/>
    <x v="7"/>
    <x v="0"/>
  </r>
  <r>
    <x v="1183"/>
    <x v="4"/>
    <x v="2"/>
    <n v="25.7"/>
    <x v="1003"/>
    <x v="46"/>
    <d v="2025-02-17T00:00:00"/>
    <x v="1"/>
    <x v="4"/>
    <x v="0"/>
    <s v="California"/>
    <s v="Los Angeles County"/>
    <x v="3"/>
    <x v="7"/>
    <x v="1"/>
  </r>
  <r>
    <x v="1184"/>
    <x v="0"/>
    <x v="11"/>
    <n v="31.6"/>
    <x v="1004"/>
    <x v="46"/>
    <d v="2025-02-18T00:00:00"/>
    <x v="2"/>
    <x v="0"/>
    <x v="0"/>
    <s v="California"/>
    <s v="Los Angeles County"/>
    <x v="1"/>
    <x v="7"/>
    <x v="2"/>
  </r>
  <r>
    <x v="1185"/>
    <x v="6"/>
    <x v="0"/>
    <n v="64.2"/>
    <x v="1005"/>
    <x v="46"/>
    <d v="2025-02-21T00:00:00"/>
    <x v="1"/>
    <x v="0"/>
    <x v="0"/>
    <s v="California"/>
    <s v="Los Angeles County"/>
    <x v="0"/>
    <x v="7"/>
    <x v="1"/>
  </r>
  <r>
    <x v="1186"/>
    <x v="8"/>
    <x v="1"/>
    <n v="55.8"/>
    <x v="1006"/>
    <x v="46"/>
    <d v="2025-02-18T00:00:00"/>
    <x v="0"/>
    <x v="0"/>
    <x v="0"/>
    <s v="California"/>
    <s v="Los Angeles County"/>
    <x v="1"/>
    <x v="7"/>
    <x v="0"/>
  </r>
  <r>
    <x v="1187"/>
    <x v="8"/>
    <x v="1"/>
    <n v="28.1"/>
    <x v="1007"/>
    <x v="46"/>
    <d v="2025-02-17T00:00:00"/>
    <x v="2"/>
    <x v="4"/>
    <x v="1"/>
    <s v="California"/>
    <s v="Los Angeles County"/>
    <x v="3"/>
    <x v="7"/>
    <x v="2"/>
  </r>
  <r>
    <x v="1188"/>
    <x v="0"/>
    <x v="1"/>
    <n v="11.6"/>
    <x v="772"/>
    <x v="46"/>
    <d v="2025-02-18T00:00:00"/>
    <x v="2"/>
    <x v="1"/>
    <x v="0"/>
    <s v="California"/>
    <s v="Merced County"/>
    <x v="1"/>
    <x v="7"/>
    <x v="2"/>
  </r>
  <r>
    <x v="1189"/>
    <x v="5"/>
    <x v="2"/>
    <n v="50.4"/>
    <x v="277"/>
    <x v="46"/>
    <d v="2025-02-17T00:00:00"/>
    <x v="1"/>
    <x v="4"/>
    <x v="2"/>
    <s v="California"/>
    <s v="Orange County"/>
    <x v="3"/>
    <x v="7"/>
    <x v="1"/>
  </r>
  <r>
    <x v="1190"/>
    <x v="6"/>
    <x v="13"/>
    <n v="48.3"/>
    <x v="1008"/>
    <x v="46"/>
    <d v="2025-02-20T00:00:00"/>
    <x v="2"/>
    <x v="0"/>
    <x v="0"/>
    <s v="California"/>
    <s v="Orange County"/>
    <x v="5"/>
    <x v="7"/>
    <x v="2"/>
  </r>
  <r>
    <x v="1191"/>
    <x v="17"/>
    <x v="3"/>
    <n v="32.200000000000003"/>
    <x v="1009"/>
    <x v="46"/>
    <d v="2025-02-18T00:00:00"/>
    <x v="2"/>
    <x v="2"/>
    <x v="0"/>
    <s v="California"/>
    <s v="Orange County"/>
    <x v="1"/>
    <x v="7"/>
    <x v="2"/>
  </r>
  <r>
    <x v="1192"/>
    <x v="7"/>
    <x v="31"/>
    <n v="48.5"/>
    <x v="1010"/>
    <x v="46"/>
    <d v="2025-02-17T00:00:00"/>
    <x v="1"/>
    <x v="0"/>
    <x v="0"/>
    <s v="California"/>
    <s v="Placer County"/>
    <x v="3"/>
    <x v="7"/>
    <x v="1"/>
  </r>
  <r>
    <x v="1193"/>
    <x v="2"/>
    <x v="9"/>
    <n v="62"/>
    <x v="892"/>
    <x v="46"/>
    <d v="2025-02-19T00:00:00"/>
    <x v="2"/>
    <x v="1"/>
    <x v="0"/>
    <s v="California"/>
    <s v="Sacramento County"/>
    <x v="2"/>
    <x v="7"/>
    <x v="2"/>
  </r>
  <r>
    <x v="1194"/>
    <x v="8"/>
    <x v="2"/>
    <n v="32.1"/>
    <x v="219"/>
    <x v="47"/>
    <d v="2025-02-19T00:00:00"/>
    <x v="1"/>
    <x v="0"/>
    <x v="0"/>
    <s v="California"/>
    <s v="Sacramento County"/>
    <x v="1"/>
    <x v="7"/>
    <x v="1"/>
  </r>
  <r>
    <x v="1195"/>
    <x v="12"/>
    <x v="2"/>
    <n v="106.1"/>
    <x v="1011"/>
    <x v="47"/>
    <d v="2025-02-19T00:00:00"/>
    <x v="1"/>
    <x v="0"/>
    <x v="1"/>
    <s v="California"/>
    <s v="San Bernardino County"/>
    <x v="1"/>
    <x v="7"/>
    <x v="1"/>
  </r>
  <r>
    <x v="1196"/>
    <x v="10"/>
    <x v="2"/>
    <n v="23.5"/>
    <x v="1012"/>
    <x v="47"/>
    <d v="2025-02-20T00:00:00"/>
    <x v="1"/>
    <x v="0"/>
    <x v="4"/>
    <s v="California"/>
    <s v="San Bernardino County"/>
    <x v="2"/>
    <x v="7"/>
    <x v="1"/>
  </r>
  <r>
    <x v="1197"/>
    <x v="1"/>
    <x v="1"/>
    <n v="35.6"/>
    <x v="1013"/>
    <x v="47"/>
    <d v="2025-02-22T00:00:00"/>
    <x v="1"/>
    <x v="4"/>
    <x v="0"/>
    <s v="California"/>
    <s v="San Diego County"/>
    <x v="0"/>
    <x v="7"/>
    <x v="1"/>
  </r>
  <r>
    <x v="1198"/>
    <x v="1"/>
    <x v="1"/>
    <n v="63.5"/>
    <x v="520"/>
    <x v="47"/>
    <d v="2025-02-17T00:00:00"/>
    <x v="2"/>
    <x v="1"/>
    <x v="2"/>
    <s v="California"/>
    <s v="San Diego County"/>
    <x v="7"/>
    <x v="7"/>
    <x v="2"/>
  </r>
  <r>
    <x v="1199"/>
    <x v="6"/>
    <x v="3"/>
    <n v="82.9"/>
    <x v="1014"/>
    <x v="47"/>
    <d v="2025-02-22T00:00:00"/>
    <x v="2"/>
    <x v="4"/>
    <x v="0"/>
    <s v="California"/>
    <s v="San Mateo County"/>
    <x v="0"/>
    <x v="7"/>
    <x v="2"/>
  </r>
  <r>
    <x v="1200"/>
    <x v="6"/>
    <x v="1"/>
    <n v="83.6"/>
    <x v="762"/>
    <x v="47"/>
    <d v="2025-02-22T00:00:00"/>
    <x v="2"/>
    <x v="0"/>
    <x v="0"/>
    <s v="California"/>
    <s v="Santa Clara County"/>
    <x v="0"/>
    <x v="7"/>
    <x v="2"/>
  </r>
  <r>
    <x v="1201"/>
    <x v="4"/>
    <x v="1"/>
    <n v="29.4"/>
    <x v="572"/>
    <x v="47"/>
    <d v="2025-02-17T00:00:00"/>
    <x v="2"/>
    <x v="0"/>
    <x v="1"/>
    <s v="California"/>
    <s v="Siskiyou County"/>
    <x v="7"/>
    <x v="7"/>
    <x v="2"/>
  </r>
  <r>
    <x v="1202"/>
    <x v="2"/>
    <x v="2"/>
    <n v="107.1"/>
    <x v="1015"/>
    <x v="47"/>
    <d v="2025-02-21T00:00:00"/>
    <x v="2"/>
    <x v="2"/>
    <x v="0"/>
    <s v="California"/>
    <s v="Tulare County"/>
    <x v="5"/>
    <x v="7"/>
    <x v="2"/>
  </r>
  <r>
    <x v="1203"/>
    <x v="2"/>
    <x v="0"/>
    <n v="62.7"/>
    <x v="1016"/>
    <x v="47"/>
    <d v="2025-02-21T00:00:00"/>
    <x v="1"/>
    <x v="1"/>
    <x v="0"/>
    <s v="California"/>
    <s v="Alameda County"/>
    <x v="5"/>
    <x v="7"/>
    <x v="1"/>
  </r>
  <r>
    <x v="1204"/>
    <x v="11"/>
    <x v="0"/>
    <n v="41.6"/>
    <x v="480"/>
    <x v="47"/>
    <d v="2025-02-18T00:00:00"/>
    <x v="1"/>
    <x v="0"/>
    <x v="1"/>
    <s v="California"/>
    <s v="Contra Costa County"/>
    <x v="3"/>
    <x v="7"/>
    <x v="1"/>
  </r>
  <r>
    <x v="1205"/>
    <x v="6"/>
    <x v="0"/>
    <n v="44.2"/>
    <x v="573"/>
    <x v="47"/>
    <d v="2025-02-18T00:00:00"/>
    <x v="3"/>
    <x v="0"/>
    <x v="1"/>
    <s v="California"/>
    <s v="Contra Costa County"/>
    <x v="3"/>
    <x v="7"/>
    <x v="3"/>
  </r>
  <r>
    <x v="1206"/>
    <x v="4"/>
    <x v="13"/>
    <n v="40.4"/>
    <x v="1017"/>
    <x v="47"/>
    <d v="2025-03-02T00:00:00"/>
    <x v="2"/>
    <x v="2"/>
    <x v="0"/>
    <s v="California"/>
    <s v="Kern County"/>
    <x v="10"/>
    <x v="7"/>
    <x v="2"/>
  </r>
  <r>
    <x v="1207"/>
    <x v="15"/>
    <x v="13"/>
    <n v="59.6"/>
    <x v="1018"/>
    <x v="47"/>
    <d v="2025-02-18T00:00:00"/>
    <x v="2"/>
    <x v="4"/>
    <x v="0"/>
    <s v="California"/>
    <s v="Kings County"/>
    <x v="3"/>
    <x v="7"/>
    <x v="2"/>
  </r>
  <r>
    <x v="1208"/>
    <x v="17"/>
    <x v="4"/>
    <n v="63.8"/>
    <x v="1019"/>
    <x v="47"/>
    <d v="2025-02-18T00:00:00"/>
    <x v="1"/>
    <x v="1"/>
    <x v="0"/>
    <s v="California"/>
    <s v="Los Angeles County"/>
    <x v="3"/>
    <x v="7"/>
    <x v="1"/>
  </r>
  <r>
    <x v="1209"/>
    <x v="9"/>
    <x v="13"/>
    <n v="30.8"/>
    <x v="827"/>
    <x v="47"/>
    <d v="2025-02-19T00:00:00"/>
    <x v="1"/>
    <x v="4"/>
    <x v="0"/>
    <s v="California"/>
    <s v="Los Angeles County"/>
    <x v="1"/>
    <x v="7"/>
    <x v="1"/>
  </r>
  <r>
    <x v="1210"/>
    <x v="1"/>
    <x v="1"/>
    <n v="41.5"/>
    <x v="470"/>
    <x v="47"/>
    <d v="2025-02-20T00:00:00"/>
    <x v="3"/>
    <x v="0"/>
    <x v="0"/>
    <s v="California"/>
    <s v="Los Angeles County"/>
    <x v="2"/>
    <x v="7"/>
    <x v="3"/>
  </r>
  <r>
    <x v="1211"/>
    <x v="10"/>
    <x v="12"/>
    <n v="44.7"/>
    <x v="1020"/>
    <x v="47"/>
    <d v="2025-02-19T00:00:00"/>
    <x v="2"/>
    <x v="2"/>
    <x v="1"/>
    <s v="California"/>
    <s v="Los Angeles County"/>
    <x v="1"/>
    <x v="7"/>
    <x v="2"/>
  </r>
  <r>
    <x v="1212"/>
    <x v="12"/>
    <x v="1"/>
    <n v="64.099999999999994"/>
    <x v="618"/>
    <x v="47"/>
    <d v="2025-02-21T00:00:00"/>
    <x v="2"/>
    <x v="1"/>
    <x v="4"/>
    <s v="California"/>
    <s v="Los Angeles County"/>
    <x v="5"/>
    <x v="7"/>
    <x v="2"/>
  </r>
  <r>
    <x v="1213"/>
    <x v="8"/>
    <x v="0"/>
    <n v="15.9"/>
    <x v="1021"/>
    <x v="47"/>
    <d v="2025-02-20T00:00:00"/>
    <x v="0"/>
    <x v="1"/>
    <x v="0"/>
    <s v="California"/>
    <s v="Los Angeles County"/>
    <x v="2"/>
    <x v="7"/>
    <x v="0"/>
  </r>
  <r>
    <x v="1214"/>
    <x v="6"/>
    <x v="1"/>
    <n v="78.7"/>
    <x v="1022"/>
    <x v="47"/>
    <d v="2025-02-17T00:00:00"/>
    <x v="2"/>
    <x v="2"/>
    <x v="1"/>
    <s v="California"/>
    <s v="Los Angeles County"/>
    <x v="7"/>
    <x v="7"/>
    <x v="2"/>
  </r>
  <r>
    <x v="1215"/>
    <x v="5"/>
    <x v="4"/>
    <n v="29.6"/>
    <x v="1023"/>
    <x v="47"/>
    <d v="2025-02-21T00:00:00"/>
    <x v="1"/>
    <x v="2"/>
    <x v="4"/>
    <s v="California"/>
    <s v="Los Angeles County"/>
    <x v="5"/>
    <x v="7"/>
    <x v="1"/>
  </r>
  <r>
    <x v="1216"/>
    <x v="8"/>
    <x v="12"/>
    <n v="21.5"/>
    <x v="1024"/>
    <x v="47"/>
    <d v="2025-02-20T00:00:00"/>
    <x v="1"/>
    <x v="1"/>
    <x v="0"/>
    <s v="California"/>
    <s v="Los Angeles County"/>
    <x v="2"/>
    <x v="7"/>
    <x v="1"/>
  </r>
  <r>
    <x v="1217"/>
    <x v="9"/>
    <x v="2"/>
    <n v="74.900000000000006"/>
    <x v="890"/>
    <x v="47"/>
    <d v="2025-02-26T00:00:00"/>
    <x v="1"/>
    <x v="3"/>
    <x v="1"/>
    <s v="California"/>
    <s v="Los Angeles County"/>
    <x v="8"/>
    <x v="7"/>
    <x v="1"/>
  </r>
  <r>
    <x v="1218"/>
    <x v="10"/>
    <x v="13"/>
    <n v="45"/>
    <x v="843"/>
    <x v="47"/>
    <d v="2025-02-22T00:00:00"/>
    <x v="2"/>
    <x v="2"/>
    <x v="0"/>
    <s v="California"/>
    <s v="Los Angeles County"/>
    <x v="0"/>
    <x v="7"/>
    <x v="2"/>
  </r>
  <r>
    <x v="1219"/>
    <x v="7"/>
    <x v="33"/>
    <n v="37.9"/>
    <x v="1025"/>
    <x v="47"/>
    <d v="2025-02-18T00:00:00"/>
    <x v="1"/>
    <x v="0"/>
    <x v="0"/>
    <s v="California"/>
    <s v="Los Angeles County"/>
    <x v="3"/>
    <x v="7"/>
    <x v="1"/>
  </r>
  <r>
    <x v="1220"/>
    <x v="6"/>
    <x v="2"/>
    <n v="56.6"/>
    <x v="1026"/>
    <x v="47"/>
    <d v="2025-02-18T00:00:00"/>
    <x v="1"/>
    <x v="3"/>
    <x v="0"/>
    <s v="California"/>
    <s v="Los Angeles County"/>
    <x v="3"/>
    <x v="7"/>
    <x v="1"/>
  </r>
  <r>
    <x v="1221"/>
    <x v="3"/>
    <x v="15"/>
    <n v="84.5"/>
    <x v="1027"/>
    <x v="47"/>
    <d v="2025-02-20T00:00:00"/>
    <x v="2"/>
    <x v="1"/>
    <x v="4"/>
    <s v="California"/>
    <s v="Los Angeles County"/>
    <x v="2"/>
    <x v="7"/>
    <x v="2"/>
  </r>
  <r>
    <x v="1222"/>
    <x v="2"/>
    <x v="9"/>
    <n v="105.4"/>
    <x v="1028"/>
    <x v="47"/>
    <d v="2025-02-19T00:00:00"/>
    <x v="2"/>
    <x v="1"/>
    <x v="1"/>
    <s v="California"/>
    <s v="Los Angeles County"/>
    <x v="1"/>
    <x v="7"/>
    <x v="2"/>
  </r>
  <r>
    <x v="1223"/>
    <x v="18"/>
    <x v="3"/>
    <n v="39.4"/>
    <x v="1029"/>
    <x v="48"/>
    <d v="2025-02-18T00:00:00"/>
    <x v="1"/>
    <x v="1"/>
    <x v="0"/>
    <s v="California"/>
    <s v="Madera County"/>
    <x v="7"/>
    <x v="7"/>
    <x v="1"/>
  </r>
  <r>
    <x v="1224"/>
    <x v="19"/>
    <x v="2"/>
    <n v="38"/>
    <x v="717"/>
    <x v="48"/>
    <d v="2025-02-21T00:00:00"/>
    <x v="1"/>
    <x v="4"/>
    <x v="1"/>
    <s v="California"/>
    <s v="Sacramento County"/>
    <x v="2"/>
    <x v="7"/>
    <x v="1"/>
  </r>
  <r>
    <x v="1225"/>
    <x v="17"/>
    <x v="12"/>
    <n v="42.5"/>
    <x v="393"/>
    <x v="48"/>
    <d v="2025-02-20T00:00:00"/>
    <x v="0"/>
    <x v="0"/>
    <x v="0"/>
    <s v="California"/>
    <s v="Sacramento County"/>
    <x v="1"/>
    <x v="7"/>
    <x v="0"/>
  </r>
  <r>
    <x v="1226"/>
    <x v="15"/>
    <x v="0"/>
    <n v="62.3"/>
    <x v="1030"/>
    <x v="48"/>
    <d v="2025-02-27T00:00:00"/>
    <x v="1"/>
    <x v="0"/>
    <x v="2"/>
    <s v="California"/>
    <s v="Sacramento County"/>
    <x v="8"/>
    <x v="7"/>
    <x v="1"/>
  </r>
  <r>
    <x v="1227"/>
    <x v="6"/>
    <x v="9"/>
    <n v="49.1"/>
    <x v="1031"/>
    <x v="48"/>
    <d v="2025-02-20T00:00:00"/>
    <x v="2"/>
    <x v="1"/>
    <x v="2"/>
    <s v="California"/>
    <s v="San Bernardino County"/>
    <x v="1"/>
    <x v="7"/>
    <x v="2"/>
  </r>
  <r>
    <x v="1228"/>
    <x v="3"/>
    <x v="1"/>
    <n v="30.5"/>
    <x v="170"/>
    <x v="48"/>
    <d v="2025-02-21T00:00:00"/>
    <x v="1"/>
    <x v="0"/>
    <x v="2"/>
    <s v="California"/>
    <s v="San Diego County"/>
    <x v="2"/>
    <x v="7"/>
    <x v="1"/>
  </r>
  <r>
    <x v="1229"/>
    <x v="2"/>
    <x v="1"/>
    <n v="154.80000000000001"/>
    <x v="141"/>
    <x v="48"/>
    <d v="2025-02-21T00:00:00"/>
    <x v="2"/>
    <x v="1"/>
    <x v="4"/>
    <s v="California"/>
    <s v="San Diego County"/>
    <x v="2"/>
    <x v="7"/>
    <x v="2"/>
  </r>
  <r>
    <x v="1230"/>
    <x v="6"/>
    <x v="0"/>
    <n v="45"/>
    <x v="583"/>
    <x v="48"/>
    <d v="2025-02-22T00:00:00"/>
    <x v="1"/>
    <x v="3"/>
    <x v="1"/>
    <s v="California"/>
    <s v="San Diego County"/>
    <x v="5"/>
    <x v="7"/>
    <x v="1"/>
  </r>
  <r>
    <x v="1231"/>
    <x v="0"/>
    <x v="3"/>
    <n v="15.3"/>
    <x v="1002"/>
    <x v="48"/>
    <d v="2025-02-19T00:00:00"/>
    <x v="1"/>
    <x v="0"/>
    <x v="2"/>
    <s v="California"/>
    <s v="San Diego County"/>
    <x v="3"/>
    <x v="7"/>
    <x v="1"/>
  </r>
  <r>
    <x v="1232"/>
    <x v="2"/>
    <x v="5"/>
    <n v="88.6"/>
    <x v="1032"/>
    <x v="48"/>
    <d v="2025-02-21T00:00:00"/>
    <x v="2"/>
    <x v="0"/>
    <x v="4"/>
    <s v="California"/>
    <s v="San Francisco"/>
    <x v="2"/>
    <x v="7"/>
    <x v="2"/>
  </r>
  <r>
    <x v="1233"/>
    <x v="9"/>
    <x v="1"/>
    <n v="49.7"/>
    <x v="1033"/>
    <x v="48"/>
    <d v="2025-02-20T00:00:00"/>
    <x v="3"/>
    <x v="4"/>
    <x v="0"/>
    <s v="California"/>
    <s v="Santa Barbara County"/>
    <x v="1"/>
    <x v="7"/>
    <x v="3"/>
  </r>
  <r>
    <x v="1234"/>
    <x v="10"/>
    <x v="0"/>
    <n v="29"/>
    <x v="1034"/>
    <x v="48"/>
    <d v="2025-02-19T00:00:00"/>
    <x v="1"/>
    <x v="0"/>
    <x v="0"/>
    <s v="California"/>
    <s v="Santa Clara County"/>
    <x v="3"/>
    <x v="7"/>
    <x v="1"/>
  </r>
  <r>
    <x v="1235"/>
    <x v="1"/>
    <x v="0"/>
    <n v="60.7"/>
    <x v="1035"/>
    <x v="48"/>
    <d v="2025-02-19T00:00:00"/>
    <x v="3"/>
    <x v="0"/>
    <x v="1"/>
    <s v="California"/>
    <s v="Santa Clara County"/>
    <x v="3"/>
    <x v="7"/>
    <x v="3"/>
  </r>
  <r>
    <x v="1236"/>
    <x v="17"/>
    <x v="12"/>
    <n v="87.4"/>
    <x v="1036"/>
    <x v="48"/>
    <d v="2025-02-20T00:00:00"/>
    <x v="0"/>
    <x v="0"/>
    <x v="0"/>
    <s v="California"/>
    <s v="Santa Clara County"/>
    <x v="1"/>
    <x v="7"/>
    <x v="0"/>
  </r>
  <r>
    <x v="1237"/>
    <x v="4"/>
    <x v="3"/>
    <n v="44.5"/>
    <x v="1037"/>
    <x v="48"/>
    <d v="2025-02-22T00:00:00"/>
    <x v="2"/>
    <x v="2"/>
    <x v="2"/>
    <s v="California"/>
    <s v="Stanislaus County"/>
    <x v="5"/>
    <x v="7"/>
    <x v="2"/>
  </r>
  <r>
    <x v="1238"/>
    <x v="2"/>
    <x v="0"/>
    <n v="141"/>
    <x v="1038"/>
    <x v="48"/>
    <d v="2025-02-19T00:00:00"/>
    <x v="1"/>
    <x v="4"/>
    <x v="2"/>
    <s v="California"/>
    <s v="Stanislaus County"/>
    <x v="3"/>
    <x v="7"/>
    <x v="1"/>
  </r>
  <r>
    <x v="1239"/>
    <x v="0"/>
    <x v="2"/>
    <n v="16.7"/>
    <x v="1039"/>
    <x v="48"/>
    <d v="2025-02-26T00:00:00"/>
    <x v="2"/>
    <x v="0"/>
    <x v="0"/>
    <s v="California"/>
    <s v="Tulare County"/>
    <x v="9"/>
    <x v="7"/>
    <x v="2"/>
  </r>
  <r>
    <x v="1240"/>
    <x v="1"/>
    <x v="1"/>
    <n v="77.5"/>
    <x v="1040"/>
    <x v="48"/>
    <d v="2025-02-19T00:00:00"/>
    <x v="0"/>
    <x v="2"/>
    <x v="2"/>
    <s v="California"/>
    <s v="Ventura County"/>
    <x v="3"/>
    <x v="7"/>
    <x v="0"/>
  </r>
  <r>
    <x v="1241"/>
    <x v="2"/>
    <x v="1"/>
    <n v="163"/>
    <x v="1041"/>
    <x v="48"/>
    <d v="2025-02-24T00:00:00"/>
    <x v="2"/>
    <x v="4"/>
    <x v="0"/>
    <s v="California"/>
    <s v="Alameda County"/>
    <x v="4"/>
    <x v="7"/>
    <x v="2"/>
  </r>
  <r>
    <x v="1242"/>
    <x v="4"/>
    <x v="11"/>
    <n v="21.4"/>
    <x v="1042"/>
    <x v="48"/>
    <d v="2025-02-21T00:00:00"/>
    <x v="2"/>
    <x v="0"/>
    <x v="0"/>
    <s v="California"/>
    <s v="Butte County"/>
    <x v="2"/>
    <x v="7"/>
    <x v="2"/>
  </r>
  <r>
    <x v="1243"/>
    <x v="10"/>
    <x v="5"/>
    <n v="31"/>
    <x v="992"/>
    <x v="48"/>
    <d v="2025-02-20T00:00:00"/>
    <x v="2"/>
    <x v="3"/>
    <x v="2"/>
    <s v="California"/>
    <s v="Contra Costa County"/>
    <x v="1"/>
    <x v="7"/>
    <x v="2"/>
  </r>
  <r>
    <x v="1244"/>
    <x v="7"/>
    <x v="1"/>
    <n v="34.299999999999997"/>
    <x v="1043"/>
    <x v="48"/>
    <d v="2025-02-20T00:00:00"/>
    <x v="2"/>
    <x v="0"/>
    <x v="3"/>
    <s v="California"/>
    <s v="Contra Costa County"/>
    <x v="1"/>
    <x v="7"/>
    <x v="2"/>
  </r>
  <r>
    <x v="1245"/>
    <x v="17"/>
    <x v="9"/>
    <n v="48.2"/>
    <x v="1044"/>
    <x v="48"/>
    <d v="2025-02-19T00:00:00"/>
    <x v="1"/>
    <x v="1"/>
    <x v="1"/>
    <s v="California"/>
    <s v="Fresno County"/>
    <x v="3"/>
    <x v="7"/>
    <x v="1"/>
  </r>
  <r>
    <x v="1246"/>
    <x v="10"/>
    <x v="0"/>
    <n v="51.4"/>
    <x v="1045"/>
    <x v="48"/>
    <d v="2025-02-19T00:00:00"/>
    <x v="1"/>
    <x v="0"/>
    <x v="0"/>
    <s v="California"/>
    <s v="Los Angeles County"/>
    <x v="3"/>
    <x v="7"/>
    <x v="1"/>
  </r>
  <r>
    <x v="1247"/>
    <x v="2"/>
    <x v="9"/>
    <n v="117.2"/>
    <x v="1046"/>
    <x v="48"/>
    <d v="2025-02-21T00:00:00"/>
    <x v="2"/>
    <x v="4"/>
    <x v="4"/>
    <s v="California"/>
    <s v="Los Angeles County"/>
    <x v="2"/>
    <x v="7"/>
    <x v="2"/>
  </r>
  <r>
    <x v="1248"/>
    <x v="8"/>
    <x v="0"/>
    <n v="38.1"/>
    <x v="220"/>
    <x v="48"/>
    <d v="2025-02-18T00:00:00"/>
    <x v="1"/>
    <x v="4"/>
    <x v="1"/>
    <s v="California"/>
    <s v="Los Angeles County"/>
    <x v="7"/>
    <x v="7"/>
    <x v="1"/>
  </r>
  <r>
    <x v="1249"/>
    <x v="0"/>
    <x v="1"/>
    <n v="44.1"/>
    <x v="1047"/>
    <x v="48"/>
    <d v="2025-02-20T00:00:00"/>
    <x v="2"/>
    <x v="2"/>
    <x v="0"/>
    <s v="California"/>
    <s v="Los Angeles County"/>
    <x v="1"/>
    <x v="7"/>
    <x v="2"/>
  </r>
  <r>
    <x v="1250"/>
    <x v="15"/>
    <x v="12"/>
    <n v="80.5"/>
    <x v="310"/>
    <x v="48"/>
    <d v="2025-02-23T00:00:00"/>
    <x v="1"/>
    <x v="0"/>
    <x v="0"/>
    <s v="California"/>
    <s v="Los Angeles County"/>
    <x v="0"/>
    <x v="7"/>
    <x v="1"/>
  </r>
  <r>
    <x v="1251"/>
    <x v="18"/>
    <x v="12"/>
    <n v="33.6"/>
    <x v="1048"/>
    <x v="48"/>
    <d v="2025-02-23T00:00:00"/>
    <x v="0"/>
    <x v="0"/>
    <x v="2"/>
    <s v="California"/>
    <s v="Los Angeles County"/>
    <x v="0"/>
    <x v="7"/>
    <x v="0"/>
  </r>
  <r>
    <x v="1252"/>
    <x v="9"/>
    <x v="11"/>
    <n v="41.8"/>
    <x v="82"/>
    <x v="48"/>
    <d v="2025-02-19T00:00:00"/>
    <x v="2"/>
    <x v="0"/>
    <x v="1"/>
    <s v="California"/>
    <s v="Los Angeles County"/>
    <x v="3"/>
    <x v="7"/>
    <x v="2"/>
  </r>
  <r>
    <x v="1253"/>
    <x v="1"/>
    <x v="1"/>
    <n v="106.2"/>
    <x v="230"/>
    <x v="48"/>
    <d v="2025-02-18T00:00:00"/>
    <x v="2"/>
    <x v="4"/>
    <x v="2"/>
    <s v="California"/>
    <s v="Los Angeles County"/>
    <x v="7"/>
    <x v="7"/>
    <x v="2"/>
  </r>
  <r>
    <x v="1254"/>
    <x v="1"/>
    <x v="1"/>
    <n v="52.6"/>
    <x v="1049"/>
    <x v="48"/>
    <d v="2025-02-19T00:00:00"/>
    <x v="2"/>
    <x v="0"/>
    <x v="2"/>
    <s v="California"/>
    <s v="Placer County"/>
    <x v="3"/>
    <x v="7"/>
    <x v="2"/>
  </r>
  <r>
    <x v="1255"/>
    <x v="11"/>
    <x v="3"/>
    <n v="68.5"/>
    <x v="1050"/>
    <x v="48"/>
    <d v="2025-02-19T00:00:00"/>
    <x v="2"/>
    <x v="1"/>
    <x v="0"/>
    <s v="California"/>
    <s v="Placer County"/>
    <x v="3"/>
    <x v="7"/>
    <x v="2"/>
  </r>
  <r>
    <x v="1256"/>
    <x v="1"/>
    <x v="1"/>
    <n v="55.6"/>
    <x v="622"/>
    <x v="48"/>
    <d v="2025-02-20T00:00:00"/>
    <x v="1"/>
    <x v="1"/>
    <x v="2"/>
    <s v="California"/>
    <s v="Sacramento County"/>
    <x v="1"/>
    <x v="7"/>
    <x v="1"/>
  </r>
  <r>
    <x v="1257"/>
    <x v="2"/>
    <x v="2"/>
    <n v="134.9"/>
    <x v="1051"/>
    <x v="48"/>
    <d v="2025-02-19T00:00:00"/>
    <x v="1"/>
    <x v="1"/>
    <x v="1"/>
    <s v="California"/>
    <s v="Sacramento County"/>
    <x v="3"/>
    <x v="7"/>
    <x v="1"/>
  </r>
  <r>
    <x v="1258"/>
    <x v="10"/>
    <x v="9"/>
    <n v="42.6"/>
    <x v="226"/>
    <x v="48"/>
    <d v="2025-02-19T00:00:00"/>
    <x v="1"/>
    <x v="0"/>
    <x v="0"/>
    <s v="California"/>
    <s v="Sacramento County"/>
    <x v="3"/>
    <x v="7"/>
    <x v="1"/>
  </r>
  <r>
    <x v="1259"/>
    <x v="7"/>
    <x v="9"/>
    <n v="60.6"/>
    <x v="1052"/>
    <x v="48"/>
    <d v="2025-02-20T00:00:00"/>
    <x v="1"/>
    <x v="4"/>
    <x v="0"/>
    <s v="California"/>
    <s v="Sacramento County"/>
    <x v="1"/>
    <x v="7"/>
    <x v="1"/>
  </r>
  <r>
    <x v="1260"/>
    <x v="8"/>
    <x v="1"/>
    <n v="43.5"/>
    <x v="1053"/>
    <x v="48"/>
    <d v="2025-02-19T00:00:00"/>
    <x v="1"/>
    <x v="4"/>
    <x v="0"/>
    <s v="California"/>
    <s v="San Bernardino County"/>
    <x v="3"/>
    <x v="7"/>
    <x v="1"/>
  </r>
  <r>
    <x v="1261"/>
    <x v="2"/>
    <x v="1"/>
    <n v="187.1"/>
    <x v="1054"/>
    <x v="48"/>
    <d v="2025-02-19T00:00:00"/>
    <x v="1"/>
    <x v="1"/>
    <x v="2"/>
    <s v="California"/>
    <s v="San Diego County"/>
    <x v="3"/>
    <x v="7"/>
    <x v="1"/>
  </r>
  <r>
    <x v="1262"/>
    <x v="9"/>
    <x v="2"/>
    <n v="32"/>
    <x v="854"/>
    <x v="48"/>
    <d v="2025-02-20T00:00:00"/>
    <x v="1"/>
    <x v="0"/>
    <x v="0"/>
    <s v="California"/>
    <s v="San Diego County"/>
    <x v="1"/>
    <x v="7"/>
    <x v="1"/>
  </r>
  <r>
    <x v="1263"/>
    <x v="9"/>
    <x v="1"/>
    <n v="110.8"/>
    <x v="1055"/>
    <x v="48"/>
    <d v="2025-02-18T00:00:00"/>
    <x v="1"/>
    <x v="0"/>
    <x v="2"/>
    <s v="California"/>
    <s v="San Diego County"/>
    <x v="7"/>
    <x v="7"/>
    <x v="1"/>
  </r>
  <r>
    <x v="1264"/>
    <x v="10"/>
    <x v="15"/>
    <n v="36.1"/>
    <x v="1056"/>
    <x v="48"/>
    <d v="2025-02-21T00:00:00"/>
    <x v="2"/>
    <x v="0"/>
    <x v="1"/>
    <s v="California"/>
    <s v="San Diego County"/>
    <x v="2"/>
    <x v="7"/>
    <x v="2"/>
  </r>
  <r>
    <x v="1265"/>
    <x v="0"/>
    <x v="0"/>
    <n v="24.1"/>
    <x v="1057"/>
    <x v="48"/>
    <d v="2025-02-20T00:00:00"/>
    <x v="2"/>
    <x v="4"/>
    <x v="2"/>
    <s v="California"/>
    <s v="San Diego County"/>
    <x v="1"/>
    <x v="7"/>
    <x v="2"/>
  </r>
  <r>
    <x v="1266"/>
    <x v="19"/>
    <x v="2"/>
    <n v="30.5"/>
    <x v="1058"/>
    <x v="48"/>
    <d v="2025-02-20T00:00:00"/>
    <x v="1"/>
    <x v="1"/>
    <x v="0"/>
    <s v="California"/>
    <s v="San Diego County"/>
    <x v="1"/>
    <x v="7"/>
    <x v="1"/>
  </r>
  <r>
    <x v="1267"/>
    <x v="18"/>
    <x v="13"/>
    <n v="68.3"/>
    <x v="1059"/>
    <x v="48"/>
    <d v="2025-02-21T00:00:00"/>
    <x v="1"/>
    <x v="0"/>
    <x v="0"/>
    <s v="California"/>
    <s v="San Diego County"/>
    <x v="2"/>
    <x v="7"/>
    <x v="1"/>
  </r>
  <r>
    <x v="1268"/>
    <x v="7"/>
    <x v="2"/>
    <n v="43.3"/>
    <x v="1060"/>
    <x v="48"/>
    <d v="2025-02-22T00:00:00"/>
    <x v="2"/>
    <x v="0"/>
    <x v="0"/>
    <s v="California"/>
    <s v="San Francisco"/>
    <x v="5"/>
    <x v="7"/>
    <x v="2"/>
  </r>
  <r>
    <x v="1269"/>
    <x v="3"/>
    <x v="0"/>
    <n v="101.7"/>
    <x v="530"/>
    <x v="48"/>
    <d v="2025-02-21T00:00:00"/>
    <x v="2"/>
    <x v="0"/>
    <x v="1"/>
    <s v="California"/>
    <s v="San Francisco"/>
    <x v="2"/>
    <x v="7"/>
    <x v="2"/>
  </r>
  <r>
    <x v="1270"/>
    <x v="11"/>
    <x v="1"/>
    <n v="54.2"/>
    <x v="1061"/>
    <x v="48"/>
    <d v="2025-02-19T00:00:00"/>
    <x v="2"/>
    <x v="0"/>
    <x v="1"/>
    <s v="California"/>
    <s v="San Francisco"/>
    <x v="3"/>
    <x v="7"/>
    <x v="2"/>
  </r>
  <r>
    <x v="1271"/>
    <x v="16"/>
    <x v="1"/>
    <n v="51"/>
    <x v="1062"/>
    <x v="48"/>
    <d v="2025-02-18T00:00:00"/>
    <x v="1"/>
    <x v="1"/>
    <x v="0"/>
    <s v="California"/>
    <s v="San Joaquin County"/>
    <x v="7"/>
    <x v="7"/>
    <x v="1"/>
  </r>
  <r>
    <x v="1272"/>
    <x v="4"/>
    <x v="1"/>
    <n v="23.1"/>
    <x v="1063"/>
    <x v="48"/>
    <d v="2025-02-21T00:00:00"/>
    <x v="1"/>
    <x v="1"/>
    <x v="0"/>
    <s v="California"/>
    <s v="Santa Barbara County"/>
    <x v="2"/>
    <x v="7"/>
    <x v="1"/>
  </r>
  <r>
    <x v="1273"/>
    <x v="12"/>
    <x v="13"/>
    <n v="60.1"/>
    <x v="116"/>
    <x v="48"/>
    <d v="2025-02-18T00:00:00"/>
    <x v="2"/>
    <x v="3"/>
    <x v="0"/>
    <s v="California"/>
    <s v="Santa Clara County"/>
    <x v="7"/>
    <x v="7"/>
    <x v="2"/>
  </r>
  <r>
    <x v="1274"/>
    <x v="2"/>
    <x v="3"/>
    <n v="87.5"/>
    <x v="1064"/>
    <x v="48"/>
    <d v="2025-02-20T00:00:00"/>
    <x v="2"/>
    <x v="0"/>
    <x v="1"/>
    <s v="California"/>
    <s v="Santa Clara County"/>
    <x v="1"/>
    <x v="7"/>
    <x v="2"/>
  </r>
  <r>
    <x v="1275"/>
    <x v="1"/>
    <x v="2"/>
    <n v="51"/>
    <x v="1065"/>
    <x v="48"/>
    <d v="2025-02-19T00:00:00"/>
    <x v="2"/>
    <x v="1"/>
    <x v="0"/>
    <s v="California"/>
    <s v="Santa Clara County"/>
    <x v="3"/>
    <x v="7"/>
    <x v="2"/>
  </r>
  <r>
    <x v="1276"/>
    <x v="8"/>
    <x v="12"/>
    <n v="19.2"/>
    <x v="714"/>
    <x v="48"/>
    <d v="2025-02-20T00:00:00"/>
    <x v="2"/>
    <x v="0"/>
    <x v="0"/>
    <s v="California"/>
    <s v="Santa Clara County"/>
    <x v="1"/>
    <x v="7"/>
    <x v="2"/>
  </r>
  <r>
    <x v="1277"/>
    <x v="5"/>
    <x v="8"/>
    <n v="26.5"/>
    <x v="1066"/>
    <x v="48"/>
    <d v="2025-02-19T00:00:00"/>
    <x v="0"/>
    <x v="3"/>
    <x v="2"/>
    <s v="California"/>
    <s v="Santa Clara County"/>
    <x v="3"/>
    <x v="7"/>
    <x v="0"/>
  </r>
  <r>
    <x v="1278"/>
    <x v="2"/>
    <x v="1"/>
    <n v="220.3"/>
    <x v="1067"/>
    <x v="48"/>
    <d v="2025-02-19T00:00:00"/>
    <x v="2"/>
    <x v="1"/>
    <x v="4"/>
    <s v="California"/>
    <s v="Shasta County"/>
    <x v="3"/>
    <x v="7"/>
    <x v="2"/>
  </r>
  <r>
    <x v="1279"/>
    <x v="8"/>
    <x v="2"/>
    <n v="45.7"/>
    <x v="1068"/>
    <x v="48"/>
    <d v="2025-02-19T00:00:00"/>
    <x v="2"/>
    <x v="4"/>
    <x v="0"/>
    <s v="California"/>
    <s v="Siskiyou County"/>
    <x v="3"/>
    <x v="7"/>
    <x v="2"/>
  </r>
  <r>
    <x v="1280"/>
    <x v="5"/>
    <x v="9"/>
    <n v="47.1"/>
    <x v="1069"/>
    <x v="48"/>
    <d v="2025-02-22T00:00:00"/>
    <x v="2"/>
    <x v="3"/>
    <x v="0"/>
    <s v="California"/>
    <s v="Ventura County"/>
    <x v="5"/>
    <x v="7"/>
    <x v="2"/>
  </r>
  <r>
    <x v="1281"/>
    <x v="1"/>
    <x v="9"/>
    <n v="81.7"/>
    <x v="856"/>
    <x v="48"/>
    <d v="2025-02-19T00:00:00"/>
    <x v="2"/>
    <x v="0"/>
    <x v="2"/>
    <s v="California"/>
    <s v="Alameda County"/>
    <x v="3"/>
    <x v="7"/>
    <x v="2"/>
  </r>
  <r>
    <x v="1282"/>
    <x v="6"/>
    <x v="7"/>
    <n v="97.8"/>
    <x v="1070"/>
    <x v="48"/>
    <d v="2025-02-18T00:00:00"/>
    <x v="1"/>
    <x v="1"/>
    <x v="1"/>
    <s v="California"/>
    <s v="Alameda County"/>
    <x v="7"/>
    <x v="7"/>
    <x v="1"/>
  </r>
  <r>
    <x v="1283"/>
    <x v="6"/>
    <x v="2"/>
    <n v="42.4"/>
    <x v="1071"/>
    <x v="48"/>
    <d v="2025-02-19T00:00:00"/>
    <x v="2"/>
    <x v="0"/>
    <x v="2"/>
    <s v="California"/>
    <s v="Colusa County"/>
    <x v="3"/>
    <x v="7"/>
    <x v="2"/>
  </r>
  <r>
    <x v="1284"/>
    <x v="2"/>
    <x v="7"/>
    <n v="74.5"/>
    <x v="1072"/>
    <x v="48"/>
    <d v="2025-02-19T00:00:00"/>
    <x v="1"/>
    <x v="2"/>
    <x v="1"/>
    <s v="California"/>
    <s v="Contra Costa County"/>
    <x v="3"/>
    <x v="7"/>
    <x v="1"/>
  </r>
  <r>
    <x v="1285"/>
    <x v="17"/>
    <x v="13"/>
    <n v="47.4"/>
    <x v="1073"/>
    <x v="48"/>
    <d v="2025-02-19T00:00:00"/>
    <x v="1"/>
    <x v="1"/>
    <x v="0"/>
    <s v="California"/>
    <s v="Contra Costa County"/>
    <x v="3"/>
    <x v="7"/>
    <x v="1"/>
  </r>
  <r>
    <x v="1286"/>
    <x v="14"/>
    <x v="2"/>
    <n v="17.3"/>
    <x v="1074"/>
    <x v="49"/>
    <d v="2025-02-22T00:00:00"/>
    <x v="1"/>
    <x v="2"/>
    <x v="2"/>
    <s v="California"/>
    <s v="Contra Costa County"/>
    <x v="2"/>
    <x v="7"/>
    <x v="1"/>
  </r>
  <r>
    <x v="1287"/>
    <x v="12"/>
    <x v="12"/>
    <n v="77.900000000000006"/>
    <x v="1075"/>
    <x v="49"/>
    <d v="2025-02-20T00:00:00"/>
    <x v="1"/>
    <x v="1"/>
    <x v="0"/>
    <s v="California"/>
    <s v="Fresno County"/>
    <x v="3"/>
    <x v="7"/>
    <x v="1"/>
  </r>
  <r>
    <x v="1288"/>
    <x v="8"/>
    <x v="0"/>
    <n v="29.1"/>
    <x v="1076"/>
    <x v="49"/>
    <d v="2025-02-22T00:00:00"/>
    <x v="1"/>
    <x v="0"/>
    <x v="2"/>
    <s v="California"/>
    <s v="Lake County"/>
    <x v="2"/>
    <x v="7"/>
    <x v="1"/>
  </r>
  <r>
    <x v="1289"/>
    <x v="8"/>
    <x v="0"/>
    <n v="49"/>
    <x v="268"/>
    <x v="49"/>
    <d v="2025-02-20T00:00:00"/>
    <x v="1"/>
    <x v="1"/>
    <x v="0"/>
    <s v="California"/>
    <s v="Los Angeles County"/>
    <x v="3"/>
    <x v="7"/>
    <x v="1"/>
  </r>
  <r>
    <x v="1290"/>
    <x v="8"/>
    <x v="13"/>
    <n v="21.1"/>
    <x v="1077"/>
    <x v="49"/>
    <d v="2025-02-26T00:00:00"/>
    <x v="1"/>
    <x v="0"/>
    <x v="2"/>
    <s v="California"/>
    <s v="Los Angeles County"/>
    <x v="6"/>
    <x v="7"/>
    <x v="1"/>
  </r>
  <r>
    <x v="1291"/>
    <x v="4"/>
    <x v="10"/>
    <n v="36.9"/>
    <x v="1078"/>
    <x v="49"/>
    <d v="2025-02-19T00:00:00"/>
    <x v="2"/>
    <x v="0"/>
    <x v="0"/>
    <s v="California"/>
    <s v="Los Angeles County"/>
    <x v="7"/>
    <x v="7"/>
    <x v="2"/>
  </r>
  <r>
    <x v="1292"/>
    <x v="1"/>
    <x v="7"/>
    <n v="92.6"/>
    <x v="1079"/>
    <x v="49"/>
    <d v="2025-02-24T00:00:00"/>
    <x v="1"/>
    <x v="4"/>
    <x v="2"/>
    <s v="California"/>
    <s v="Los Angeles County"/>
    <x v="0"/>
    <x v="7"/>
    <x v="1"/>
  </r>
  <r>
    <x v="1293"/>
    <x v="10"/>
    <x v="1"/>
    <n v="38"/>
    <x v="998"/>
    <x v="49"/>
    <d v="2025-02-20T00:00:00"/>
    <x v="1"/>
    <x v="1"/>
    <x v="1"/>
    <s v="California"/>
    <s v="Los Angeles County"/>
    <x v="3"/>
    <x v="7"/>
    <x v="1"/>
  </r>
  <r>
    <x v="1294"/>
    <x v="5"/>
    <x v="2"/>
    <n v="54.8"/>
    <x v="1080"/>
    <x v="49"/>
    <d v="2025-02-23T00:00:00"/>
    <x v="0"/>
    <x v="0"/>
    <x v="1"/>
    <s v="California"/>
    <s v="Los Angeles County"/>
    <x v="5"/>
    <x v="7"/>
    <x v="0"/>
  </r>
  <r>
    <x v="1295"/>
    <x v="10"/>
    <x v="4"/>
    <n v="56.8"/>
    <x v="1081"/>
    <x v="49"/>
    <d v="2025-02-21T00:00:00"/>
    <x v="1"/>
    <x v="1"/>
    <x v="0"/>
    <s v="California"/>
    <s v="Los Angeles County"/>
    <x v="1"/>
    <x v="7"/>
    <x v="1"/>
  </r>
  <r>
    <x v="1296"/>
    <x v="11"/>
    <x v="40"/>
    <n v="47.2"/>
    <x v="1082"/>
    <x v="49"/>
    <d v="2025-02-22T00:00:00"/>
    <x v="2"/>
    <x v="1"/>
    <x v="0"/>
    <s v="California"/>
    <s v="Los Angeles County"/>
    <x v="2"/>
    <x v="7"/>
    <x v="2"/>
  </r>
  <r>
    <x v="1297"/>
    <x v="7"/>
    <x v="13"/>
    <n v="45.1"/>
    <x v="1083"/>
    <x v="49"/>
    <d v="2025-02-20T00:00:00"/>
    <x v="2"/>
    <x v="2"/>
    <x v="0"/>
    <s v="California"/>
    <s v="Marin County"/>
    <x v="3"/>
    <x v="7"/>
    <x v="2"/>
  </r>
  <r>
    <x v="1298"/>
    <x v="4"/>
    <x v="4"/>
    <n v="25.2"/>
    <x v="982"/>
    <x v="49"/>
    <d v="2025-02-24T00:00:00"/>
    <x v="2"/>
    <x v="2"/>
    <x v="0"/>
    <s v="California"/>
    <s v="Napa County"/>
    <x v="0"/>
    <x v="7"/>
    <x v="2"/>
  </r>
  <r>
    <x v="1299"/>
    <x v="8"/>
    <x v="0"/>
    <n v="22"/>
    <x v="1084"/>
    <x v="49"/>
    <d v="2025-02-20T00:00:00"/>
    <x v="2"/>
    <x v="0"/>
    <x v="0"/>
    <s v="California"/>
    <s v="Placer County"/>
    <x v="3"/>
    <x v="7"/>
    <x v="2"/>
  </r>
  <r>
    <x v="1300"/>
    <x v="6"/>
    <x v="1"/>
    <n v="42.2"/>
    <x v="533"/>
    <x v="49"/>
    <d v="2025-02-20T00:00:00"/>
    <x v="2"/>
    <x v="1"/>
    <x v="1"/>
    <s v="California"/>
    <s v="Riverside County"/>
    <x v="3"/>
    <x v="7"/>
    <x v="2"/>
  </r>
  <r>
    <x v="1301"/>
    <x v="13"/>
    <x v="2"/>
    <n v="20.5"/>
    <x v="1085"/>
    <x v="49"/>
    <d v="2025-02-20T00:00:00"/>
    <x v="1"/>
    <x v="0"/>
    <x v="1"/>
    <s v="California"/>
    <s v="Sacramento County"/>
    <x v="3"/>
    <x v="7"/>
    <x v="1"/>
  </r>
  <r>
    <x v="1302"/>
    <x v="2"/>
    <x v="0"/>
    <n v="190.4"/>
    <x v="1086"/>
    <x v="49"/>
    <d v="2025-02-24T00:00:00"/>
    <x v="1"/>
    <x v="1"/>
    <x v="4"/>
    <s v="California"/>
    <s v="Sacramento County"/>
    <x v="0"/>
    <x v="7"/>
    <x v="1"/>
  </r>
  <r>
    <x v="1303"/>
    <x v="2"/>
    <x v="0"/>
    <n v="121.9"/>
    <x v="1087"/>
    <x v="49"/>
    <d v="2025-02-21T00:00:00"/>
    <x v="2"/>
    <x v="1"/>
    <x v="2"/>
    <s v="California"/>
    <s v="Sacramento County"/>
    <x v="1"/>
    <x v="7"/>
    <x v="2"/>
  </r>
  <r>
    <x v="1304"/>
    <x v="2"/>
    <x v="13"/>
    <n v="149.19999999999999"/>
    <x v="1088"/>
    <x v="49"/>
    <d v="2025-02-20T00:00:00"/>
    <x v="2"/>
    <x v="2"/>
    <x v="2"/>
    <s v="California"/>
    <s v="San Bernardino County"/>
    <x v="3"/>
    <x v="7"/>
    <x v="2"/>
  </r>
  <r>
    <x v="1305"/>
    <x v="2"/>
    <x v="0"/>
    <n v="54.1"/>
    <x v="1089"/>
    <x v="49"/>
    <d v="2025-02-28T00:00:00"/>
    <x v="2"/>
    <x v="2"/>
    <x v="2"/>
    <s v="California"/>
    <s v="San Bernardino County"/>
    <x v="8"/>
    <x v="7"/>
    <x v="2"/>
  </r>
  <r>
    <x v="1306"/>
    <x v="5"/>
    <x v="1"/>
    <n v="27.4"/>
    <x v="1090"/>
    <x v="49"/>
    <d v="2025-02-21T00:00:00"/>
    <x v="1"/>
    <x v="1"/>
    <x v="0"/>
    <s v="California"/>
    <s v="San Diego County"/>
    <x v="1"/>
    <x v="7"/>
    <x v="1"/>
  </r>
  <r>
    <x v="1307"/>
    <x v="0"/>
    <x v="15"/>
    <n v="30.4"/>
    <x v="1091"/>
    <x v="49"/>
    <d v="2025-02-20T00:00:00"/>
    <x v="2"/>
    <x v="0"/>
    <x v="2"/>
    <s v="California"/>
    <s v="San Diego County"/>
    <x v="3"/>
    <x v="7"/>
    <x v="2"/>
  </r>
  <r>
    <x v="1308"/>
    <x v="12"/>
    <x v="2"/>
    <n v="46.2"/>
    <x v="209"/>
    <x v="49"/>
    <d v="2025-02-21T00:00:00"/>
    <x v="1"/>
    <x v="2"/>
    <x v="1"/>
    <s v="California"/>
    <s v="San Francisco"/>
    <x v="1"/>
    <x v="7"/>
    <x v="1"/>
  </r>
  <r>
    <x v="1309"/>
    <x v="7"/>
    <x v="8"/>
    <n v="78.599999999999994"/>
    <x v="1092"/>
    <x v="49"/>
    <d v="2025-02-23T00:00:00"/>
    <x v="1"/>
    <x v="3"/>
    <x v="0"/>
    <s v="California"/>
    <s v="San Francisco"/>
    <x v="5"/>
    <x v="7"/>
    <x v="1"/>
  </r>
  <r>
    <x v="1310"/>
    <x v="17"/>
    <x v="7"/>
    <n v="25.9"/>
    <x v="155"/>
    <x v="49"/>
    <d v="2025-02-25T00:00:00"/>
    <x v="1"/>
    <x v="4"/>
    <x v="0"/>
    <s v="California"/>
    <s v="San Mateo County"/>
    <x v="4"/>
    <x v="7"/>
    <x v="1"/>
  </r>
  <r>
    <x v="1311"/>
    <x v="6"/>
    <x v="0"/>
    <n v="134.80000000000001"/>
    <x v="1093"/>
    <x v="49"/>
    <d v="2025-02-21T00:00:00"/>
    <x v="1"/>
    <x v="2"/>
    <x v="2"/>
    <s v="California"/>
    <s v="San Mateo County"/>
    <x v="1"/>
    <x v="7"/>
    <x v="1"/>
  </r>
  <r>
    <x v="1312"/>
    <x v="15"/>
    <x v="9"/>
    <n v="43.1"/>
    <x v="1094"/>
    <x v="49"/>
    <d v="2025-02-21T00:00:00"/>
    <x v="2"/>
    <x v="0"/>
    <x v="0"/>
    <s v="California"/>
    <s v="Santa Clara County"/>
    <x v="1"/>
    <x v="7"/>
    <x v="2"/>
  </r>
  <r>
    <x v="1313"/>
    <x v="2"/>
    <x v="1"/>
    <n v="215.6"/>
    <x v="348"/>
    <x v="49"/>
    <d v="2025-02-20T00:00:00"/>
    <x v="2"/>
    <x v="2"/>
    <x v="0"/>
    <s v="California"/>
    <s v="Sonoma County"/>
    <x v="3"/>
    <x v="7"/>
    <x v="2"/>
  </r>
  <r>
    <x v="1314"/>
    <x v="6"/>
    <x v="1"/>
    <n v="80.7"/>
    <x v="1095"/>
    <x v="49"/>
    <d v="2025-02-22T00:00:00"/>
    <x v="2"/>
    <x v="3"/>
    <x v="0"/>
    <s v="California"/>
    <s v="Sonoma County"/>
    <x v="2"/>
    <x v="7"/>
    <x v="2"/>
  </r>
  <r>
    <x v="1315"/>
    <x v="10"/>
    <x v="3"/>
    <n v="20.6"/>
    <x v="1096"/>
    <x v="49"/>
    <d v="2025-02-24T00:00:00"/>
    <x v="0"/>
    <x v="2"/>
    <x v="1"/>
    <s v="California"/>
    <s v="Stanislaus County"/>
    <x v="0"/>
    <x v="7"/>
    <x v="0"/>
  </r>
  <r>
    <x v="1316"/>
    <x v="12"/>
    <x v="2"/>
    <n v="37.1"/>
    <x v="1097"/>
    <x v="49"/>
    <d v="2025-02-20T00:00:00"/>
    <x v="2"/>
    <x v="0"/>
    <x v="0"/>
    <s v="California"/>
    <s v="Tuolumne County"/>
    <x v="3"/>
    <x v="7"/>
    <x v="2"/>
  </r>
  <r>
    <x v="1317"/>
    <x v="12"/>
    <x v="0"/>
    <n v="104.8"/>
    <x v="661"/>
    <x v="50"/>
    <d v="2025-02-22T00:00:00"/>
    <x v="2"/>
    <x v="0"/>
    <x v="0"/>
    <s v="California"/>
    <s v="Ventura County"/>
    <x v="1"/>
    <x v="7"/>
    <x v="2"/>
  </r>
  <r>
    <x v="1318"/>
    <x v="8"/>
    <x v="1"/>
    <n v="59"/>
    <x v="1098"/>
    <x v="50"/>
    <d v="2025-02-21T00:00:00"/>
    <x v="1"/>
    <x v="1"/>
    <x v="0"/>
    <s v="California"/>
    <s v="Alameda County"/>
    <x v="3"/>
    <x v="7"/>
    <x v="1"/>
  </r>
  <r>
    <x v="1319"/>
    <x v="8"/>
    <x v="1"/>
    <n v="32.299999999999997"/>
    <x v="1099"/>
    <x v="50"/>
    <d v="2025-02-21T00:00:00"/>
    <x v="1"/>
    <x v="0"/>
    <x v="2"/>
    <s v="California"/>
    <s v="Alameda County"/>
    <x v="3"/>
    <x v="7"/>
    <x v="1"/>
  </r>
  <r>
    <x v="1320"/>
    <x v="8"/>
    <x v="12"/>
    <n v="28.9"/>
    <x v="446"/>
    <x v="50"/>
    <d v="2025-02-27T00:00:00"/>
    <x v="1"/>
    <x v="0"/>
    <x v="0"/>
    <s v="California"/>
    <s v="Contra Costa County"/>
    <x v="6"/>
    <x v="7"/>
    <x v="1"/>
  </r>
  <r>
    <x v="1321"/>
    <x v="0"/>
    <x v="1"/>
    <n v="29.6"/>
    <x v="1100"/>
    <x v="50"/>
    <d v="2025-02-22T00:00:00"/>
    <x v="1"/>
    <x v="0"/>
    <x v="0"/>
    <s v="California"/>
    <s v="Contra Costa County"/>
    <x v="1"/>
    <x v="7"/>
    <x v="1"/>
  </r>
  <r>
    <x v="1322"/>
    <x v="0"/>
    <x v="9"/>
    <n v="29.4"/>
    <x v="926"/>
    <x v="50"/>
    <d v="2025-02-23T00:00:00"/>
    <x v="2"/>
    <x v="0"/>
    <x v="0"/>
    <s v="California"/>
    <s v="Contra Costa County"/>
    <x v="2"/>
    <x v="7"/>
    <x v="2"/>
  </r>
  <r>
    <x v="1323"/>
    <x v="1"/>
    <x v="1"/>
    <n v="40.6"/>
    <x v="1101"/>
    <x v="50"/>
    <d v="2025-02-21T00:00:00"/>
    <x v="1"/>
    <x v="0"/>
    <x v="4"/>
    <s v="California"/>
    <s v="Fresno County"/>
    <x v="3"/>
    <x v="7"/>
    <x v="1"/>
  </r>
  <r>
    <x v="1324"/>
    <x v="0"/>
    <x v="2"/>
    <n v="32.5"/>
    <x v="647"/>
    <x v="50"/>
    <d v="2025-02-21T00:00:00"/>
    <x v="1"/>
    <x v="3"/>
    <x v="2"/>
    <s v="California"/>
    <s v="Kern County"/>
    <x v="3"/>
    <x v="7"/>
    <x v="1"/>
  </r>
  <r>
    <x v="1325"/>
    <x v="15"/>
    <x v="0"/>
    <n v="26.2"/>
    <x v="1102"/>
    <x v="50"/>
    <d v="2025-02-22T00:00:00"/>
    <x v="1"/>
    <x v="2"/>
    <x v="0"/>
    <s v="California"/>
    <s v="Lassen County"/>
    <x v="1"/>
    <x v="7"/>
    <x v="1"/>
  </r>
  <r>
    <x v="1326"/>
    <x v="10"/>
    <x v="17"/>
    <n v="44"/>
    <x v="1103"/>
    <x v="50"/>
    <d v="2025-02-26T00:00:00"/>
    <x v="1"/>
    <x v="4"/>
    <x v="0"/>
    <s v="California"/>
    <s v="Los Angeles County"/>
    <x v="4"/>
    <x v="7"/>
    <x v="1"/>
  </r>
  <r>
    <x v="1327"/>
    <x v="7"/>
    <x v="12"/>
    <n v="65.599999999999994"/>
    <x v="1104"/>
    <x v="50"/>
    <d v="2025-02-21T00:00:00"/>
    <x v="2"/>
    <x v="1"/>
    <x v="1"/>
    <s v="California"/>
    <s v="Los Angeles County"/>
    <x v="3"/>
    <x v="7"/>
    <x v="2"/>
  </r>
  <r>
    <x v="1328"/>
    <x v="5"/>
    <x v="4"/>
    <n v="32.6"/>
    <x v="1105"/>
    <x v="50"/>
    <d v="2025-02-21T00:00:00"/>
    <x v="1"/>
    <x v="4"/>
    <x v="0"/>
    <s v="California"/>
    <s v="Los Angeles County"/>
    <x v="3"/>
    <x v="7"/>
    <x v="1"/>
  </r>
  <r>
    <x v="1329"/>
    <x v="16"/>
    <x v="1"/>
    <n v="88.7"/>
    <x v="633"/>
    <x v="50"/>
    <d v="2025-02-21T00:00:00"/>
    <x v="0"/>
    <x v="3"/>
    <x v="2"/>
    <s v="California"/>
    <s v="Los Angeles County"/>
    <x v="3"/>
    <x v="7"/>
    <x v="0"/>
  </r>
  <r>
    <x v="1330"/>
    <x v="4"/>
    <x v="1"/>
    <n v="21.3"/>
    <x v="440"/>
    <x v="50"/>
    <d v="2025-02-21T00:00:00"/>
    <x v="1"/>
    <x v="0"/>
    <x v="0"/>
    <s v="California"/>
    <s v="Los Angeles County"/>
    <x v="3"/>
    <x v="7"/>
    <x v="1"/>
  </r>
  <r>
    <x v="1331"/>
    <x v="4"/>
    <x v="13"/>
    <n v="50.6"/>
    <x v="80"/>
    <x v="50"/>
    <d v="2025-02-24T00:00:00"/>
    <x v="2"/>
    <x v="2"/>
    <x v="0"/>
    <s v="California"/>
    <s v="Los Angeles County"/>
    <x v="5"/>
    <x v="7"/>
    <x v="2"/>
  </r>
  <r>
    <x v="1332"/>
    <x v="9"/>
    <x v="38"/>
    <n v="86.9"/>
    <x v="1106"/>
    <x v="50"/>
    <d v="2025-02-23T00:00:00"/>
    <x v="2"/>
    <x v="0"/>
    <x v="1"/>
    <s v="California"/>
    <s v="Los Angeles County"/>
    <x v="2"/>
    <x v="7"/>
    <x v="2"/>
  </r>
  <r>
    <x v="1333"/>
    <x v="11"/>
    <x v="2"/>
    <n v="31.8"/>
    <x v="233"/>
    <x v="50"/>
    <d v="2025-02-22T00:00:00"/>
    <x v="1"/>
    <x v="0"/>
    <x v="2"/>
    <s v="California"/>
    <s v="Los Angeles County"/>
    <x v="1"/>
    <x v="7"/>
    <x v="1"/>
  </r>
  <r>
    <x v="1334"/>
    <x v="8"/>
    <x v="0"/>
    <n v="19"/>
    <x v="134"/>
    <x v="50"/>
    <d v="2025-02-21T00:00:00"/>
    <x v="2"/>
    <x v="0"/>
    <x v="2"/>
    <s v="California"/>
    <s v="Los Angeles County"/>
    <x v="3"/>
    <x v="7"/>
    <x v="2"/>
  </r>
  <r>
    <x v="1335"/>
    <x v="5"/>
    <x v="0"/>
    <n v="54.5"/>
    <x v="1107"/>
    <x v="50"/>
    <d v="2025-02-22T00:00:00"/>
    <x v="1"/>
    <x v="0"/>
    <x v="0"/>
    <s v="California"/>
    <s v="Los Angeles County"/>
    <x v="1"/>
    <x v="7"/>
    <x v="1"/>
  </r>
  <r>
    <x v="1336"/>
    <x v="9"/>
    <x v="9"/>
    <n v="68.900000000000006"/>
    <x v="1108"/>
    <x v="50"/>
    <d v="2025-02-22T00:00:00"/>
    <x v="1"/>
    <x v="4"/>
    <x v="1"/>
    <s v="California"/>
    <s v="Los Angeles County"/>
    <x v="1"/>
    <x v="7"/>
    <x v="1"/>
  </r>
  <r>
    <x v="1337"/>
    <x v="6"/>
    <x v="2"/>
    <n v="84"/>
    <x v="816"/>
    <x v="50"/>
    <d v="2025-02-21T00:00:00"/>
    <x v="1"/>
    <x v="1"/>
    <x v="4"/>
    <s v="California"/>
    <s v="Napa County"/>
    <x v="3"/>
    <x v="7"/>
    <x v="1"/>
  </r>
  <r>
    <x v="1338"/>
    <x v="15"/>
    <x v="8"/>
    <n v="23.1"/>
    <x v="827"/>
    <x v="50"/>
    <d v="2025-02-25T00:00:00"/>
    <x v="1"/>
    <x v="0"/>
    <x v="2"/>
    <s v="California"/>
    <s v="Riverside County"/>
    <x v="0"/>
    <x v="7"/>
    <x v="1"/>
  </r>
  <r>
    <x v="1339"/>
    <x v="7"/>
    <x v="1"/>
    <n v="62.4"/>
    <x v="1109"/>
    <x v="50"/>
    <d v="2025-02-21T00:00:00"/>
    <x v="2"/>
    <x v="0"/>
    <x v="1"/>
    <s v="California"/>
    <s v="Sacramento County"/>
    <x v="3"/>
    <x v="7"/>
    <x v="2"/>
  </r>
  <r>
    <x v="1340"/>
    <x v="6"/>
    <x v="4"/>
    <n v="40.700000000000003"/>
    <x v="1110"/>
    <x v="50"/>
    <d v="2025-02-22T00:00:00"/>
    <x v="1"/>
    <x v="1"/>
    <x v="2"/>
    <s v="California"/>
    <s v="Sacramento County"/>
    <x v="1"/>
    <x v="7"/>
    <x v="1"/>
  </r>
  <r>
    <x v="1341"/>
    <x v="6"/>
    <x v="0"/>
    <n v="49.6"/>
    <x v="1111"/>
    <x v="50"/>
    <d v="2025-02-23T00:00:00"/>
    <x v="1"/>
    <x v="2"/>
    <x v="0"/>
    <s v="California"/>
    <s v="San Bernardino County"/>
    <x v="2"/>
    <x v="7"/>
    <x v="1"/>
  </r>
  <r>
    <x v="1342"/>
    <x v="7"/>
    <x v="41"/>
    <n v="66.599999999999994"/>
    <x v="1112"/>
    <x v="50"/>
    <d v="2025-02-23T00:00:00"/>
    <x v="1"/>
    <x v="2"/>
    <x v="0"/>
    <s v="California"/>
    <s v="San Diego County"/>
    <x v="2"/>
    <x v="7"/>
    <x v="1"/>
  </r>
  <r>
    <x v="1343"/>
    <x v="8"/>
    <x v="2"/>
    <n v="26.4"/>
    <x v="1113"/>
    <x v="50"/>
    <d v="2025-02-21T00:00:00"/>
    <x v="2"/>
    <x v="1"/>
    <x v="1"/>
    <s v="California"/>
    <s v="San Diego County"/>
    <x v="3"/>
    <x v="7"/>
    <x v="2"/>
  </r>
  <r>
    <x v="1344"/>
    <x v="0"/>
    <x v="1"/>
    <n v="17.2"/>
    <x v="1114"/>
    <x v="50"/>
    <d v="2025-02-23T00:00:00"/>
    <x v="1"/>
    <x v="2"/>
    <x v="1"/>
    <s v="California"/>
    <s v="San Diego County"/>
    <x v="2"/>
    <x v="7"/>
    <x v="1"/>
  </r>
  <r>
    <x v="1345"/>
    <x v="5"/>
    <x v="8"/>
    <n v="58.1"/>
    <x v="1115"/>
    <x v="50"/>
    <d v="2025-02-23T00:00:00"/>
    <x v="2"/>
    <x v="4"/>
    <x v="0"/>
    <s v="California"/>
    <s v="San Diego County"/>
    <x v="2"/>
    <x v="7"/>
    <x v="2"/>
  </r>
  <r>
    <x v="1346"/>
    <x v="15"/>
    <x v="12"/>
    <n v="31.5"/>
    <x v="624"/>
    <x v="50"/>
    <d v="2025-02-23T00:00:00"/>
    <x v="2"/>
    <x v="4"/>
    <x v="4"/>
    <s v="California"/>
    <s v="San Diego County"/>
    <x v="2"/>
    <x v="7"/>
    <x v="2"/>
  </r>
  <r>
    <x v="1347"/>
    <x v="0"/>
    <x v="0"/>
    <n v="27.1"/>
    <x v="1116"/>
    <x v="50"/>
    <d v="2025-02-22T00:00:00"/>
    <x v="2"/>
    <x v="0"/>
    <x v="1"/>
    <s v="California"/>
    <s v="San Francisco"/>
    <x v="1"/>
    <x v="7"/>
    <x v="2"/>
  </r>
  <r>
    <x v="1348"/>
    <x v="18"/>
    <x v="12"/>
    <n v="28.5"/>
    <x v="717"/>
    <x v="50"/>
    <d v="2025-02-22T00:00:00"/>
    <x v="1"/>
    <x v="1"/>
    <x v="2"/>
    <s v="California"/>
    <s v="San Mateo County"/>
    <x v="1"/>
    <x v="7"/>
    <x v="1"/>
  </r>
  <r>
    <x v="1349"/>
    <x v="10"/>
    <x v="0"/>
    <n v="40.5"/>
    <x v="1117"/>
    <x v="51"/>
    <d v="2025-02-23T00:00:00"/>
    <x v="3"/>
    <x v="2"/>
    <x v="0"/>
    <s v="California"/>
    <s v="San Mateo County"/>
    <x v="1"/>
    <x v="7"/>
    <x v="3"/>
  </r>
  <r>
    <x v="1350"/>
    <x v="2"/>
    <x v="2"/>
    <n v="77.900000000000006"/>
    <x v="1118"/>
    <x v="51"/>
    <d v="2025-02-25T00:00:00"/>
    <x v="2"/>
    <x v="1"/>
    <x v="2"/>
    <s v="California"/>
    <s v="Stanislaus County"/>
    <x v="5"/>
    <x v="7"/>
    <x v="2"/>
  </r>
  <r>
    <x v="1351"/>
    <x v="18"/>
    <x v="12"/>
    <n v="37.1"/>
    <x v="1119"/>
    <x v="51"/>
    <d v="2025-02-23T00:00:00"/>
    <x v="1"/>
    <x v="4"/>
    <x v="2"/>
    <s v="California"/>
    <s v="Stanislaus County"/>
    <x v="1"/>
    <x v="7"/>
    <x v="1"/>
  </r>
  <r>
    <x v="1352"/>
    <x v="16"/>
    <x v="2"/>
    <n v="51.6"/>
    <x v="1120"/>
    <x v="51"/>
    <d v="2025-03-01T00:00:00"/>
    <x v="2"/>
    <x v="0"/>
    <x v="4"/>
    <s v="California"/>
    <s v="Stanislaus County"/>
    <x v="9"/>
    <x v="7"/>
    <x v="2"/>
  </r>
  <r>
    <x v="1353"/>
    <x v="7"/>
    <x v="2"/>
    <n v="98"/>
    <x v="1121"/>
    <x v="51"/>
    <d v="2025-02-22T00:00:00"/>
    <x v="1"/>
    <x v="1"/>
    <x v="1"/>
    <s v="California"/>
    <s v="Stanislaus County"/>
    <x v="3"/>
    <x v="7"/>
    <x v="1"/>
  </r>
  <r>
    <x v="1354"/>
    <x v="6"/>
    <x v="3"/>
    <n v="41.4"/>
    <x v="1122"/>
    <x v="51"/>
    <d v="2025-02-22T00:00:00"/>
    <x v="1"/>
    <x v="1"/>
    <x v="0"/>
    <s v="California"/>
    <s v="Tulare County"/>
    <x v="3"/>
    <x v="7"/>
    <x v="1"/>
  </r>
  <r>
    <x v="1355"/>
    <x v="11"/>
    <x v="8"/>
    <n v="34"/>
    <x v="1123"/>
    <x v="51"/>
    <d v="2025-02-26T00:00:00"/>
    <x v="2"/>
    <x v="0"/>
    <x v="2"/>
    <s v="California"/>
    <s v="Tuolumne County"/>
    <x v="0"/>
    <x v="7"/>
    <x v="2"/>
  </r>
  <r>
    <x v="1356"/>
    <x v="6"/>
    <x v="0"/>
    <n v="66.3"/>
    <x v="1124"/>
    <x v="51"/>
    <d v="2025-02-22T00:00:00"/>
    <x v="2"/>
    <x v="1"/>
    <x v="0"/>
    <s v="California"/>
    <s v="Ventura County"/>
    <x v="3"/>
    <x v="7"/>
    <x v="2"/>
  </r>
  <r>
    <x v="1357"/>
    <x v="7"/>
    <x v="0"/>
    <n v="33.5"/>
    <x v="253"/>
    <x v="51"/>
    <d v="2025-02-25T00:00:00"/>
    <x v="1"/>
    <x v="2"/>
    <x v="0"/>
    <s v="California"/>
    <s v="Ventura County"/>
    <x v="5"/>
    <x v="7"/>
    <x v="1"/>
  </r>
  <r>
    <x v="1358"/>
    <x v="12"/>
    <x v="1"/>
    <n v="70.8"/>
    <x v="932"/>
    <x v="51"/>
    <d v="2025-02-22T00:00:00"/>
    <x v="0"/>
    <x v="0"/>
    <x v="0"/>
    <s v="California"/>
    <s v="Yolo County"/>
    <x v="3"/>
    <x v="7"/>
    <x v="0"/>
  </r>
  <r>
    <x v="1359"/>
    <x v="6"/>
    <x v="1"/>
    <n v="127.6"/>
    <x v="281"/>
    <x v="51"/>
    <d v="2025-02-22T00:00:00"/>
    <x v="1"/>
    <x v="0"/>
    <x v="0"/>
    <s v="California"/>
    <s v="Alameda County"/>
    <x v="3"/>
    <x v="7"/>
    <x v="1"/>
  </r>
  <r>
    <x v="1360"/>
    <x v="6"/>
    <x v="2"/>
    <n v="95.9"/>
    <x v="1125"/>
    <x v="51"/>
    <d v="2025-02-22T00:00:00"/>
    <x v="2"/>
    <x v="1"/>
    <x v="1"/>
    <s v="California"/>
    <s v="Alameda County"/>
    <x v="3"/>
    <x v="7"/>
    <x v="2"/>
  </r>
  <r>
    <x v="1361"/>
    <x v="2"/>
    <x v="1"/>
    <n v="78.099999999999994"/>
    <x v="1126"/>
    <x v="51"/>
    <d v="2025-02-22T00:00:00"/>
    <x v="1"/>
    <x v="0"/>
    <x v="0"/>
    <s v="California"/>
    <s v="Contra Costa County"/>
    <x v="3"/>
    <x v="7"/>
    <x v="1"/>
  </r>
  <r>
    <x v="1362"/>
    <x v="13"/>
    <x v="1"/>
    <n v="43.2"/>
    <x v="781"/>
    <x v="51"/>
    <d v="2025-02-22T00:00:00"/>
    <x v="0"/>
    <x v="1"/>
    <x v="1"/>
    <s v="California"/>
    <s v="Contra Costa County"/>
    <x v="3"/>
    <x v="7"/>
    <x v="0"/>
  </r>
  <r>
    <x v="1363"/>
    <x v="8"/>
    <x v="12"/>
    <n v="28.4"/>
    <x v="1127"/>
    <x v="51"/>
    <d v="2025-02-27T00:00:00"/>
    <x v="1"/>
    <x v="2"/>
    <x v="0"/>
    <s v="California"/>
    <s v="Los Angeles County"/>
    <x v="4"/>
    <x v="7"/>
    <x v="1"/>
  </r>
  <r>
    <x v="1364"/>
    <x v="2"/>
    <x v="1"/>
    <n v="81.7"/>
    <x v="1128"/>
    <x v="51"/>
    <d v="2025-02-21T00:00:00"/>
    <x v="1"/>
    <x v="0"/>
    <x v="0"/>
    <s v="California"/>
    <s v="Los Angeles County"/>
    <x v="7"/>
    <x v="7"/>
    <x v="1"/>
  </r>
  <r>
    <x v="1365"/>
    <x v="18"/>
    <x v="1"/>
    <n v="56.7"/>
    <x v="1129"/>
    <x v="51"/>
    <d v="2025-02-23T00:00:00"/>
    <x v="0"/>
    <x v="0"/>
    <x v="2"/>
    <s v="California"/>
    <s v="Los Angeles County"/>
    <x v="1"/>
    <x v="7"/>
    <x v="0"/>
  </r>
  <r>
    <x v="1366"/>
    <x v="3"/>
    <x v="12"/>
    <n v="66.5"/>
    <x v="751"/>
    <x v="51"/>
    <d v="2025-02-21T00:00:00"/>
    <x v="2"/>
    <x v="0"/>
    <x v="2"/>
    <s v="California"/>
    <s v="Los Angeles County"/>
    <x v="7"/>
    <x v="7"/>
    <x v="2"/>
  </r>
  <r>
    <x v="1367"/>
    <x v="1"/>
    <x v="1"/>
    <n v="105.3"/>
    <x v="1130"/>
    <x v="51"/>
    <d v="2025-02-25T00:00:00"/>
    <x v="1"/>
    <x v="0"/>
    <x v="1"/>
    <s v="California"/>
    <s v="Los Angeles County"/>
    <x v="5"/>
    <x v="7"/>
    <x v="1"/>
  </r>
  <r>
    <x v="1368"/>
    <x v="10"/>
    <x v="9"/>
    <n v="33.799999999999997"/>
    <x v="900"/>
    <x v="51"/>
    <d v="2025-02-26T00:00:00"/>
    <x v="1"/>
    <x v="0"/>
    <x v="0"/>
    <s v="California"/>
    <s v="Los Angeles County"/>
    <x v="0"/>
    <x v="7"/>
    <x v="1"/>
  </r>
  <r>
    <x v="1369"/>
    <x v="6"/>
    <x v="2"/>
    <n v="63.4"/>
    <x v="1131"/>
    <x v="51"/>
    <d v="2025-02-26T00:00:00"/>
    <x v="1"/>
    <x v="3"/>
    <x v="1"/>
    <s v="California"/>
    <s v="Merced County"/>
    <x v="0"/>
    <x v="7"/>
    <x v="1"/>
  </r>
  <r>
    <x v="1370"/>
    <x v="6"/>
    <x v="2"/>
    <n v="49"/>
    <x v="926"/>
    <x v="51"/>
    <d v="2025-02-25T00:00:00"/>
    <x v="1"/>
    <x v="3"/>
    <x v="0"/>
    <s v="California"/>
    <s v="Monterey County"/>
    <x v="5"/>
    <x v="7"/>
    <x v="1"/>
  </r>
  <r>
    <x v="1371"/>
    <x v="1"/>
    <x v="1"/>
    <n v="40"/>
    <x v="479"/>
    <x v="51"/>
    <d v="2025-02-22T00:00:00"/>
    <x v="2"/>
    <x v="4"/>
    <x v="1"/>
    <s v="California"/>
    <s v="Riverside County"/>
    <x v="3"/>
    <x v="7"/>
    <x v="2"/>
  </r>
  <r>
    <x v="1372"/>
    <x v="6"/>
    <x v="12"/>
    <n v="86.3"/>
    <x v="1132"/>
    <x v="51"/>
    <d v="2025-02-22T00:00:00"/>
    <x v="3"/>
    <x v="0"/>
    <x v="0"/>
    <s v="California"/>
    <s v="Sacramento County"/>
    <x v="3"/>
    <x v="7"/>
    <x v="3"/>
  </r>
  <r>
    <x v="1373"/>
    <x v="6"/>
    <x v="0"/>
    <n v="51.6"/>
    <x v="937"/>
    <x v="51"/>
    <d v="2025-02-23T00:00:00"/>
    <x v="2"/>
    <x v="2"/>
    <x v="2"/>
    <s v="California"/>
    <s v="Sacramento County"/>
    <x v="1"/>
    <x v="7"/>
    <x v="2"/>
  </r>
  <r>
    <x v="1374"/>
    <x v="10"/>
    <x v="2"/>
    <n v="26.7"/>
    <x v="1133"/>
    <x v="51"/>
    <d v="2025-02-26T00:00:00"/>
    <x v="2"/>
    <x v="2"/>
    <x v="1"/>
    <s v="California"/>
    <s v="Sacramento County"/>
    <x v="0"/>
    <x v="7"/>
    <x v="2"/>
  </r>
  <r>
    <x v="1375"/>
    <x v="18"/>
    <x v="1"/>
    <n v="68.099999999999994"/>
    <x v="1134"/>
    <x v="51"/>
    <d v="2025-02-22T00:00:00"/>
    <x v="1"/>
    <x v="0"/>
    <x v="1"/>
    <s v="California"/>
    <s v="Sacramento County"/>
    <x v="3"/>
    <x v="7"/>
    <x v="1"/>
  </r>
  <r>
    <x v="1376"/>
    <x v="1"/>
    <x v="0"/>
    <n v="81.7"/>
    <x v="1135"/>
    <x v="51"/>
    <d v="2025-02-22T00:00:00"/>
    <x v="1"/>
    <x v="0"/>
    <x v="0"/>
    <s v="California"/>
    <s v="San Bernardino County"/>
    <x v="3"/>
    <x v="7"/>
    <x v="1"/>
  </r>
  <r>
    <x v="1377"/>
    <x v="18"/>
    <x v="7"/>
    <n v="25.1"/>
    <x v="1136"/>
    <x v="51"/>
    <d v="2025-02-24T00:00:00"/>
    <x v="1"/>
    <x v="3"/>
    <x v="1"/>
    <s v="California"/>
    <s v="San Diego County"/>
    <x v="2"/>
    <x v="7"/>
    <x v="1"/>
  </r>
  <r>
    <x v="1378"/>
    <x v="8"/>
    <x v="0"/>
    <n v="20.2"/>
    <x v="1137"/>
    <x v="51"/>
    <d v="2025-02-25T00:00:00"/>
    <x v="2"/>
    <x v="0"/>
    <x v="0"/>
    <s v="California"/>
    <s v="San Diego County"/>
    <x v="5"/>
    <x v="7"/>
    <x v="2"/>
  </r>
  <r>
    <x v="1379"/>
    <x v="8"/>
    <x v="2"/>
    <n v="15.4"/>
    <x v="1063"/>
    <x v="51"/>
    <d v="2025-02-22T00:00:00"/>
    <x v="1"/>
    <x v="1"/>
    <x v="2"/>
    <s v="California"/>
    <s v="San Diego County"/>
    <x v="3"/>
    <x v="7"/>
    <x v="1"/>
  </r>
  <r>
    <x v="1380"/>
    <x v="10"/>
    <x v="0"/>
    <n v="59.2"/>
    <x v="1100"/>
    <x v="51"/>
    <d v="2025-02-22T00:00:00"/>
    <x v="1"/>
    <x v="2"/>
    <x v="2"/>
    <s v="California"/>
    <s v="San Francisco"/>
    <x v="3"/>
    <x v="7"/>
    <x v="1"/>
  </r>
  <r>
    <x v="1381"/>
    <x v="0"/>
    <x v="0"/>
    <n v="46.7"/>
    <x v="594"/>
    <x v="51"/>
    <d v="2025-02-26T00:00:00"/>
    <x v="1"/>
    <x v="0"/>
    <x v="0"/>
    <s v="California"/>
    <s v="San Francisco"/>
    <x v="0"/>
    <x v="7"/>
    <x v="1"/>
  </r>
  <r>
    <x v="1382"/>
    <x v="6"/>
    <x v="20"/>
    <n v="41.6"/>
    <x v="1138"/>
    <x v="51"/>
    <d v="2025-02-23T00:00:00"/>
    <x v="1"/>
    <x v="1"/>
    <x v="0"/>
    <s v="California"/>
    <s v="San Joaquin County"/>
    <x v="1"/>
    <x v="7"/>
    <x v="1"/>
  </r>
  <r>
    <x v="1383"/>
    <x v="8"/>
    <x v="1"/>
    <n v="19.2"/>
    <x v="1139"/>
    <x v="51"/>
    <d v="2025-02-24T00:00:00"/>
    <x v="1"/>
    <x v="4"/>
    <x v="2"/>
    <s v="California"/>
    <s v="San Mateo County"/>
    <x v="2"/>
    <x v="7"/>
    <x v="1"/>
  </r>
  <r>
    <x v="1384"/>
    <x v="17"/>
    <x v="3"/>
    <n v="41.8"/>
    <x v="1140"/>
    <x v="51"/>
    <d v="2025-02-23T00:00:00"/>
    <x v="2"/>
    <x v="2"/>
    <x v="0"/>
    <s v="California"/>
    <s v="Santa Clara County"/>
    <x v="1"/>
    <x v="7"/>
    <x v="2"/>
  </r>
  <r>
    <x v="1385"/>
    <x v="8"/>
    <x v="13"/>
    <n v="37.4"/>
    <x v="1141"/>
    <x v="51"/>
    <d v="2025-02-23T00:00:00"/>
    <x v="1"/>
    <x v="0"/>
    <x v="2"/>
    <s v="California"/>
    <s v="Santa Clara County"/>
    <x v="1"/>
    <x v="7"/>
    <x v="1"/>
  </r>
  <r>
    <x v="1386"/>
    <x v="10"/>
    <x v="2"/>
    <n v="60.2"/>
    <x v="1142"/>
    <x v="51"/>
    <d v="2025-02-24T00:00:00"/>
    <x v="1"/>
    <x v="4"/>
    <x v="1"/>
    <s v="California"/>
    <s v="Solano County"/>
    <x v="2"/>
    <x v="7"/>
    <x v="1"/>
  </r>
  <r>
    <x v="1387"/>
    <x v="9"/>
    <x v="1"/>
    <n v="91.5"/>
    <x v="1143"/>
    <x v="52"/>
    <d v="2025-02-23T00:00:00"/>
    <x v="1"/>
    <x v="0"/>
    <x v="0"/>
    <s v="California"/>
    <s v="Ventura County"/>
    <x v="3"/>
    <x v="7"/>
    <x v="1"/>
  </r>
  <r>
    <x v="1388"/>
    <x v="3"/>
    <x v="9"/>
    <n v="55.7"/>
    <x v="1144"/>
    <x v="52"/>
    <d v="2025-02-24T00:00:00"/>
    <x v="0"/>
    <x v="1"/>
    <x v="2"/>
    <s v="California"/>
    <s v="Alameda County"/>
    <x v="1"/>
    <x v="7"/>
    <x v="0"/>
  </r>
  <r>
    <x v="1389"/>
    <x v="7"/>
    <x v="1"/>
    <n v="76.7"/>
    <x v="1145"/>
    <x v="52"/>
    <d v="2025-02-24T00:00:00"/>
    <x v="1"/>
    <x v="0"/>
    <x v="1"/>
    <s v="California"/>
    <s v="Alameda County"/>
    <x v="1"/>
    <x v="7"/>
    <x v="1"/>
  </r>
  <r>
    <x v="1390"/>
    <x v="8"/>
    <x v="38"/>
    <n v="28.2"/>
    <x v="1146"/>
    <x v="52"/>
    <d v="2025-02-27T00:00:00"/>
    <x v="1"/>
    <x v="2"/>
    <x v="0"/>
    <s v="California"/>
    <s v="Contra Costa County"/>
    <x v="0"/>
    <x v="7"/>
    <x v="1"/>
  </r>
  <r>
    <x v="1391"/>
    <x v="7"/>
    <x v="9"/>
    <n v="93.2"/>
    <x v="1147"/>
    <x v="52"/>
    <d v="2025-02-24T00:00:00"/>
    <x v="2"/>
    <x v="4"/>
    <x v="2"/>
    <s v="California"/>
    <s v="Contra Costa County"/>
    <x v="1"/>
    <x v="7"/>
    <x v="2"/>
  </r>
  <r>
    <x v="1392"/>
    <x v="17"/>
    <x v="0"/>
    <n v="33.299999999999997"/>
    <x v="698"/>
    <x v="52"/>
    <d v="2025-02-23T00:00:00"/>
    <x v="1"/>
    <x v="4"/>
    <x v="0"/>
    <s v="California"/>
    <s v="Fresno County"/>
    <x v="3"/>
    <x v="7"/>
    <x v="1"/>
  </r>
  <r>
    <x v="1393"/>
    <x v="10"/>
    <x v="1"/>
    <n v="39.1"/>
    <x v="1148"/>
    <x v="52"/>
    <d v="2025-02-25T00:00:00"/>
    <x v="1"/>
    <x v="0"/>
    <x v="0"/>
    <s v="California"/>
    <s v="Humboldt County"/>
    <x v="2"/>
    <x v="7"/>
    <x v="1"/>
  </r>
  <r>
    <x v="1394"/>
    <x v="7"/>
    <x v="4"/>
    <n v="45.3"/>
    <x v="1149"/>
    <x v="52"/>
    <d v="2025-02-23T00:00:00"/>
    <x v="1"/>
    <x v="2"/>
    <x v="0"/>
    <s v="California"/>
    <s v="Imperial County"/>
    <x v="3"/>
    <x v="7"/>
    <x v="1"/>
  </r>
  <r>
    <x v="1395"/>
    <x v="9"/>
    <x v="3"/>
    <n v="33.9"/>
    <x v="1150"/>
    <x v="52"/>
    <d v="2025-02-23T00:00:00"/>
    <x v="1"/>
    <x v="4"/>
    <x v="0"/>
    <s v="California"/>
    <s v="Imperial County"/>
    <x v="3"/>
    <x v="7"/>
    <x v="1"/>
  </r>
  <r>
    <x v="1396"/>
    <x v="8"/>
    <x v="2"/>
    <n v="19"/>
    <x v="933"/>
    <x v="52"/>
    <d v="2025-02-23T00:00:00"/>
    <x v="1"/>
    <x v="0"/>
    <x v="2"/>
    <s v="California"/>
    <s v="Inyo County"/>
    <x v="3"/>
    <x v="7"/>
    <x v="1"/>
  </r>
  <r>
    <x v="1397"/>
    <x v="4"/>
    <x v="0"/>
    <n v="41.9"/>
    <x v="1151"/>
    <x v="52"/>
    <d v="2025-02-25T00:00:00"/>
    <x v="2"/>
    <x v="2"/>
    <x v="0"/>
    <s v="California"/>
    <s v="Kern County"/>
    <x v="2"/>
    <x v="7"/>
    <x v="2"/>
  </r>
  <r>
    <x v="1398"/>
    <x v="1"/>
    <x v="12"/>
    <n v="37.5"/>
    <x v="638"/>
    <x v="52"/>
    <d v="2025-02-22T00:00:00"/>
    <x v="2"/>
    <x v="0"/>
    <x v="0"/>
    <s v="California"/>
    <s v="Los Angeles County"/>
    <x v="7"/>
    <x v="7"/>
    <x v="2"/>
  </r>
  <r>
    <x v="1399"/>
    <x v="0"/>
    <x v="1"/>
    <n v="40.799999999999997"/>
    <x v="330"/>
    <x v="52"/>
    <d v="2025-02-25T00:00:00"/>
    <x v="1"/>
    <x v="0"/>
    <x v="0"/>
    <s v="California"/>
    <s v="Los Angeles County"/>
    <x v="2"/>
    <x v="7"/>
    <x v="1"/>
  </r>
  <r>
    <x v="1400"/>
    <x v="0"/>
    <x v="12"/>
    <n v="23.1"/>
    <x v="1152"/>
    <x v="52"/>
    <d v="2025-02-23T00:00:00"/>
    <x v="2"/>
    <x v="4"/>
    <x v="0"/>
    <s v="California"/>
    <s v="Los Angeles County"/>
    <x v="3"/>
    <x v="7"/>
    <x v="2"/>
  </r>
  <r>
    <x v="1401"/>
    <x v="8"/>
    <x v="9"/>
    <n v="39.299999999999997"/>
    <x v="756"/>
    <x v="52"/>
    <d v="2025-02-23T00:00:00"/>
    <x v="2"/>
    <x v="0"/>
    <x v="0"/>
    <s v="California"/>
    <s v="Los Angeles County"/>
    <x v="3"/>
    <x v="7"/>
    <x v="2"/>
  </r>
  <r>
    <x v="1402"/>
    <x v="2"/>
    <x v="12"/>
    <n v="85.2"/>
    <x v="1153"/>
    <x v="52"/>
    <d v="2025-02-27T00:00:00"/>
    <x v="1"/>
    <x v="2"/>
    <x v="0"/>
    <s v="California"/>
    <s v="Los Angeles County"/>
    <x v="0"/>
    <x v="7"/>
    <x v="1"/>
  </r>
  <r>
    <x v="1403"/>
    <x v="8"/>
    <x v="13"/>
    <n v="16"/>
    <x v="854"/>
    <x v="52"/>
    <d v="2025-02-25T00:00:00"/>
    <x v="1"/>
    <x v="1"/>
    <x v="0"/>
    <s v="California"/>
    <s v="Los Angeles County"/>
    <x v="2"/>
    <x v="7"/>
    <x v="1"/>
  </r>
  <r>
    <x v="1404"/>
    <x v="1"/>
    <x v="1"/>
    <n v="33.799999999999997"/>
    <x v="821"/>
    <x v="52"/>
    <d v="2025-02-26T00:00:00"/>
    <x v="2"/>
    <x v="1"/>
    <x v="0"/>
    <s v="California"/>
    <s v="Los Angeles County"/>
    <x v="5"/>
    <x v="7"/>
    <x v="2"/>
  </r>
  <r>
    <x v="1405"/>
    <x v="3"/>
    <x v="0"/>
    <n v="70"/>
    <x v="1154"/>
    <x v="52"/>
    <d v="2025-02-23T00:00:00"/>
    <x v="2"/>
    <x v="0"/>
    <x v="0"/>
    <s v="California"/>
    <s v="Los Angeles County"/>
    <x v="3"/>
    <x v="7"/>
    <x v="2"/>
  </r>
  <r>
    <x v="1406"/>
    <x v="9"/>
    <x v="0"/>
    <n v="88"/>
    <x v="1155"/>
    <x v="52"/>
    <d v="2025-02-27T00:00:00"/>
    <x v="2"/>
    <x v="3"/>
    <x v="0"/>
    <s v="California"/>
    <s v="Los Angeles County"/>
    <x v="0"/>
    <x v="7"/>
    <x v="2"/>
  </r>
  <r>
    <x v="1407"/>
    <x v="2"/>
    <x v="2"/>
    <n v="74.099999999999994"/>
    <x v="1156"/>
    <x v="52"/>
    <d v="2025-02-22T00:00:00"/>
    <x v="1"/>
    <x v="4"/>
    <x v="1"/>
    <s v="California"/>
    <s v="Los Angeles County"/>
    <x v="7"/>
    <x v="7"/>
    <x v="1"/>
  </r>
  <r>
    <x v="1408"/>
    <x v="2"/>
    <x v="0"/>
    <n v="161.9"/>
    <x v="1157"/>
    <x v="52"/>
    <d v="2025-02-24T00:00:00"/>
    <x v="1"/>
    <x v="2"/>
    <x v="0"/>
    <s v="California"/>
    <s v="Los Angeles County"/>
    <x v="1"/>
    <x v="7"/>
    <x v="1"/>
  </r>
  <r>
    <x v="1409"/>
    <x v="4"/>
    <x v="1"/>
    <n v="44"/>
    <x v="1155"/>
    <x v="52"/>
    <d v="2025-02-23T00:00:00"/>
    <x v="3"/>
    <x v="4"/>
    <x v="1"/>
    <s v="California"/>
    <s v="Los Angeles County"/>
    <x v="3"/>
    <x v="7"/>
    <x v="3"/>
  </r>
  <r>
    <x v="1410"/>
    <x v="11"/>
    <x v="0"/>
    <n v="32.1"/>
    <x v="1158"/>
    <x v="52"/>
    <d v="2025-02-22T00:00:00"/>
    <x v="2"/>
    <x v="3"/>
    <x v="3"/>
    <s v="California"/>
    <s v="Los Angeles County"/>
    <x v="7"/>
    <x v="7"/>
    <x v="2"/>
  </r>
  <r>
    <x v="1411"/>
    <x v="2"/>
    <x v="12"/>
    <n v="104.8"/>
    <x v="1159"/>
    <x v="53"/>
    <d v="2025-02-25T00:00:00"/>
    <x v="3"/>
    <x v="0"/>
    <x v="0"/>
    <s v="California"/>
    <s v="Los Angeles County"/>
    <x v="1"/>
    <x v="8"/>
    <x v="3"/>
  </r>
  <r>
    <x v="1412"/>
    <x v="9"/>
    <x v="13"/>
    <n v="67.400000000000006"/>
    <x v="1160"/>
    <x v="53"/>
    <d v="2025-02-24T00:00:00"/>
    <x v="2"/>
    <x v="3"/>
    <x v="0"/>
    <s v="California"/>
    <s v="Los Angeles County"/>
    <x v="3"/>
    <x v="8"/>
    <x v="2"/>
  </r>
  <r>
    <x v="1413"/>
    <x v="6"/>
    <x v="1"/>
    <n v="115.2"/>
    <x v="1161"/>
    <x v="53"/>
    <d v="2025-02-24T00:00:00"/>
    <x v="2"/>
    <x v="1"/>
    <x v="0"/>
    <s v="California"/>
    <s v="Nevada County"/>
    <x v="3"/>
    <x v="8"/>
    <x v="2"/>
  </r>
  <r>
    <x v="1414"/>
    <x v="8"/>
    <x v="19"/>
    <n v="15.5"/>
    <x v="148"/>
    <x v="53"/>
    <d v="2025-02-25T00:00:00"/>
    <x v="2"/>
    <x v="0"/>
    <x v="1"/>
    <s v="California"/>
    <s v="Riverside County"/>
    <x v="1"/>
    <x v="8"/>
    <x v="2"/>
  </r>
  <r>
    <x v="1415"/>
    <x v="6"/>
    <x v="5"/>
    <n v="66.400000000000006"/>
    <x v="1162"/>
    <x v="53"/>
    <d v="2025-02-25T00:00:00"/>
    <x v="2"/>
    <x v="0"/>
    <x v="0"/>
    <s v="California"/>
    <s v="Sacramento County"/>
    <x v="1"/>
    <x v="8"/>
    <x v="2"/>
  </r>
  <r>
    <x v="1416"/>
    <x v="9"/>
    <x v="4"/>
    <n v="68.099999999999994"/>
    <x v="1163"/>
    <x v="53"/>
    <d v="2025-02-24T00:00:00"/>
    <x v="2"/>
    <x v="2"/>
    <x v="0"/>
    <s v="California"/>
    <s v="San Diego County"/>
    <x v="3"/>
    <x v="8"/>
    <x v="2"/>
  </r>
  <r>
    <x v="1417"/>
    <x v="8"/>
    <x v="9"/>
    <n v="32.5"/>
    <x v="1164"/>
    <x v="53"/>
    <d v="2025-02-27T00:00:00"/>
    <x v="1"/>
    <x v="2"/>
    <x v="1"/>
    <s v="California"/>
    <s v="San Diego County"/>
    <x v="5"/>
    <x v="8"/>
    <x v="1"/>
  </r>
  <r>
    <x v="1418"/>
    <x v="15"/>
    <x v="2"/>
    <n v="61.2"/>
    <x v="1165"/>
    <x v="53"/>
    <d v="2025-02-25T00:00:00"/>
    <x v="2"/>
    <x v="1"/>
    <x v="1"/>
    <s v="California"/>
    <s v="San Diego County"/>
    <x v="1"/>
    <x v="8"/>
    <x v="2"/>
  </r>
  <r>
    <x v="1419"/>
    <x v="9"/>
    <x v="1"/>
    <n v="54.2"/>
    <x v="1061"/>
    <x v="53"/>
    <d v="2025-02-24T00:00:00"/>
    <x v="2"/>
    <x v="1"/>
    <x v="0"/>
    <s v="California"/>
    <s v="San Diego County"/>
    <x v="3"/>
    <x v="8"/>
    <x v="2"/>
  </r>
  <r>
    <x v="1420"/>
    <x v="11"/>
    <x v="8"/>
    <n v="28.7"/>
    <x v="1166"/>
    <x v="53"/>
    <d v="2025-02-25T00:00:00"/>
    <x v="1"/>
    <x v="1"/>
    <x v="0"/>
    <s v="California"/>
    <s v="San Mateo County"/>
    <x v="1"/>
    <x v="8"/>
    <x v="1"/>
  </r>
  <r>
    <x v="1421"/>
    <x v="12"/>
    <x v="13"/>
    <n v="38.200000000000003"/>
    <x v="1167"/>
    <x v="53"/>
    <d v="2025-02-27T00:00:00"/>
    <x v="2"/>
    <x v="0"/>
    <x v="1"/>
    <s v="California"/>
    <s v="San Mateo County"/>
    <x v="5"/>
    <x v="8"/>
    <x v="2"/>
  </r>
  <r>
    <x v="1422"/>
    <x v="8"/>
    <x v="4"/>
    <n v="17.600000000000001"/>
    <x v="1168"/>
    <x v="53"/>
    <d v="2025-02-24T00:00:00"/>
    <x v="2"/>
    <x v="2"/>
    <x v="1"/>
    <s v="California"/>
    <s v="San Mateo County"/>
    <x v="3"/>
    <x v="8"/>
    <x v="2"/>
  </r>
  <r>
    <x v="1423"/>
    <x v="10"/>
    <x v="2"/>
    <n v="74.599999999999994"/>
    <x v="1169"/>
    <x v="53"/>
    <d v="2025-02-23T00:00:00"/>
    <x v="2"/>
    <x v="2"/>
    <x v="0"/>
    <s v="California"/>
    <s v="Santa Clara County"/>
    <x v="7"/>
    <x v="8"/>
    <x v="2"/>
  </r>
  <r>
    <x v="1424"/>
    <x v="16"/>
    <x v="20"/>
    <n v="72.599999999999994"/>
    <x v="1170"/>
    <x v="53"/>
    <d v="2025-02-23T00:00:00"/>
    <x v="0"/>
    <x v="1"/>
    <x v="1"/>
    <s v="California"/>
    <s v="Santa Clara County"/>
    <x v="7"/>
    <x v="8"/>
    <x v="0"/>
  </r>
  <r>
    <x v="1425"/>
    <x v="7"/>
    <x v="0"/>
    <n v="62.3"/>
    <x v="1030"/>
    <x v="53"/>
    <d v="2025-02-24T00:00:00"/>
    <x v="2"/>
    <x v="1"/>
    <x v="0"/>
    <s v="California"/>
    <s v="Santa Clara County"/>
    <x v="3"/>
    <x v="8"/>
    <x v="2"/>
  </r>
  <r>
    <x v="1426"/>
    <x v="3"/>
    <x v="2"/>
    <n v="33.799999999999997"/>
    <x v="1171"/>
    <x v="53"/>
    <d v="2025-02-25T00:00:00"/>
    <x v="1"/>
    <x v="0"/>
    <x v="2"/>
    <s v="California"/>
    <s v="Tulare County"/>
    <x v="1"/>
    <x v="8"/>
    <x v="1"/>
  </r>
  <r>
    <x v="1427"/>
    <x v="9"/>
    <x v="0"/>
    <n v="85.7"/>
    <x v="1172"/>
    <x v="53"/>
    <d v="2025-02-26T00:00:00"/>
    <x v="1"/>
    <x v="3"/>
    <x v="1"/>
    <s v="California"/>
    <s v="Alameda County"/>
    <x v="2"/>
    <x v="8"/>
    <x v="1"/>
  </r>
  <r>
    <x v="1428"/>
    <x v="6"/>
    <x v="1"/>
    <n v="92.1"/>
    <x v="1173"/>
    <x v="53"/>
    <d v="2025-02-25T00:00:00"/>
    <x v="1"/>
    <x v="1"/>
    <x v="0"/>
    <s v="California"/>
    <s v="Alameda County"/>
    <x v="1"/>
    <x v="8"/>
    <x v="1"/>
  </r>
  <r>
    <x v="1429"/>
    <x v="16"/>
    <x v="2"/>
    <n v="65.099999999999994"/>
    <x v="1174"/>
    <x v="53"/>
    <d v="2025-02-26T00:00:00"/>
    <x v="1"/>
    <x v="0"/>
    <x v="0"/>
    <s v="California"/>
    <s v="Contra Costa County"/>
    <x v="2"/>
    <x v="8"/>
    <x v="1"/>
  </r>
  <r>
    <x v="1430"/>
    <x v="9"/>
    <x v="3"/>
    <n v="20.3"/>
    <x v="1175"/>
    <x v="53"/>
    <d v="2025-02-24T00:00:00"/>
    <x v="2"/>
    <x v="2"/>
    <x v="2"/>
    <s v="California"/>
    <s v="Fresno County"/>
    <x v="3"/>
    <x v="8"/>
    <x v="2"/>
  </r>
  <r>
    <x v="1431"/>
    <x v="19"/>
    <x v="1"/>
    <n v="29.8"/>
    <x v="1176"/>
    <x v="53"/>
    <d v="2025-02-25T00:00:00"/>
    <x v="2"/>
    <x v="1"/>
    <x v="2"/>
    <s v="California"/>
    <s v="Kings County"/>
    <x v="1"/>
    <x v="8"/>
    <x v="2"/>
  </r>
  <r>
    <x v="1432"/>
    <x v="0"/>
    <x v="1"/>
    <n v="24.2"/>
    <x v="655"/>
    <x v="53"/>
    <d v="2025-02-25T00:00:00"/>
    <x v="2"/>
    <x v="3"/>
    <x v="2"/>
    <s v="California"/>
    <s v="Los Angeles County"/>
    <x v="1"/>
    <x v="8"/>
    <x v="2"/>
  </r>
  <r>
    <x v="1433"/>
    <x v="3"/>
    <x v="0"/>
    <n v="57.3"/>
    <x v="1177"/>
    <x v="53"/>
    <d v="2025-02-25T00:00:00"/>
    <x v="1"/>
    <x v="0"/>
    <x v="0"/>
    <s v="California"/>
    <s v="Los Angeles County"/>
    <x v="1"/>
    <x v="8"/>
    <x v="1"/>
  </r>
  <r>
    <x v="1434"/>
    <x v="2"/>
    <x v="0"/>
    <n v="108.9"/>
    <x v="1178"/>
    <x v="53"/>
    <d v="2025-02-25T00:00:00"/>
    <x v="2"/>
    <x v="1"/>
    <x v="0"/>
    <s v="California"/>
    <s v="Los Angeles County"/>
    <x v="1"/>
    <x v="8"/>
    <x v="2"/>
  </r>
  <r>
    <x v="1435"/>
    <x v="7"/>
    <x v="9"/>
    <n v="50.7"/>
    <x v="103"/>
    <x v="53"/>
    <d v="2025-02-24T00:00:00"/>
    <x v="2"/>
    <x v="0"/>
    <x v="0"/>
    <s v="California"/>
    <s v="Los Angeles County"/>
    <x v="3"/>
    <x v="8"/>
    <x v="2"/>
  </r>
  <r>
    <x v="1436"/>
    <x v="7"/>
    <x v="11"/>
    <n v="66.099999999999994"/>
    <x v="1179"/>
    <x v="53"/>
    <d v="2025-03-09T00:00:00"/>
    <x v="2"/>
    <x v="1"/>
    <x v="0"/>
    <s v="California"/>
    <s v="Los Angeles County"/>
    <x v="12"/>
    <x v="8"/>
    <x v="2"/>
  </r>
  <r>
    <x v="1437"/>
    <x v="12"/>
    <x v="9"/>
    <n v="36.700000000000003"/>
    <x v="1180"/>
    <x v="53"/>
    <d v="2025-02-27T00:00:00"/>
    <x v="2"/>
    <x v="4"/>
    <x v="0"/>
    <s v="California"/>
    <s v="Los Angeles County"/>
    <x v="5"/>
    <x v="8"/>
    <x v="2"/>
  </r>
  <r>
    <x v="1438"/>
    <x v="8"/>
    <x v="14"/>
    <n v="19.3"/>
    <x v="1181"/>
    <x v="53"/>
    <d v="2025-02-25T00:00:00"/>
    <x v="1"/>
    <x v="0"/>
    <x v="0"/>
    <s v="California"/>
    <s v="Marin County"/>
    <x v="1"/>
    <x v="8"/>
    <x v="1"/>
  </r>
  <r>
    <x v="1439"/>
    <x v="8"/>
    <x v="12"/>
    <n v="20.7"/>
    <x v="1182"/>
    <x v="53"/>
    <d v="2025-02-24T00:00:00"/>
    <x v="1"/>
    <x v="1"/>
    <x v="2"/>
    <s v="California"/>
    <s v="Sacramento County"/>
    <x v="3"/>
    <x v="8"/>
    <x v="1"/>
  </r>
  <r>
    <x v="1440"/>
    <x v="5"/>
    <x v="2"/>
    <n v="54.7"/>
    <x v="1183"/>
    <x v="53"/>
    <d v="2025-02-23T00:00:00"/>
    <x v="3"/>
    <x v="1"/>
    <x v="4"/>
    <s v="California"/>
    <s v="Sacramento County"/>
    <x v="7"/>
    <x v="8"/>
    <x v="3"/>
  </r>
  <r>
    <x v="1441"/>
    <x v="4"/>
    <x v="1"/>
    <n v="19.8"/>
    <x v="341"/>
    <x v="53"/>
    <d v="2025-02-27T00:00:00"/>
    <x v="2"/>
    <x v="4"/>
    <x v="1"/>
    <s v="California"/>
    <s v="San Diego County"/>
    <x v="5"/>
    <x v="8"/>
    <x v="2"/>
  </r>
  <r>
    <x v="1442"/>
    <x v="7"/>
    <x v="0"/>
    <n v="41.1"/>
    <x v="1184"/>
    <x v="53"/>
    <d v="2025-02-25T00:00:00"/>
    <x v="2"/>
    <x v="0"/>
    <x v="2"/>
    <s v="California"/>
    <s v="San Diego County"/>
    <x v="1"/>
    <x v="8"/>
    <x v="2"/>
  </r>
  <r>
    <x v="1443"/>
    <x v="11"/>
    <x v="8"/>
    <n v="43.5"/>
    <x v="1185"/>
    <x v="53"/>
    <d v="2025-02-27T00:00:00"/>
    <x v="2"/>
    <x v="3"/>
    <x v="0"/>
    <s v="California"/>
    <s v="San Diego County"/>
    <x v="5"/>
    <x v="8"/>
    <x v="2"/>
  </r>
  <r>
    <x v="1444"/>
    <x v="8"/>
    <x v="21"/>
    <n v="19"/>
    <x v="751"/>
    <x v="53"/>
    <d v="2025-02-24T00:00:00"/>
    <x v="1"/>
    <x v="0"/>
    <x v="0"/>
    <s v="California"/>
    <s v="San Joaquin County"/>
    <x v="3"/>
    <x v="8"/>
    <x v="1"/>
  </r>
  <r>
    <x v="1445"/>
    <x v="2"/>
    <x v="12"/>
    <n v="51.4"/>
    <x v="1186"/>
    <x v="53"/>
    <d v="2025-02-23T00:00:00"/>
    <x v="2"/>
    <x v="0"/>
    <x v="0"/>
    <s v="California"/>
    <s v="San Joaquin County"/>
    <x v="7"/>
    <x v="8"/>
    <x v="2"/>
  </r>
  <r>
    <x v="1446"/>
    <x v="10"/>
    <x v="1"/>
    <n v="39.799999999999997"/>
    <x v="1187"/>
    <x v="53"/>
    <d v="2025-02-26T00:00:00"/>
    <x v="1"/>
    <x v="3"/>
    <x v="1"/>
    <s v="California"/>
    <s v="Ventura County"/>
    <x v="2"/>
    <x v="8"/>
    <x v="1"/>
  </r>
  <r>
    <x v="1447"/>
    <x v="6"/>
    <x v="9"/>
    <n v="61"/>
    <x v="1188"/>
    <x v="53"/>
    <d v="2025-02-24T00:00:00"/>
    <x v="0"/>
    <x v="0"/>
    <x v="2"/>
    <s v="California"/>
    <s v="Alameda County"/>
    <x v="3"/>
    <x v="8"/>
    <x v="0"/>
  </r>
  <r>
    <x v="1448"/>
    <x v="8"/>
    <x v="5"/>
    <n v="15.1"/>
    <x v="1189"/>
    <x v="54"/>
    <d v="2025-03-01T00:00:00"/>
    <x v="1"/>
    <x v="3"/>
    <x v="2"/>
    <s v="California"/>
    <s v="Fresno County"/>
    <x v="0"/>
    <x v="8"/>
    <x v="1"/>
  </r>
  <r>
    <x v="1449"/>
    <x v="1"/>
    <x v="3"/>
    <n v="71.3"/>
    <x v="1190"/>
    <x v="54"/>
    <d v="2025-02-25T00:00:00"/>
    <x v="1"/>
    <x v="4"/>
    <x v="0"/>
    <s v="California"/>
    <s v="Los Angeles County"/>
    <x v="3"/>
    <x v="8"/>
    <x v="1"/>
  </r>
  <r>
    <x v="1450"/>
    <x v="10"/>
    <x v="0"/>
    <n v="25.8"/>
    <x v="1191"/>
    <x v="54"/>
    <d v="2025-02-26T00:00:00"/>
    <x v="2"/>
    <x v="0"/>
    <x v="2"/>
    <s v="California"/>
    <s v="Los Angeles County"/>
    <x v="1"/>
    <x v="8"/>
    <x v="2"/>
  </r>
  <r>
    <x v="1451"/>
    <x v="8"/>
    <x v="9"/>
    <n v="39.6"/>
    <x v="1192"/>
    <x v="54"/>
    <d v="2025-02-26T00:00:00"/>
    <x v="1"/>
    <x v="1"/>
    <x v="2"/>
    <s v="California"/>
    <s v="Los Angeles County"/>
    <x v="1"/>
    <x v="8"/>
    <x v="1"/>
  </r>
  <r>
    <x v="1452"/>
    <x v="5"/>
    <x v="1"/>
    <n v="64"/>
    <x v="1193"/>
    <x v="54"/>
    <d v="2025-02-24T00:00:00"/>
    <x v="1"/>
    <x v="1"/>
    <x v="1"/>
    <s v="California"/>
    <s v="Los Angeles County"/>
    <x v="7"/>
    <x v="8"/>
    <x v="1"/>
  </r>
  <r>
    <x v="1453"/>
    <x v="8"/>
    <x v="1"/>
    <n v="30.6"/>
    <x v="1"/>
    <x v="54"/>
    <d v="2025-02-27T00:00:00"/>
    <x v="1"/>
    <x v="0"/>
    <x v="2"/>
    <s v="California"/>
    <s v="Los Angeles County"/>
    <x v="2"/>
    <x v="8"/>
    <x v="1"/>
  </r>
  <r>
    <x v="1454"/>
    <x v="8"/>
    <x v="1"/>
    <n v="21.3"/>
    <x v="440"/>
    <x v="54"/>
    <d v="2025-02-25T00:00:00"/>
    <x v="1"/>
    <x v="0"/>
    <x v="1"/>
    <s v="California"/>
    <s v="Los Angeles County"/>
    <x v="3"/>
    <x v="8"/>
    <x v="1"/>
  </r>
  <r>
    <x v="1455"/>
    <x v="7"/>
    <x v="0"/>
    <n v="40.799999999999997"/>
    <x v="803"/>
    <x v="54"/>
    <d v="2025-02-26T00:00:00"/>
    <x v="2"/>
    <x v="4"/>
    <x v="0"/>
    <s v="California"/>
    <s v="Los Angeles County"/>
    <x v="1"/>
    <x v="8"/>
    <x v="2"/>
  </r>
  <r>
    <x v="1456"/>
    <x v="9"/>
    <x v="12"/>
    <n v="27.7"/>
    <x v="806"/>
    <x v="54"/>
    <d v="2025-02-25T00:00:00"/>
    <x v="2"/>
    <x v="0"/>
    <x v="1"/>
    <s v="California"/>
    <s v="Los Angeles County"/>
    <x v="3"/>
    <x v="8"/>
    <x v="2"/>
  </r>
  <r>
    <x v="1457"/>
    <x v="6"/>
    <x v="1"/>
    <n v="64.599999999999994"/>
    <x v="769"/>
    <x v="54"/>
    <d v="2025-02-25T00:00:00"/>
    <x v="1"/>
    <x v="0"/>
    <x v="1"/>
    <s v="California"/>
    <s v="Los Angeles County"/>
    <x v="3"/>
    <x v="8"/>
    <x v="1"/>
  </r>
  <r>
    <x v="1458"/>
    <x v="6"/>
    <x v="27"/>
    <n v="91.1"/>
    <x v="1194"/>
    <x v="54"/>
    <d v="2025-02-25T00:00:00"/>
    <x v="2"/>
    <x v="1"/>
    <x v="2"/>
    <s v="California"/>
    <s v="Los Angeles County"/>
    <x v="3"/>
    <x v="8"/>
    <x v="2"/>
  </r>
  <r>
    <x v="1459"/>
    <x v="1"/>
    <x v="0"/>
    <n v="39.5"/>
    <x v="736"/>
    <x v="54"/>
    <d v="2025-03-04T00:00:00"/>
    <x v="2"/>
    <x v="0"/>
    <x v="0"/>
    <s v="California"/>
    <s v="Los Angeles County"/>
    <x v="9"/>
    <x v="8"/>
    <x v="2"/>
  </r>
  <r>
    <x v="1460"/>
    <x v="9"/>
    <x v="1"/>
    <n v="21.8"/>
    <x v="1195"/>
    <x v="54"/>
    <d v="2025-02-28T00:00:00"/>
    <x v="1"/>
    <x v="4"/>
    <x v="2"/>
    <s v="California"/>
    <s v="Los Angeles County"/>
    <x v="5"/>
    <x v="8"/>
    <x v="1"/>
  </r>
  <r>
    <x v="1461"/>
    <x v="8"/>
    <x v="1"/>
    <n v="51"/>
    <x v="1062"/>
    <x v="54"/>
    <d v="2025-02-27T00:00:00"/>
    <x v="1"/>
    <x v="3"/>
    <x v="2"/>
    <s v="California"/>
    <s v="Los Angeles County"/>
    <x v="2"/>
    <x v="8"/>
    <x v="1"/>
  </r>
  <r>
    <x v="1462"/>
    <x v="2"/>
    <x v="0"/>
    <n v="92.6"/>
    <x v="1196"/>
    <x v="54"/>
    <d v="2025-02-27T00:00:00"/>
    <x v="2"/>
    <x v="0"/>
    <x v="2"/>
    <s v="California"/>
    <s v="Plumas County"/>
    <x v="2"/>
    <x v="8"/>
    <x v="2"/>
  </r>
  <r>
    <x v="1463"/>
    <x v="9"/>
    <x v="1"/>
    <n v="31.1"/>
    <x v="1197"/>
    <x v="54"/>
    <d v="2025-03-01T00:00:00"/>
    <x v="0"/>
    <x v="1"/>
    <x v="3"/>
    <s v="California"/>
    <s v="Riverside County"/>
    <x v="0"/>
    <x v="8"/>
    <x v="0"/>
  </r>
  <r>
    <x v="1464"/>
    <x v="5"/>
    <x v="2"/>
    <n v="56.4"/>
    <x v="362"/>
    <x v="54"/>
    <d v="2025-02-25T00:00:00"/>
    <x v="0"/>
    <x v="1"/>
    <x v="0"/>
    <s v="California"/>
    <s v="Sacramento County"/>
    <x v="3"/>
    <x v="8"/>
    <x v="0"/>
  </r>
  <r>
    <x v="1465"/>
    <x v="9"/>
    <x v="0"/>
    <n v="41.9"/>
    <x v="1151"/>
    <x v="54"/>
    <d v="2025-02-24T00:00:00"/>
    <x v="1"/>
    <x v="1"/>
    <x v="0"/>
    <s v="California"/>
    <s v="Sacramento County"/>
    <x v="7"/>
    <x v="8"/>
    <x v="1"/>
  </r>
  <r>
    <x v="1466"/>
    <x v="10"/>
    <x v="3"/>
    <n v="45.9"/>
    <x v="1198"/>
    <x v="54"/>
    <d v="2025-02-25T00:00:00"/>
    <x v="1"/>
    <x v="3"/>
    <x v="2"/>
    <s v="California"/>
    <s v="San Diego County"/>
    <x v="3"/>
    <x v="8"/>
    <x v="1"/>
  </r>
  <r>
    <x v="1467"/>
    <x v="14"/>
    <x v="11"/>
    <n v="24.4"/>
    <x v="1199"/>
    <x v="54"/>
    <d v="2025-02-28T00:00:00"/>
    <x v="1"/>
    <x v="3"/>
    <x v="2"/>
    <s v="California"/>
    <s v="San Diego County"/>
    <x v="5"/>
    <x v="8"/>
    <x v="1"/>
  </r>
  <r>
    <x v="1468"/>
    <x v="8"/>
    <x v="0"/>
    <n v="18.2"/>
    <x v="1200"/>
    <x v="54"/>
    <d v="2025-02-25T00:00:00"/>
    <x v="2"/>
    <x v="2"/>
    <x v="2"/>
    <s v="California"/>
    <s v="San Diego County"/>
    <x v="3"/>
    <x v="8"/>
    <x v="2"/>
  </r>
  <r>
    <x v="1469"/>
    <x v="8"/>
    <x v="12"/>
    <n v="51.2"/>
    <x v="403"/>
    <x v="54"/>
    <d v="2025-02-25T00:00:00"/>
    <x v="2"/>
    <x v="0"/>
    <x v="0"/>
    <s v="California"/>
    <s v="San Diego County"/>
    <x v="3"/>
    <x v="8"/>
    <x v="2"/>
  </r>
  <r>
    <x v="1470"/>
    <x v="6"/>
    <x v="0"/>
    <n v="59.7"/>
    <x v="1201"/>
    <x v="54"/>
    <d v="2025-02-27T00:00:00"/>
    <x v="1"/>
    <x v="0"/>
    <x v="2"/>
    <s v="California"/>
    <s v="San Diego County"/>
    <x v="2"/>
    <x v="8"/>
    <x v="1"/>
  </r>
  <r>
    <x v="1471"/>
    <x v="4"/>
    <x v="1"/>
    <n v="33.6"/>
    <x v="863"/>
    <x v="54"/>
    <d v="2025-02-26T00:00:00"/>
    <x v="2"/>
    <x v="0"/>
    <x v="0"/>
    <s v="California"/>
    <s v="San Francisco"/>
    <x v="1"/>
    <x v="8"/>
    <x v="2"/>
  </r>
  <r>
    <x v="1472"/>
    <x v="12"/>
    <x v="0"/>
    <n v="90.4"/>
    <x v="786"/>
    <x v="54"/>
    <d v="2025-02-28T00:00:00"/>
    <x v="1"/>
    <x v="1"/>
    <x v="2"/>
    <s v="California"/>
    <s v="Santa Barbara County"/>
    <x v="5"/>
    <x v="8"/>
    <x v="1"/>
  </r>
  <r>
    <x v="1473"/>
    <x v="11"/>
    <x v="2"/>
    <n v="70.3"/>
    <x v="1202"/>
    <x v="54"/>
    <d v="2025-02-24T00:00:00"/>
    <x v="1"/>
    <x v="1"/>
    <x v="2"/>
    <s v="California"/>
    <s v="Santa Clara County"/>
    <x v="7"/>
    <x v="8"/>
    <x v="1"/>
  </r>
  <r>
    <x v="1474"/>
    <x v="4"/>
    <x v="1"/>
    <n v="20.5"/>
    <x v="783"/>
    <x v="54"/>
    <d v="2025-02-27T00:00:00"/>
    <x v="2"/>
    <x v="0"/>
    <x v="1"/>
    <s v="California"/>
    <s v="Santa Clara County"/>
    <x v="2"/>
    <x v="8"/>
    <x v="2"/>
  </r>
  <r>
    <x v="1475"/>
    <x v="5"/>
    <x v="5"/>
    <n v="37.6"/>
    <x v="1203"/>
    <x v="54"/>
    <d v="2025-02-25T00:00:00"/>
    <x v="1"/>
    <x v="0"/>
    <x v="0"/>
    <s v="California"/>
    <s v="Solano County"/>
    <x v="3"/>
    <x v="8"/>
    <x v="1"/>
  </r>
  <r>
    <x v="1476"/>
    <x v="5"/>
    <x v="12"/>
    <n v="61.5"/>
    <x v="1204"/>
    <x v="54"/>
    <d v="2025-03-03T00:00:00"/>
    <x v="2"/>
    <x v="1"/>
    <x v="4"/>
    <s v="California"/>
    <s v="Ventura County"/>
    <x v="6"/>
    <x v="8"/>
    <x v="2"/>
  </r>
  <r>
    <x v="1477"/>
    <x v="9"/>
    <x v="0"/>
    <n v="33.5"/>
    <x v="253"/>
    <x v="55"/>
    <d v="2025-03-01T00:00:00"/>
    <x v="1"/>
    <x v="4"/>
    <x v="1"/>
    <s v="California"/>
    <s v="Alameda County"/>
    <x v="5"/>
    <x v="8"/>
    <x v="1"/>
  </r>
  <r>
    <x v="1478"/>
    <x v="4"/>
    <x v="2"/>
    <n v="29.3"/>
    <x v="1205"/>
    <x v="55"/>
    <d v="2025-02-27T00:00:00"/>
    <x v="2"/>
    <x v="1"/>
    <x v="2"/>
    <s v="California"/>
    <s v="Contra Costa County"/>
    <x v="1"/>
    <x v="8"/>
    <x v="2"/>
  </r>
  <r>
    <x v="1479"/>
    <x v="2"/>
    <x v="1"/>
    <n v="125.9"/>
    <x v="1206"/>
    <x v="55"/>
    <d v="2025-03-02T00:00:00"/>
    <x v="2"/>
    <x v="4"/>
    <x v="1"/>
    <s v="California"/>
    <s v="Contra Costa County"/>
    <x v="0"/>
    <x v="8"/>
    <x v="2"/>
  </r>
  <r>
    <x v="1480"/>
    <x v="5"/>
    <x v="9"/>
    <n v="29.3"/>
    <x v="1207"/>
    <x v="55"/>
    <d v="2025-02-25T00:00:00"/>
    <x v="1"/>
    <x v="2"/>
    <x v="0"/>
    <s v="California"/>
    <s v="Humboldt County"/>
    <x v="7"/>
    <x v="8"/>
    <x v="1"/>
  </r>
  <r>
    <x v="1481"/>
    <x v="9"/>
    <x v="0"/>
    <n v="37.799999999999997"/>
    <x v="463"/>
    <x v="55"/>
    <d v="2025-02-28T00:00:00"/>
    <x v="2"/>
    <x v="0"/>
    <x v="2"/>
    <s v="California"/>
    <s v="Los Angeles County"/>
    <x v="2"/>
    <x v="8"/>
    <x v="2"/>
  </r>
  <r>
    <x v="1482"/>
    <x v="0"/>
    <x v="12"/>
    <n v="31.7"/>
    <x v="1208"/>
    <x v="55"/>
    <d v="2025-02-26T00:00:00"/>
    <x v="1"/>
    <x v="2"/>
    <x v="2"/>
    <s v="California"/>
    <s v="Los Angeles County"/>
    <x v="3"/>
    <x v="8"/>
    <x v="1"/>
  </r>
  <r>
    <x v="1483"/>
    <x v="8"/>
    <x v="9"/>
    <n v="26.3"/>
    <x v="1209"/>
    <x v="55"/>
    <d v="2025-02-26T00:00:00"/>
    <x v="2"/>
    <x v="3"/>
    <x v="2"/>
    <s v="California"/>
    <s v="Los Angeles County"/>
    <x v="3"/>
    <x v="8"/>
    <x v="2"/>
  </r>
  <r>
    <x v="1484"/>
    <x v="8"/>
    <x v="2"/>
    <n v="23.1"/>
    <x v="59"/>
    <x v="55"/>
    <d v="2025-02-26T00:00:00"/>
    <x v="3"/>
    <x v="2"/>
    <x v="1"/>
    <s v="California"/>
    <s v="Los Angeles County"/>
    <x v="3"/>
    <x v="8"/>
    <x v="3"/>
  </r>
  <r>
    <x v="1485"/>
    <x v="4"/>
    <x v="0"/>
    <n v="22.3"/>
    <x v="968"/>
    <x v="55"/>
    <d v="2025-02-27T00:00:00"/>
    <x v="2"/>
    <x v="2"/>
    <x v="0"/>
    <s v="California"/>
    <s v="Los Angeles County"/>
    <x v="1"/>
    <x v="8"/>
    <x v="2"/>
  </r>
  <r>
    <x v="1486"/>
    <x v="12"/>
    <x v="1"/>
    <n v="99.5"/>
    <x v="1210"/>
    <x v="55"/>
    <d v="2025-02-27T00:00:00"/>
    <x v="2"/>
    <x v="2"/>
    <x v="0"/>
    <s v="California"/>
    <s v="Los Angeles County"/>
    <x v="1"/>
    <x v="8"/>
    <x v="2"/>
  </r>
  <r>
    <x v="1487"/>
    <x v="12"/>
    <x v="12"/>
    <n v="47.4"/>
    <x v="455"/>
    <x v="55"/>
    <d v="2025-02-28T00:00:00"/>
    <x v="2"/>
    <x v="1"/>
    <x v="0"/>
    <s v="California"/>
    <s v="Los Angeles County"/>
    <x v="2"/>
    <x v="8"/>
    <x v="2"/>
  </r>
  <r>
    <x v="1488"/>
    <x v="0"/>
    <x v="5"/>
    <n v="37.5"/>
    <x v="1211"/>
    <x v="55"/>
    <d v="2025-02-27T00:00:00"/>
    <x v="2"/>
    <x v="0"/>
    <x v="3"/>
    <s v="California"/>
    <s v="Los Angeles County"/>
    <x v="1"/>
    <x v="8"/>
    <x v="2"/>
  </r>
  <r>
    <x v="1489"/>
    <x v="10"/>
    <x v="0"/>
    <n v="45.1"/>
    <x v="1212"/>
    <x v="55"/>
    <d v="2025-03-02T00:00:00"/>
    <x v="1"/>
    <x v="3"/>
    <x v="2"/>
    <s v="California"/>
    <s v="Merced County"/>
    <x v="0"/>
    <x v="8"/>
    <x v="1"/>
  </r>
  <r>
    <x v="1490"/>
    <x v="5"/>
    <x v="7"/>
    <n v="34.4"/>
    <x v="1213"/>
    <x v="55"/>
    <d v="2025-02-28T00:00:00"/>
    <x v="1"/>
    <x v="2"/>
    <x v="0"/>
    <s v="California"/>
    <s v="Napa County"/>
    <x v="2"/>
    <x v="8"/>
    <x v="1"/>
  </r>
  <r>
    <x v="1491"/>
    <x v="4"/>
    <x v="1"/>
    <n v="38"/>
    <x v="998"/>
    <x v="55"/>
    <d v="2025-02-27T00:00:00"/>
    <x v="2"/>
    <x v="1"/>
    <x v="0"/>
    <s v="California"/>
    <s v="Placer County"/>
    <x v="1"/>
    <x v="8"/>
    <x v="2"/>
  </r>
  <r>
    <x v="1492"/>
    <x v="3"/>
    <x v="21"/>
    <n v="32.4"/>
    <x v="1214"/>
    <x v="55"/>
    <d v="2025-02-28T00:00:00"/>
    <x v="1"/>
    <x v="4"/>
    <x v="0"/>
    <s v="California"/>
    <s v="Sacramento County"/>
    <x v="2"/>
    <x v="8"/>
    <x v="1"/>
  </r>
  <r>
    <x v="1493"/>
    <x v="6"/>
    <x v="2"/>
    <n v="40.9"/>
    <x v="544"/>
    <x v="55"/>
    <d v="2025-02-25T00:00:00"/>
    <x v="0"/>
    <x v="1"/>
    <x v="0"/>
    <s v="California"/>
    <s v="San Diego County"/>
    <x v="7"/>
    <x v="8"/>
    <x v="0"/>
  </r>
  <r>
    <x v="1494"/>
    <x v="7"/>
    <x v="3"/>
    <n v="76.2"/>
    <x v="1215"/>
    <x v="55"/>
    <d v="2025-02-27T00:00:00"/>
    <x v="2"/>
    <x v="2"/>
    <x v="1"/>
    <s v="California"/>
    <s v="San Diego County"/>
    <x v="1"/>
    <x v="8"/>
    <x v="2"/>
  </r>
  <r>
    <x v="1495"/>
    <x v="2"/>
    <x v="0"/>
    <n v="85.6"/>
    <x v="1216"/>
    <x v="55"/>
    <d v="2025-02-27T00:00:00"/>
    <x v="1"/>
    <x v="2"/>
    <x v="0"/>
    <s v="California"/>
    <s v="San Diego County"/>
    <x v="1"/>
    <x v="8"/>
    <x v="1"/>
  </r>
  <r>
    <x v="1496"/>
    <x v="4"/>
    <x v="12"/>
    <n v="25"/>
    <x v="1217"/>
    <x v="55"/>
    <d v="2025-02-27T00:00:00"/>
    <x v="2"/>
    <x v="2"/>
    <x v="2"/>
    <s v="California"/>
    <s v="San Diego County"/>
    <x v="1"/>
    <x v="8"/>
    <x v="2"/>
  </r>
  <r>
    <x v="1497"/>
    <x v="2"/>
    <x v="9"/>
    <n v="150.69999999999999"/>
    <x v="1218"/>
    <x v="55"/>
    <d v="2025-02-26T00:00:00"/>
    <x v="0"/>
    <x v="0"/>
    <x v="2"/>
    <s v="California"/>
    <s v="San Diego County"/>
    <x v="3"/>
    <x v="8"/>
    <x v="0"/>
  </r>
  <r>
    <x v="1498"/>
    <x v="8"/>
    <x v="0"/>
    <n v="19.600000000000001"/>
    <x v="1219"/>
    <x v="55"/>
    <d v="2025-02-26T00:00:00"/>
    <x v="1"/>
    <x v="1"/>
    <x v="4"/>
    <s v="California"/>
    <s v="San Diego County"/>
    <x v="3"/>
    <x v="8"/>
    <x v="1"/>
  </r>
  <r>
    <x v="1499"/>
    <x v="13"/>
    <x v="1"/>
    <n v="37.5"/>
    <x v="611"/>
    <x v="55"/>
    <d v="2025-02-28T00:00:00"/>
    <x v="2"/>
    <x v="1"/>
    <x v="2"/>
    <s v="California"/>
    <s v="San Francisco"/>
    <x v="2"/>
    <x v="8"/>
    <x v="2"/>
  </r>
  <r>
    <x v="1500"/>
    <x v="9"/>
    <x v="2"/>
    <n v="51.9"/>
    <x v="515"/>
    <x v="55"/>
    <d v="2025-03-03T00:00:00"/>
    <x v="2"/>
    <x v="0"/>
    <x v="4"/>
    <s v="California"/>
    <s v="Santa Clara County"/>
    <x v="4"/>
    <x v="8"/>
    <x v="2"/>
  </r>
  <r>
    <x v="1501"/>
    <x v="1"/>
    <x v="1"/>
    <n v="30.9"/>
    <x v="546"/>
    <x v="55"/>
    <d v="2025-02-27T00:00:00"/>
    <x v="2"/>
    <x v="1"/>
    <x v="0"/>
    <s v="California"/>
    <s v="Sonoma County"/>
    <x v="1"/>
    <x v="8"/>
    <x v="2"/>
  </r>
  <r>
    <x v="1502"/>
    <x v="4"/>
    <x v="2"/>
    <n v="21.2"/>
    <x v="1220"/>
    <x v="55"/>
    <d v="2025-02-28T00:00:00"/>
    <x v="2"/>
    <x v="1"/>
    <x v="0"/>
    <s v="California"/>
    <s v="Stanislaus County"/>
    <x v="2"/>
    <x v="8"/>
    <x v="2"/>
  </r>
  <r>
    <x v="1503"/>
    <x v="13"/>
    <x v="14"/>
    <n v="17.5"/>
    <x v="1221"/>
    <x v="55"/>
    <d v="2025-02-26T00:00:00"/>
    <x v="1"/>
    <x v="1"/>
    <x v="1"/>
    <s v="California"/>
    <s v="Ventura County"/>
    <x v="3"/>
    <x v="8"/>
    <x v="1"/>
  </r>
  <r>
    <x v="1504"/>
    <x v="12"/>
    <x v="1"/>
    <n v="53.8"/>
    <x v="799"/>
    <x v="55"/>
    <d v="2025-03-02T00:00:00"/>
    <x v="2"/>
    <x v="0"/>
    <x v="2"/>
    <s v="California"/>
    <s v="Alameda County"/>
    <x v="0"/>
    <x v="8"/>
    <x v="2"/>
  </r>
  <r>
    <x v="1505"/>
    <x v="19"/>
    <x v="1"/>
    <n v="17"/>
    <x v="1222"/>
    <x v="55"/>
    <d v="2025-02-26T00:00:00"/>
    <x v="1"/>
    <x v="3"/>
    <x v="0"/>
    <s v="California"/>
    <s v="Alameda County"/>
    <x v="3"/>
    <x v="8"/>
    <x v="1"/>
  </r>
  <r>
    <x v="1506"/>
    <x v="6"/>
    <x v="0"/>
    <n v="103.2"/>
    <x v="1223"/>
    <x v="55"/>
    <d v="2025-03-05T00:00:00"/>
    <x v="1"/>
    <x v="2"/>
    <x v="1"/>
    <s v="California"/>
    <s v="Contra Costa County"/>
    <x v="9"/>
    <x v="8"/>
    <x v="1"/>
  </r>
  <r>
    <x v="1507"/>
    <x v="6"/>
    <x v="12"/>
    <n v="70.3"/>
    <x v="552"/>
    <x v="55"/>
    <d v="2025-02-26T00:00:00"/>
    <x v="1"/>
    <x v="0"/>
    <x v="0"/>
    <s v="California"/>
    <s v="Los Angeles County"/>
    <x v="3"/>
    <x v="8"/>
    <x v="1"/>
  </r>
  <r>
    <x v="1508"/>
    <x v="2"/>
    <x v="1"/>
    <n v="73.8"/>
    <x v="1224"/>
    <x v="55"/>
    <d v="2025-02-25T00:00:00"/>
    <x v="1"/>
    <x v="3"/>
    <x v="2"/>
    <s v="California"/>
    <s v="Los Angeles County"/>
    <x v="7"/>
    <x v="8"/>
    <x v="1"/>
  </r>
  <r>
    <x v="1509"/>
    <x v="1"/>
    <x v="4"/>
    <n v="67.7"/>
    <x v="1225"/>
    <x v="55"/>
    <d v="2025-03-01T00:00:00"/>
    <x v="1"/>
    <x v="1"/>
    <x v="1"/>
    <s v="California"/>
    <s v="Los Angeles County"/>
    <x v="5"/>
    <x v="8"/>
    <x v="1"/>
  </r>
  <r>
    <x v="1510"/>
    <x v="13"/>
    <x v="3"/>
    <n v="43.8"/>
    <x v="1226"/>
    <x v="55"/>
    <d v="2025-02-27T00:00:00"/>
    <x v="1"/>
    <x v="1"/>
    <x v="0"/>
    <s v="California"/>
    <s v="Los Angeles County"/>
    <x v="1"/>
    <x v="8"/>
    <x v="1"/>
  </r>
  <r>
    <x v="1511"/>
    <x v="17"/>
    <x v="13"/>
    <n v="71.900000000000006"/>
    <x v="1227"/>
    <x v="55"/>
    <d v="2025-02-26T00:00:00"/>
    <x v="2"/>
    <x v="2"/>
    <x v="0"/>
    <s v="California"/>
    <s v="Los Angeles County"/>
    <x v="3"/>
    <x v="8"/>
    <x v="2"/>
  </r>
  <r>
    <x v="1512"/>
    <x v="8"/>
    <x v="1"/>
    <n v="26.3"/>
    <x v="1228"/>
    <x v="56"/>
    <d v="2025-02-28T00:00:00"/>
    <x v="2"/>
    <x v="0"/>
    <x v="1"/>
    <s v="California"/>
    <s v="Los Angeles County"/>
    <x v="1"/>
    <x v="8"/>
    <x v="2"/>
  </r>
  <r>
    <x v="1513"/>
    <x v="6"/>
    <x v="12"/>
    <n v="52.6"/>
    <x v="138"/>
    <x v="56"/>
    <d v="2025-02-28T00:00:00"/>
    <x v="2"/>
    <x v="2"/>
    <x v="1"/>
    <s v="California"/>
    <s v="Los Angeles County"/>
    <x v="1"/>
    <x v="8"/>
    <x v="2"/>
  </r>
  <r>
    <x v="1514"/>
    <x v="10"/>
    <x v="0"/>
    <n v="32.700000000000003"/>
    <x v="1229"/>
    <x v="56"/>
    <d v="2025-03-05T00:00:00"/>
    <x v="2"/>
    <x v="0"/>
    <x v="2"/>
    <s v="California"/>
    <s v="Los Angeles County"/>
    <x v="6"/>
    <x v="8"/>
    <x v="2"/>
  </r>
  <r>
    <x v="1515"/>
    <x v="5"/>
    <x v="12"/>
    <n v="38.9"/>
    <x v="1230"/>
    <x v="56"/>
    <d v="2025-02-27T00:00:00"/>
    <x v="2"/>
    <x v="0"/>
    <x v="0"/>
    <s v="California"/>
    <s v="Los Angeles County"/>
    <x v="3"/>
    <x v="8"/>
    <x v="2"/>
  </r>
  <r>
    <x v="1516"/>
    <x v="9"/>
    <x v="9"/>
    <n v="35"/>
    <x v="25"/>
    <x v="56"/>
    <d v="2025-02-28T00:00:00"/>
    <x v="1"/>
    <x v="0"/>
    <x v="0"/>
    <s v="California"/>
    <s v="Los Angeles County"/>
    <x v="1"/>
    <x v="8"/>
    <x v="1"/>
  </r>
  <r>
    <x v="1517"/>
    <x v="2"/>
    <x v="1"/>
    <n v="121"/>
    <x v="1231"/>
    <x v="56"/>
    <d v="2025-02-27T00:00:00"/>
    <x v="2"/>
    <x v="1"/>
    <x v="1"/>
    <s v="California"/>
    <s v="Los Angeles County"/>
    <x v="3"/>
    <x v="8"/>
    <x v="2"/>
  </r>
  <r>
    <x v="1518"/>
    <x v="6"/>
    <x v="2"/>
    <n v="65.099999999999994"/>
    <x v="1174"/>
    <x v="56"/>
    <d v="2025-03-02T00:00:00"/>
    <x v="1"/>
    <x v="2"/>
    <x v="0"/>
    <s v="California"/>
    <s v="San Benito County"/>
    <x v="5"/>
    <x v="8"/>
    <x v="1"/>
  </r>
  <r>
    <x v="1519"/>
    <x v="1"/>
    <x v="38"/>
    <n v="63.8"/>
    <x v="1232"/>
    <x v="56"/>
    <d v="2025-02-28T00:00:00"/>
    <x v="2"/>
    <x v="0"/>
    <x v="0"/>
    <s v="California"/>
    <s v="San Diego County"/>
    <x v="1"/>
    <x v="8"/>
    <x v="2"/>
  </r>
  <r>
    <x v="1520"/>
    <x v="7"/>
    <x v="0"/>
    <n v="77.7"/>
    <x v="1233"/>
    <x v="56"/>
    <d v="2025-02-28T00:00:00"/>
    <x v="1"/>
    <x v="0"/>
    <x v="0"/>
    <s v="California"/>
    <s v="San Diego County"/>
    <x v="1"/>
    <x v="8"/>
    <x v="1"/>
  </r>
  <r>
    <x v="1521"/>
    <x v="5"/>
    <x v="12"/>
    <n v="60.3"/>
    <x v="1234"/>
    <x v="56"/>
    <d v="2025-02-26T00:00:00"/>
    <x v="1"/>
    <x v="0"/>
    <x v="2"/>
    <s v="California"/>
    <s v="San Diego County"/>
    <x v="7"/>
    <x v="8"/>
    <x v="1"/>
  </r>
  <r>
    <x v="1522"/>
    <x v="5"/>
    <x v="1"/>
    <n v="124.1"/>
    <x v="1235"/>
    <x v="56"/>
    <d v="2025-03-01T00:00:00"/>
    <x v="2"/>
    <x v="0"/>
    <x v="2"/>
    <s v="California"/>
    <s v="San Diego County"/>
    <x v="2"/>
    <x v="8"/>
    <x v="2"/>
  </r>
  <r>
    <x v="1523"/>
    <x v="16"/>
    <x v="3"/>
    <n v="66"/>
    <x v="1236"/>
    <x v="56"/>
    <d v="2025-02-26T00:00:00"/>
    <x v="0"/>
    <x v="3"/>
    <x v="0"/>
    <s v="California"/>
    <s v="San Francisco"/>
    <x v="7"/>
    <x v="8"/>
    <x v="0"/>
  </r>
  <r>
    <x v="1524"/>
    <x v="2"/>
    <x v="42"/>
    <n v="118.2"/>
    <x v="1237"/>
    <x v="56"/>
    <d v="2025-03-03T00:00:00"/>
    <x v="0"/>
    <x v="0"/>
    <x v="0"/>
    <s v="California"/>
    <s v="San Francisco"/>
    <x v="0"/>
    <x v="8"/>
    <x v="0"/>
  </r>
  <r>
    <x v="1525"/>
    <x v="5"/>
    <x v="9"/>
    <n v="64.3"/>
    <x v="1238"/>
    <x v="56"/>
    <d v="2025-02-27T00:00:00"/>
    <x v="1"/>
    <x v="4"/>
    <x v="4"/>
    <s v="California"/>
    <s v="San Joaquin County"/>
    <x v="3"/>
    <x v="8"/>
    <x v="1"/>
  </r>
  <r>
    <x v="1526"/>
    <x v="1"/>
    <x v="1"/>
    <n v="54.8"/>
    <x v="1239"/>
    <x v="56"/>
    <d v="2025-02-26T00:00:00"/>
    <x v="1"/>
    <x v="0"/>
    <x v="1"/>
    <s v="California"/>
    <s v="San Joaquin County"/>
    <x v="7"/>
    <x v="8"/>
    <x v="1"/>
  </r>
  <r>
    <x v="1527"/>
    <x v="7"/>
    <x v="1"/>
    <n v="78.599999999999994"/>
    <x v="507"/>
    <x v="56"/>
    <d v="2025-02-27T00:00:00"/>
    <x v="1"/>
    <x v="0"/>
    <x v="2"/>
    <s v="California"/>
    <s v="San Mateo County"/>
    <x v="3"/>
    <x v="8"/>
    <x v="1"/>
  </r>
  <r>
    <x v="1528"/>
    <x v="2"/>
    <x v="9"/>
    <n v="158.5"/>
    <x v="1240"/>
    <x v="56"/>
    <d v="2025-02-28T00:00:00"/>
    <x v="0"/>
    <x v="2"/>
    <x v="2"/>
    <s v="California"/>
    <s v="San Mateo County"/>
    <x v="1"/>
    <x v="8"/>
    <x v="0"/>
  </r>
  <r>
    <x v="1529"/>
    <x v="4"/>
    <x v="7"/>
    <n v="23.5"/>
    <x v="666"/>
    <x v="56"/>
    <d v="2025-03-01T00:00:00"/>
    <x v="1"/>
    <x v="0"/>
    <x v="4"/>
    <s v="California"/>
    <s v="Santa Barbara County"/>
    <x v="2"/>
    <x v="8"/>
    <x v="1"/>
  </r>
  <r>
    <x v="1530"/>
    <x v="5"/>
    <x v="1"/>
    <n v="32.1"/>
    <x v="1005"/>
    <x v="56"/>
    <d v="2025-02-28T00:00:00"/>
    <x v="0"/>
    <x v="3"/>
    <x v="0"/>
    <s v="California"/>
    <s v="Santa Barbara County"/>
    <x v="1"/>
    <x v="8"/>
    <x v="0"/>
  </r>
  <r>
    <x v="1531"/>
    <x v="17"/>
    <x v="12"/>
    <n v="71.900000000000006"/>
    <x v="1241"/>
    <x v="56"/>
    <d v="2025-02-26T00:00:00"/>
    <x v="1"/>
    <x v="2"/>
    <x v="0"/>
    <s v="California"/>
    <s v="Stanislaus County"/>
    <x v="7"/>
    <x v="8"/>
    <x v="1"/>
  </r>
  <r>
    <x v="1532"/>
    <x v="4"/>
    <x v="13"/>
    <n v="22.3"/>
    <x v="981"/>
    <x v="56"/>
    <d v="2025-02-27T00:00:00"/>
    <x v="0"/>
    <x v="3"/>
    <x v="2"/>
    <s v="California"/>
    <s v="Ventura County"/>
    <x v="3"/>
    <x v="8"/>
    <x v="0"/>
  </r>
  <r>
    <x v="1533"/>
    <x v="11"/>
    <x v="1"/>
    <n v="29.5"/>
    <x v="1242"/>
    <x v="56"/>
    <d v="2025-02-27T00:00:00"/>
    <x v="2"/>
    <x v="0"/>
    <x v="2"/>
    <s v="California"/>
    <s v="Ventura County"/>
    <x v="3"/>
    <x v="8"/>
    <x v="2"/>
  </r>
  <r>
    <x v="1534"/>
    <x v="6"/>
    <x v="12"/>
    <n v="41.9"/>
    <x v="1243"/>
    <x v="56"/>
    <d v="2025-03-02T00:00:00"/>
    <x v="2"/>
    <x v="0"/>
    <x v="1"/>
    <s v="California"/>
    <s v="Alameda County"/>
    <x v="5"/>
    <x v="8"/>
    <x v="2"/>
  </r>
  <r>
    <x v="1535"/>
    <x v="6"/>
    <x v="2"/>
    <n v="107.8"/>
    <x v="1244"/>
    <x v="56"/>
    <d v="2025-02-27T00:00:00"/>
    <x v="1"/>
    <x v="1"/>
    <x v="2"/>
    <s v="California"/>
    <s v="Amador County"/>
    <x v="3"/>
    <x v="8"/>
    <x v="1"/>
  </r>
  <r>
    <x v="1536"/>
    <x v="4"/>
    <x v="9"/>
    <n v="18.100000000000001"/>
    <x v="497"/>
    <x v="56"/>
    <d v="2025-03-01T00:00:00"/>
    <x v="1"/>
    <x v="0"/>
    <x v="2"/>
    <s v="California"/>
    <s v="Fresno County"/>
    <x v="2"/>
    <x v="8"/>
    <x v="1"/>
  </r>
  <r>
    <x v="1537"/>
    <x v="12"/>
    <x v="11"/>
    <n v="79.8"/>
    <x v="1245"/>
    <x v="56"/>
    <d v="2025-02-27T00:00:00"/>
    <x v="2"/>
    <x v="1"/>
    <x v="1"/>
    <s v="California"/>
    <s v="Kern County"/>
    <x v="3"/>
    <x v="8"/>
    <x v="2"/>
  </r>
  <r>
    <x v="1538"/>
    <x v="0"/>
    <x v="2"/>
    <n v="22.3"/>
    <x v="884"/>
    <x v="56"/>
    <d v="2025-03-01T00:00:00"/>
    <x v="2"/>
    <x v="0"/>
    <x v="2"/>
    <s v="California"/>
    <s v="Kern County"/>
    <x v="2"/>
    <x v="8"/>
    <x v="2"/>
  </r>
  <r>
    <x v="1539"/>
    <x v="8"/>
    <x v="0"/>
    <n v="22.9"/>
    <x v="1246"/>
    <x v="56"/>
    <d v="2025-02-26T00:00:00"/>
    <x v="2"/>
    <x v="1"/>
    <x v="0"/>
    <s v="California"/>
    <s v="Kern County"/>
    <x v="7"/>
    <x v="8"/>
    <x v="2"/>
  </r>
  <r>
    <x v="1540"/>
    <x v="0"/>
    <x v="2"/>
    <n v="16.2"/>
    <x v="1247"/>
    <x v="57"/>
    <d v="2025-02-27T00:00:00"/>
    <x v="1"/>
    <x v="4"/>
    <x v="2"/>
    <s v="California"/>
    <s v="Los Angeles County"/>
    <x v="7"/>
    <x v="8"/>
    <x v="1"/>
  </r>
  <r>
    <x v="1541"/>
    <x v="10"/>
    <x v="12"/>
    <n v="59.5"/>
    <x v="1248"/>
    <x v="57"/>
    <d v="2025-02-28T00:00:00"/>
    <x v="1"/>
    <x v="1"/>
    <x v="2"/>
    <s v="California"/>
    <s v="Los Angeles County"/>
    <x v="3"/>
    <x v="8"/>
    <x v="1"/>
  </r>
  <r>
    <x v="1542"/>
    <x v="18"/>
    <x v="9"/>
    <n v="26.2"/>
    <x v="1249"/>
    <x v="57"/>
    <d v="2025-03-02T00:00:00"/>
    <x v="1"/>
    <x v="3"/>
    <x v="4"/>
    <s v="California"/>
    <s v="Los Angeles County"/>
    <x v="2"/>
    <x v="8"/>
    <x v="1"/>
  </r>
  <r>
    <x v="1543"/>
    <x v="3"/>
    <x v="0"/>
    <n v="44.2"/>
    <x v="573"/>
    <x v="57"/>
    <d v="2025-03-02T00:00:00"/>
    <x v="2"/>
    <x v="1"/>
    <x v="0"/>
    <s v="California"/>
    <s v="Los Angeles County"/>
    <x v="2"/>
    <x v="8"/>
    <x v="2"/>
  </r>
  <r>
    <x v="1544"/>
    <x v="9"/>
    <x v="1"/>
    <n v="59.2"/>
    <x v="1250"/>
    <x v="57"/>
    <d v="2025-02-27T00:00:00"/>
    <x v="2"/>
    <x v="1"/>
    <x v="4"/>
    <s v="California"/>
    <s v="Los Angeles County"/>
    <x v="7"/>
    <x v="8"/>
    <x v="2"/>
  </r>
  <r>
    <x v="1545"/>
    <x v="15"/>
    <x v="12"/>
    <n v="41.5"/>
    <x v="1251"/>
    <x v="57"/>
    <d v="2025-03-01T00:00:00"/>
    <x v="2"/>
    <x v="0"/>
    <x v="0"/>
    <s v="California"/>
    <s v="Napa County"/>
    <x v="1"/>
    <x v="8"/>
    <x v="2"/>
  </r>
  <r>
    <x v="1546"/>
    <x v="6"/>
    <x v="4"/>
    <n v="67.099999999999994"/>
    <x v="1252"/>
    <x v="57"/>
    <d v="2025-03-13T00:00:00"/>
    <x v="2"/>
    <x v="0"/>
    <x v="2"/>
    <s v="California"/>
    <s v="Riverside County"/>
    <x v="12"/>
    <x v="8"/>
    <x v="2"/>
  </r>
  <r>
    <x v="1547"/>
    <x v="8"/>
    <x v="1"/>
    <n v="28.7"/>
    <x v="1253"/>
    <x v="57"/>
    <d v="2025-03-03T00:00:00"/>
    <x v="2"/>
    <x v="1"/>
    <x v="0"/>
    <s v="California"/>
    <s v="Sacramento County"/>
    <x v="5"/>
    <x v="8"/>
    <x v="2"/>
  </r>
  <r>
    <x v="1548"/>
    <x v="2"/>
    <x v="12"/>
    <n v="132.1"/>
    <x v="1254"/>
    <x v="57"/>
    <d v="2025-02-28T00:00:00"/>
    <x v="2"/>
    <x v="0"/>
    <x v="1"/>
    <s v="California"/>
    <s v="Sacramento County"/>
    <x v="3"/>
    <x v="8"/>
    <x v="2"/>
  </r>
  <r>
    <x v="1549"/>
    <x v="18"/>
    <x v="1"/>
    <n v="47"/>
    <x v="255"/>
    <x v="57"/>
    <d v="2025-03-01T00:00:00"/>
    <x v="1"/>
    <x v="4"/>
    <x v="0"/>
    <s v="California"/>
    <s v="San Diego County"/>
    <x v="1"/>
    <x v="8"/>
    <x v="1"/>
  </r>
  <r>
    <x v="1550"/>
    <x v="8"/>
    <x v="1"/>
    <n v="41.6"/>
    <x v="707"/>
    <x v="57"/>
    <d v="2025-03-03T00:00:00"/>
    <x v="1"/>
    <x v="1"/>
    <x v="2"/>
    <s v="California"/>
    <s v="San Diego County"/>
    <x v="5"/>
    <x v="8"/>
    <x v="1"/>
  </r>
  <r>
    <x v="1551"/>
    <x v="8"/>
    <x v="43"/>
    <n v="17.3"/>
    <x v="1255"/>
    <x v="57"/>
    <d v="2025-03-01T00:00:00"/>
    <x v="1"/>
    <x v="2"/>
    <x v="2"/>
    <s v="California"/>
    <s v="San Diego County"/>
    <x v="1"/>
    <x v="8"/>
    <x v="1"/>
  </r>
  <r>
    <x v="1552"/>
    <x v="13"/>
    <x v="2"/>
    <n v="41.8"/>
    <x v="352"/>
    <x v="57"/>
    <d v="2025-03-02T00:00:00"/>
    <x v="1"/>
    <x v="0"/>
    <x v="2"/>
    <s v="California"/>
    <s v="San Diego County"/>
    <x v="2"/>
    <x v="8"/>
    <x v="1"/>
  </r>
  <r>
    <x v="1553"/>
    <x v="10"/>
    <x v="0"/>
    <n v="24"/>
    <x v="835"/>
    <x v="57"/>
    <d v="2025-02-28T00:00:00"/>
    <x v="2"/>
    <x v="0"/>
    <x v="0"/>
    <s v="California"/>
    <s v="San Francisco"/>
    <x v="3"/>
    <x v="8"/>
    <x v="2"/>
  </r>
  <r>
    <x v="1554"/>
    <x v="14"/>
    <x v="11"/>
    <n v="18.5"/>
    <x v="1256"/>
    <x v="57"/>
    <d v="2025-03-01T00:00:00"/>
    <x v="2"/>
    <x v="0"/>
    <x v="0"/>
    <s v="California"/>
    <s v="San Mateo County"/>
    <x v="1"/>
    <x v="8"/>
    <x v="2"/>
  </r>
  <r>
    <x v="1555"/>
    <x v="3"/>
    <x v="4"/>
    <n v="66.7"/>
    <x v="1257"/>
    <x v="57"/>
    <d v="2025-03-02T00:00:00"/>
    <x v="0"/>
    <x v="0"/>
    <x v="2"/>
    <s v="California"/>
    <s v="Santa Clara County"/>
    <x v="2"/>
    <x v="8"/>
    <x v="0"/>
  </r>
  <r>
    <x v="1556"/>
    <x v="1"/>
    <x v="12"/>
    <n v="33.1"/>
    <x v="979"/>
    <x v="57"/>
    <d v="2025-03-04T00:00:00"/>
    <x v="1"/>
    <x v="3"/>
    <x v="0"/>
    <s v="California"/>
    <s v="Santa Clara County"/>
    <x v="0"/>
    <x v="8"/>
    <x v="1"/>
  </r>
  <r>
    <x v="1557"/>
    <x v="19"/>
    <x v="11"/>
    <n v="42.1"/>
    <x v="1258"/>
    <x v="57"/>
    <d v="2025-03-10T00:00:00"/>
    <x v="1"/>
    <x v="1"/>
    <x v="0"/>
    <s v="California"/>
    <s v="Sonoma County"/>
    <x v="11"/>
    <x v="8"/>
    <x v="1"/>
  </r>
  <r>
    <x v="1558"/>
    <x v="18"/>
    <x v="3"/>
    <n v="58.7"/>
    <x v="1259"/>
    <x v="57"/>
    <d v="2025-02-27T00:00:00"/>
    <x v="3"/>
    <x v="3"/>
    <x v="0"/>
    <s v="California"/>
    <s v="Sutter County"/>
    <x v="7"/>
    <x v="8"/>
    <x v="3"/>
  </r>
  <r>
    <x v="1559"/>
    <x v="6"/>
    <x v="12"/>
    <n v="54"/>
    <x v="760"/>
    <x v="57"/>
    <d v="2025-03-01T00:00:00"/>
    <x v="2"/>
    <x v="1"/>
    <x v="0"/>
    <s v="California"/>
    <s v="Contra Costa County"/>
    <x v="1"/>
    <x v="8"/>
    <x v="2"/>
  </r>
  <r>
    <x v="1560"/>
    <x v="8"/>
    <x v="0"/>
    <n v="52.1"/>
    <x v="475"/>
    <x v="57"/>
    <d v="2025-02-28T00:00:00"/>
    <x v="2"/>
    <x v="2"/>
    <x v="2"/>
    <s v="California"/>
    <s v="Fresno County"/>
    <x v="3"/>
    <x v="8"/>
    <x v="2"/>
  </r>
  <r>
    <x v="1561"/>
    <x v="19"/>
    <x v="1"/>
    <n v="27"/>
    <x v="1260"/>
    <x v="57"/>
    <d v="2025-03-02T00:00:00"/>
    <x v="3"/>
    <x v="2"/>
    <x v="0"/>
    <s v="California"/>
    <s v="Kern County"/>
    <x v="2"/>
    <x v="8"/>
    <x v="3"/>
  </r>
  <r>
    <x v="1562"/>
    <x v="12"/>
    <x v="7"/>
    <n v="31"/>
    <x v="892"/>
    <x v="58"/>
    <d v="2025-03-01T00:00:00"/>
    <x v="2"/>
    <x v="3"/>
    <x v="2"/>
    <s v="California"/>
    <s v="Kern County"/>
    <x v="3"/>
    <x v="8"/>
    <x v="2"/>
  </r>
  <r>
    <x v="1563"/>
    <x v="10"/>
    <x v="1"/>
    <n v="46.7"/>
    <x v="1261"/>
    <x v="58"/>
    <d v="2025-02-28T00:00:00"/>
    <x v="2"/>
    <x v="0"/>
    <x v="0"/>
    <s v="California"/>
    <s v="Kings County"/>
    <x v="7"/>
    <x v="8"/>
    <x v="2"/>
  </r>
  <r>
    <x v="1564"/>
    <x v="6"/>
    <x v="0"/>
    <n v="144.69999999999999"/>
    <x v="1262"/>
    <x v="58"/>
    <d v="2025-03-03T00:00:00"/>
    <x v="1"/>
    <x v="0"/>
    <x v="2"/>
    <s v="California"/>
    <s v="Los Angeles County"/>
    <x v="2"/>
    <x v="8"/>
    <x v="1"/>
  </r>
  <r>
    <x v="1565"/>
    <x v="2"/>
    <x v="11"/>
    <n v="90.9"/>
    <x v="1263"/>
    <x v="58"/>
    <d v="2025-03-01T00:00:00"/>
    <x v="1"/>
    <x v="0"/>
    <x v="2"/>
    <s v="California"/>
    <s v="Los Angeles County"/>
    <x v="3"/>
    <x v="8"/>
    <x v="1"/>
  </r>
  <r>
    <x v="1566"/>
    <x v="1"/>
    <x v="1"/>
    <n v="75.8"/>
    <x v="318"/>
    <x v="58"/>
    <d v="2025-03-01T00:00:00"/>
    <x v="2"/>
    <x v="2"/>
    <x v="1"/>
    <s v="California"/>
    <s v="Los Angeles County"/>
    <x v="3"/>
    <x v="8"/>
    <x v="2"/>
  </r>
  <r>
    <x v="1567"/>
    <x v="7"/>
    <x v="9"/>
    <n v="57.9"/>
    <x v="1264"/>
    <x v="58"/>
    <d v="2025-03-02T00:00:00"/>
    <x v="1"/>
    <x v="2"/>
    <x v="2"/>
    <s v="California"/>
    <s v="Los Angeles County"/>
    <x v="1"/>
    <x v="8"/>
    <x v="1"/>
  </r>
  <r>
    <x v="1568"/>
    <x v="8"/>
    <x v="9"/>
    <n v="44.8"/>
    <x v="692"/>
    <x v="58"/>
    <d v="2025-03-01T00:00:00"/>
    <x v="2"/>
    <x v="3"/>
    <x v="2"/>
    <s v="California"/>
    <s v="Los Angeles County"/>
    <x v="3"/>
    <x v="8"/>
    <x v="2"/>
  </r>
  <r>
    <x v="1569"/>
    <x v="9"/>
    <x v="2"/>
    <n v="44.2"/>
    <x v="1265"/>
    <x v="58"/>
    <d v="2025-03-04T00:00:00"/>
    <x v="1"/>
    <x v="2"/>
    <x v="2"/>
    <s v="California"/>
    <s v="Los Angeles County"/>
    <x v="5"/>
    <x v="8"/>
    <x v="1"/>
  </r>
  <r>
    <x v="1570"/>
    <x v="5"/>
    <x v="9"/>
    <n v="53.5"/>
    <x v="1266"/>
    <x v="58"/>
    <d v="2025-03-02T00:00:00"/>
    <x v="1"/>
    <x v="0"/>
    <x v="0"/>
    <s v="California"/>
    <s v="Madera County"/>
    <x v="1"/>
    <x v="8"/>
    <x v="1"/>
  </r>
  <r>
    <x v="1571"/>
    <x v="6"/>
    <x v="1"/>
    <n v="72.2"/>
    <x v="613"/>
    <x v="58"/>
    <d v="2025-03-01T00:00:00"/>
    <x v="1"/>
    <x v="0"/>
    <x v="2"/>
    <s v="California"/>
    <s v="Orange County"/>
    <x v="3"/>
    <x v="8"/>
    <x v="1"/>
  </r>
  <r>
    <x v="1572"/>
    <x v="6"/>
    <x v="12"/>
    <n v="62.4"/>
    <x v="1267"/>
    <x v="58"/>
    <d v="2025-03-03T00:00:00"/>
    <x v="2"/>
    <x v="0"/>
    <x v="1"/>
    <s v="California"/>
    <s v="Riverside County"/>
    <x v="2"/>
    <x v="8"/>
    <x v="2"/>
  </r>
  <r>
    <x v="1573"/>
    <x v="10"/>
    <x v="9"/>
    <n v="24.7"/>
    <x v="1268"/>
    <x v="58"/>
    <d v="2025-03-01T00:00:00"/>
    <x v="2"/>
    <x v="0"/>
    <x v="0"/>
    <s v="California"/>
    <s v="Sacramento County"/>
    <x v="3"/>
    <x v="8"/>
    <x v="2"/>
  </r>
  <r>
    <x v="1574"/>
    <x v="1"/>
    <x v="9"/>
    <n v="61.7"/>
    <x v="1269"/>
    <x v="58"/>
    <d v="2025-03-02T00:00:00"/>
    <x v="2"/>
    <x v="2"/>
    <x v="0"/>
    <s v="California"/>
    <s v="San Diego County"/>
    <x v="1"/>
    <x v="8"/>
    <x v="2"/>
  </r>
  <r>
    <x v="1575"/>
    <x v="8"/>
    <x v="9"/>
    <n v="18.2"/>
    <x v="1270"/>
    <x v="58"/>
    <d v="2025-03-02T00:00:00"/>
    <x v="2"/>
    <x v="3"/>
    <x v="0"/>
    <s v="California"/>
    <s v="San Diego County"/>
    <x v="1"/>
    <x v="8"/>
    <x v="2"/>
  </r>
  <r>
    <x v="1576"/>
    <x v="10"/>
    <x v="12"/>
    <n v="37.200000000000003"/>
    <x v="956"/>
    <x v="58"/>
    <d v="2025-03-06T00:00:00"/>
    <x v="2"/>
    <x v="0"/>
    <x v="0"/>
    <s v="California"/>
    <s v="San Diego County"/>
    <x v="4"/>
    <x v="8"/>
    <x v="2"/>
  </r>
  <r>
    <x v="1577"/>
    <x v="9"/>
    <x v="2"/>
    <n v="53.5"/>
    <x v="1271"/>
    <x v="58"/>
    <d v="2025-03-02T00:00:00"/>
    <x v="2"/>
    <x v="1"/>
    <x v="2"/>
    <s v="California"/>
    <s v="San Mateo County"/>
    <x v="1"/>
    <x v="8"/>
    <x v="2"/>
  </r>
  <r>
    <x v="1578"/>
    <x v="8"/>
    <x v="2"/>
    <n v="43.6"/>
    <x v="1272"/>
    <x v="58"/>
    <d v="2025-02-28T00:00:00"/>
    <x v="2"/>
    <x v="0"/>
    <x v="0"/>
    <s v="California"/>
    <s v="San Mateo County"/>
    <x v="7"/>
    <x v="8"/>
    <x v="2"/>
  </r>
  <r>
    <x v="1579"/>
    <x v="1"/>
    <x v="7"/>
    <n v="135"/>
    <x v="1273"/>
    <x v="58"/>
    <d v="2025-03-02T00:00:00"/>
    <x v="2"/>
    <x v="0"/>
    <x v="2"/>
    <s v="California"/>
    <s v="San Mateo County"/>
    <x v="1"/>
    <x v="8"/>
    <x v="2"/>
  </r>
  <r>
    <x v="1580"/>
    <x v="8"/>
    <x v="9"/>
    <n v="38.5"/>
    <x v="796"/>
    <x v="58"/>
    <d v="2025-02-28T00:00:00"/>
    <x v="1"/>
    <x v="4"/>
    <x v="2"/>
    <s v="California"/>
    <s v="Santa Barbara County"/>
    <x v="7"/>
    <x v="8"/>
    <x v="1"/>
  </r>
  <r>
    <x v="1581"/>
    <x v="9"/>
    <x v="1"/>
    <n v="24"/>
    <x v="510"/>
    <x v="58"/>
    <d v="2025-03-05T00:00:00"/>
    <x v="2"/>
    <x v="0"/>
    <x v="0"/>
    <s v="California"/>
    <s v="Santa Clara County"/>
    <x v="0"/>
    <x v="8"/>
    <x v="2"/>
  </r>
  <r>
    <x v="1582"/>
    <x v="4"/>
    <x v="2"/>
    <n v="28.2"/>
    <x v="1274"/>
    <x v="58"/>
    <d v="2025-03-02T00:00:00"/>
    <x v="1"/>
    <x v="0"/>
    <x v="3"/>
    <s v="California"/>
    <s v="Sonoma County"/>
    <x v="1"/>
    <x v="8"/>
    <x v="1"/>
  </r>
  <r>
    <x v="1583"/>
    <x v="7"/>
    <x v="2"/>
    <n v="37.4"/>
    <x v="794"/>
    <x v="58"/>
    <d v="2025-03-01T00:00:00"/>
    <x v="2"/>
    <x v="3"/>
    <x v="0"/>
    <s v="California"/>
    <s v="Contra Costa County"/>
    <x v="3"/>
    <x v="8"/>
    <x v="2"/>
  </r>
  <r>
    <x v="1584"/>
    <x v="6"/>
    <x v="2"/>
    <n v="53.5"/>
    <x v="1271"/>
    <x v="58"/>
    <d v="2025-03-03T00:00:00"/>
    <x v="0"/>
    <x v="4"/>
    <x v="4"/>
    <s v="California"/>
    <s v="Contra Costa County"/>
    <x v="2"/>
    <x v="8"/>
    <x v="0"/>
  </r>
  <r>
    <x v="1585"/>
    <x v="11"/>
    <x v="9"/>
    <n v="36.200000000000003"/>
    <x v="1275"/>
    <x v="58"/>
    <d v="2025-03-01T00:00:00"/>
    <x v="1"/>
    <x v="1"/>
    <x v="2"/>
    <s v="California"/>
    <s v="Imperial County"/>
    <x v="3"/>
    <x v="8"/>
    <x v="1"/>
  </r>
  <r>
    <x v="1586"/>
    <x v="0"/>
    <x v="8"/>
    <n v="31.9"/>
    <x v="281"/>
    <x v="58"/>
    <d v="2025-03-01T00:00:00"/>
    <x v="2"/>
    <x v="4"/>
    <x v="0"/>
    <s v="California"/>
    <s v="Los Angeles County"/>
    <x v="3"/>
    <x v="8"/>
    <x v="2"/>
  </r>
  <r>
    <x v="1587"/>
    <x v="8"/>
    <x v="2"/>
    <n v="21.3"/>
    <x v="1276"/>
    <x v="58"/>
    <d v="2025-03-01T00:00:00"/>
    <x v="1"/>
    <x v="0"/>
    <x v="2"/>
    <s v="California"/>
    <s v="Los Angeles County"/>
    <x v="3"/>
    <x v="8"/>
    <x v="1"/>
  </r>
  <r>
    <x v="1588"/>
    <x v="8"/>
    <x v="0"/>
    <n v="36.299999999999997"/>
    <x v="1277"/>
    <x v="58"/>
    <d v="2025-03-02T00:00:00"/>
    <x v="3"/>
    <x v="4"/>
    <x v="0"/>
    <s v="California"/>
    <s v="Los Angeles County"/>
    <x v="1"/>
    <x v="8"/>
    <x v="3"/>
  </r>
  <r>
    <x v="1589"/>
    <x v="6"/>
    <x v="2"/>
    <n v="110.5"/>
    <x v="1278"/>
    <x v="58"/>
    <d v="2025-03-01T00:00:00"/>
    <x v="2"/>
    <x v="0"/>
    <x v="3"/>
    <s v="California"/>
    <s v="Los Angeles County"/>
    <x v="3"/>
    <x v="8"/>
    <x v="2"/>
  </r>
  <r>
    <x v="1590"/>
    <x v="10"/>
    <x v="3"/>
    <n v="32.6"/>
    <x v="1279"/>
    <x v="58"/>
    <d v="2025-03-02T00:00:00"/>
    <x v="2"/>
    <x v="0"/>
    <x v="1"/>
    <s v="California"/>
    <s v="Los Angeles County"/>
    <x v="1"/>
    <x v="8"/>
    <x v="2"/>
  </r>
  <r>
    <x v="1591"/>
    <x v="5"/>
    <x v="2"/>
    <n v="55.6"/>
    <x v="701"/>
    <x v="59"/>
    <d v="2025-03-14T00:00:00"/>
    <x v="2"/>
    <x v="0"/>
    <x v="0"/>
    <s v="California"/>
    <s v="Los Angeles County"/>
    <x v="10"/>
    <x v="8"/>
    <x v="2"/>
  </r>
  <r>
    <x v="1592"/>
    <x v="1"/>
    <x v="12"/>
    <n v="38"/>
    <x v="465"/>
    <x v="59"/>
    <d v="2025-03-02T00:00:00"/>
    <x v="2"/>
    <x v="3"/>
    <x v="2"/>
    <s v="California"/>
    <s v="Placer County"/>
    <x v="3"/>
    <x v="8"/>
    <x v="2"/>
  </r>
  <r>
    <x v="1593"/>
    <x v="10"/>
    <x v="1"/>
    <n v="51.8"/>
    <x v="186"/>
    <x v="59"/>
    <d v="2025-03-07T00:00:00"/>
    <x v="1"/>
    <x v="1"/>
    <x v="4"/>
    <s v="California"/>
    <s v="Sacramento County"/>
    <x v="4"/>
    <x v="8"/>
    <x v="1"/>
  </r>
  <r>
    <x v="1594"/>
    <x v="11"/>
    <x v="8"/>
    <n v="28.7"/>
    <x v="1166"/>
    <x v="59"/>
    <d v="2025-03-06T00:00:00"/>
    <x v="2"/>
    <x v="0"/>
    <x v="0"/>
    <s v="California"/>
    <s v="Sacramento County"/>
    <x v="0"/>
    <x v="8"/>
    <x v="2"/>
  </r>
  <r>
    <x v="1595"/>
    <x v="6"/>
    <x v="4"/>
    <n v="52.2"/>
    <x v="1280"/>
    <x v="59"/>
    <d v="2025-03-01T00:00:00"/>
    <x v="1"/>
    <x v="0"/>
    <x v="1"/>
    <s v="California"/>
    <s v="Sacramento County"/>
    <x v="7"/>
    <x v="8"/>
    <x v="1"/>
  </r>
  <r>
    <x v="1596"/>
    <x v="1"/>
    <x v="1"/>
    <n v="68.2"/>
    <x v="517"/>
    <x v="59"/>
    <d v="2025-03-02T00:00:00"/>
    <x v="0"/>
    <x v="2"/>
    <x v="0"/>
    <s v="California"/>
    <s v="San Bernardino County"/>
    <x v="3"/>
    <x v="8"/>
    <x v="0"/>
  </r>
  <r>
    <x v="1597"/>
    <x v="0"/>
    <x v="2"/>
    <n v="34"/>
    <x v="1062"/>
    <x v="59"/>
    <d v="2025-03-05T00:00:00"/>
    <x v="2"/>
    <x v="0"/>
    <x v="0"/>
    <s v="California"/>
    <s v="San Diego County"/>
    <x v="5"/>
    <x v="8"/>
    <x v="2"/>
  </r>
  <r>
    <x v="1598"/>
    <x v="8"/>
    <x v="2"/>
    <n v="19.100000000000001"/>
    <x v="1281"/>
    <x v="59"/>
    <d v="2025-03-02T00:00:00"/>
    <x v="2"/>
    <x v="4"/>
    <x v="0"/>
    <s v="California"/>
    <s v="San Diego County"/>
    <x v="3"/>
    <x v="8"/>
    <x v="2"/>
  </r>
  <r>
    <x v="1599"/>
    <x v="5"/>
    <x v="8"/>
    <n v="34"/>
    <x v="1123"/>
    <x v="59"/>
    <d v="2025-03-09T00:00:00"/>
    <x v="2"/>
    <x v="4"/>
    <x v="0"/>
    <s v="California"/>
    <s v="San Diego County"/>
    <x v="9"/>
    <x v="8"/>
    <x v="2"/>
  </r>
  <r>
    <x v="1600"/>
    <x v="12"/>
    <x v="1"/>
    <n v="109.1"/>
    <x v="1282"/>
    <x v="59"/>
    <d v="2025-03-03T00:00:00"/>
    <x v="1"/>
    <x v="0"/>
    <x v="2"/>
    <s v="California"/>
    <s v="San Diego County"/>
    <x v="1"/>
    <x v="8"/>
    <x v="1"/>
  </r>
  <r>
    <x v="1601"/>
    <x v="18"/>
    <x v="1"/>
    <n v="64.8"/>
    <x v="632"/>
    <x v="59"/>
    <d v="2025-03-03T00:00:00"/>
    <x v="1"/>
    <x v="0"/>
    <x v="2"/>
    <s v="California"/>
    <s v="San Diego County"/>
    <x v="1"/>
    <x v="8"/>
    <x v="1"/>
  </r>
  <r>
    <x v="1602"/>
    <x v="10"/>
    <x v="1"/>
    <n v="21.1"/>
    <x v="1283"/>
    <x v="59"/>
    <d v="2025-03-01T00:00:00"/>
    <x v="2"/>
    <x v="1"/>
    <x v="0"/>
    <s v="California"/>
    <s v="Santa Clara County"/>
    <x v="7"/>
    <x v="8"/>
    <x v="2"/>
  </r>
  <r>
    <x v="1603"/>
    <x v="0"/>
    <x v="8"/>
    <n v="21.3"/>
    <x v="1284"/>
    <x v="59"/>
    <d v="2025-03-03T00:00:00"/>
    <x v="1"/>
    <x v="3"/>
    <x v="1"/>
    <s v="California"/>
    <s v="Sonoma County"/>
    <x v="1"/>
    <x v="8"/>
    <x v="1"/>
  </r>
  <r>
    <x v="1604"/>
    <x v="9"/>
    <x v="2"/>
    <n v="24.3"/>
    <x v="1285"/>
    <x v="59"/>
    <d v="2025-03-02T00:00:00"/>
    <x v="1"/>
    <x v="1"/>
    <x v="0"/>
    <s v="California"/>
    <s v="Stanislaus County"/>
    <x v="3"/>
    <x v="8"/>
    <x v="1"/>
  </r>
  <r>
    <x v="1605"/>
    <x v="8"/>
    <x v="0"/>
    <n v="43.3"/>
    <x v="1286"/>
    <x v="59"/>
    <d v="2025-03-05T00:00:00"/>
    <x v="1"/>
    <x v="1"/>
    <x v="1"/>
    <s v="California"/>
    <s v="Ventura County"/>
    <x v="5"/>
    <x v="8"/>
    <x v="1"/>
  </r>
  <r>
    <x v="1606"/>
    <x v="9"/>
    <x v="2"/>
    <n v="41"/>
    <x v="1287"/>
    <x v="59"/>
    <d v="2025-03-02T00:00:00"/>
    <x v="2"/>
    <x v="3"/>
    <x v="4"/>
    <s v="California"/>
    <s v="Alameda County"/>
    <x v="3"/>
    <x v="8"/>
    <x v="2"/>
  </r>
  <r>
    <x v="1607"/>
    <x v="16"/>
    <x v="2"/>
    <n v="54.1"/>
    <x v="1288"/>
    <x v="59"/>
    <d v="2025-03-03T00:00:00"/>
    <x v="2"/>
    <x v="4"/>
    <x v="0"/>
    <s v="California"/>
    <s v="Alameda County"/>
    <x v="1"/>
    <x v="8"/>
    <x v="2"/>
  </r>
  <r>
    <x v="1608"/>
    <x v="11"/>
    <x v="1"/>
    <n v="39"/>
    <x v="292"/>
    <x v="59"/>
    <d v="2025-03-02T00:00:00"/>
    <x v="1"/>
    <x v="1"/>
    <x v="2"/>
    <s v="California"/>
    <s v="Contra Costa County"/>
    <x v="3"/>
    <x v="8"/>
    <x v="1"/>
  </r>
  <r>
    <x v="1609"/>
    <x v="8"/>
    <x v="1"/>
    <n v="40.299999999999997"/>
    <x v="7"/>
    <x v="59"/>
    <d v="2025-03-03T00:00:00"/>
    <x v="1"/>
    <x v="3"/>
    <x v="0"/>
    <s v="California"/>
    <s v="Glenn County"/>
    <x v="1"/>
    <x v="8"/>
    <x v="1"/>
  </r>
  <r>
    <x v="1610"/>
    <x v="8"/>
    <x v="2"/>
    <n v="24.1"/>
    <x v="1289"/>
    <x v="59"/>
    <d v="2025-03-02T00:00:00"/>
    <x v="1"/>
    <x v="0"/>
    <x v="2"/>
    <s v="California"/>
    <s v="Kings County"/>
    <x v="3"/>
    <x v="8"/>
    <x v="1"/>
  </r>
  <r>
    <x v="1611"/>
    <x v="6"/>
    <x v="9"/>
    <n v="52.3"/>
    <x v="1290"/>
    <x v="59"/>
    <d v="2025-03-02T00:00:00"/>
    <x v="1"/>
    <x v="2"/>
    <x v="0"/>
    <s v="California"/>
    <s v="Los Angeles County"/>
    <x v="3"/>
    <x v="8"/>
    <x v="1"/>
  </r>
  <r>
    <x v="1612"/>
    <x v="12"/>
    <x v="12"/>
    <n v="68.8"/>
    <x v="1291"/>
    <x v="59"/>
    <d v="2025-03-05T00:00:00"/>
    <x v="2"/>
    <x v="4"/>
    <x v="2"/>
    <s v="California"/>
    <s v="Los Angeles County"/>
    <x v="5"/>
    <x v="8"/>
    <x v="2"/>
  </r>
  <r>
    <x v="1613"/>
    <x v="2"/>
    <x v="1"/>
    <n v="128.80000000000001"/>
    <x v="1292"/>
    <x v="60"/>
    <d v="2025-03-05T00:00:00"/>
    <x v="2"/>
    <x v="1"/>
    <x v="1"/>
    <s v="California"/>
    <s v="Los Angeles County"/>
    <x v="2"/>
    <x v="9"/>
    <x v="2"/>
  </r>
  <r>
    <x v="1614"/>
    <x v="15"/>
    <x v="9"/>
    <n v="48.2"/>
    <x v="1044"/>
    <x v="60"/>
    <d v="2025-03-04T00:00:00"/>
    <x v="2"/>
    <x v="3"/>
    <x v="0"/>
    <s v="California"/>
    <s v="Los Angeles County"/>
    <x v="1"/>
    <x v="9"/>
    <x v="2"/>
  </r>
  <r>
    <x v="1615"/>
    <x v="10"/>
    <x v="0"/>
    <n v="39.700000000000003"/>
    <x v="144"/>
    <x v="60"/>
    <d v="2025-03-04T00:00:00"/>
    <x v="2"/>
    <x v="0"/>
    <x v="1"/>
    <s v="California"/>
    <s v="Los Angeles County"/>
    <x v="1"/>
    <x v="9"/>
    <x v="2"/>
  </r>
  <r>
    <x v="1616"/>
    <x v="9"/>
    <x v="0"/>
    <n v="59.7"/>
    <x v="1201"/>
    <x v="60"/>
    <d v="2025-03-05T00:00:00"/>
    <x v="2"/>
    <x v="4"/>
    <x v="0"/>
    <s v="California"/>
    <s v="Los Angeles County"/>
    <x v="2"/>
    <x v="9"/>
    <x v="2"/>
  </r>
  <r>
    <x v="1617"/>
    <x v="6"/>
    <x v="0"/>
    <n v="48.3"/>
    <x v="1293"/>
    <x v="60"/>
    <d v="2025-03-16T00:00:00"/>
    <x v="3"/>
    <x v="0"/>
    <x v="2"/>
    <s v="California"/>
    <s v="Los Angeles County"/>
    <x v="12"/>
    <x v="9"/>
    <x v="3"/>
  </r>
  <r>
    <x v="1618"/>
    <x v="8"/>
    <x v="2"/>
    <n v="45.5"/>
    <x v="1294"/>
    <x v="60"/>
    <d v="2025-03-04T00:00:00"/>
    <x v="1"/>
    <x v="2"/>
    <x v="1"/>
    <s v="California"/>
    <s v="Los Angeles County"/>
    <x v="1"/>
    <x v="9"/>
    <x v="1"/>
  </r>
  <r>
    <x v="1619"/>
    <x v="9"/>
    <x v="6"/>
    <n v="51"/>
    <x v="1295"/>
    <x v="60"/>
    <d v="2025-03-02T00:00:00"/>
    <x v="2"/>
    <x v="2"/>
    <x v="0"/>
    <s v="California"/>
    <s v="Los Angeles County"/>
    <x v="7"/>
    <x v="9"/>
    <x v="2"/>
  </r>
  <r>
    <x v="1620"/>
    <x v="4"/>
    <x v="13"/>
    <n v="20.399999999999999"/>
    <x v="1296"/>
    <x v="60"/>
    <d v="2025-03-03T00:00:00"/>
    <x v="1"/>
    <x v="2"/>
    <x v="0"/>
    <s v="California"/>
    <s v="Los Angeles County"/>
    <x v="3"/>
    <x v="9"/>
    <x v="1"/>
  </r>
  <r>
    <x v="1621"/>
    <x v="10"/>
    <x v="1"/>
    <n v="30.4"/>
    <x v="1297"/>
    <x v="60"/>
    <d v="2025-03-04T00:00:00"/>
    <x v="1"/>
    <x v="2"/>
    <x v="0"/>
    <s v="California"/>
    <s v="Los Angeles County"/>
    <x v="1"/>
    <x v="9"/>
    <x v="1"/>
  </r>
  <r>
    <x v="1622"/>
    <x v="7"/>
    <x v="1"/>
    <n v="71.5"/>
    <x v="1298"/>
    <x v="60"/>
    <d v="2025-03-06T00:00:00"/>
    <x v="2"/>
    <x v="0"/>
    <x v="0"/>
    <s v="California"/>
    <s v="Los Angeles County"/>
    <x v="5"/>
    <x v="9"/>
    <x v="2"/>
  </r>
  <r>
    <x v="1623"/>
    <x v="8"/>
    <x v="13"/>
    <n v="18"/>
    <x v="807"/>
    <x v="60"/>
    <d v="2025-03-03T00:00:00"/>
    <x v="3"/>
    <x v="1"/>
    <x v="2"/>
    <s v="California"/>
    <s v="Sacramento County"/>
    <x v="3"/>
    <x v="9"/>
    <x v="3"/>
  </r>
  <r>
    <x v="1624"/>
    <x v="15"/>
    <x v="5"/>
    <n v="45.6"/>
    <x v="1299"/>
    <x v="60"/>
    <d v="2025-03-03T00:00:00"/>
    <x v="3"/>
    <x v="1"/>
    <x v="1"/>
    <s v="California"/>
    <s v="San Bernardino County"/>
    <x v="3"/>
    <x v="9"/>
    <x v="3"/>
  </r>
  <r>
    <x v="1625"/>
    <x v="9"/>
    <x v="0"/>
    <n v="31.8"/>
    <x v="627"/>
    <x v="60"/>
    <d v="2025-03-06T00:00:00"/>
    <x v="2"/>
    <x v="0"/>
    <x v="2"/>
    <s v="California"/>
    <s v="San Bernardino County"/>
    <x v="5"/>
    <x v="9"/>
    <x v="2"/>
  </r>
  <r>
    <x v="1626"/>
    <x v="8"/>
    <x v="9"/>
    <n v="19.899999999999999"/>
    <x v="1300"/>
    <x v="60"/>
    <d v="2025-03-03T00:00:00"/>
    <x v="2"/>
    <x v="1"/>
    <x v="0"/>
    <s v="California"/>
    <s v="San Bernardino County"/>
    <x v="3"/>
    <x v="9"/>
    <x v="2"/>
  </r>
  <r>
    <x v="1627"/>
    <x v="12"/>
    <x v="11"/>
    <n v="52.1"/>
    <x v="1301"/>
    <x v="60"/>
    <d v="2025-03-04T00:00:00"/>
    <x v="1"/>
    <x v="0"/>
    <x v="0"/>
    <s v="California"/>
    <s v="San Diego County"/>
    <x v="1"/>
    <x v="9"/>
    <x v="1"/>
  </r>
  <r>
    <x v="1628"/>
    <x v="1"/>
    <x v="3"/>
    <n v="45.9"/>
    <x v="1198"/>
    <x v="60"/>
    <d v="2025-03-03T00:00:00"/>
    <x v="1"/>
    <x v="0"/>
    <x v="1"/>
    <s v="California"/>
    <s v="San Diego County"/>
    <x v="3"/>
    <x v="9"/>
    <x v="1"/>
  </r>
  <r>
    <x v="1629"/>
    <x v="1"/>
    <x v="7"/>
    <n v="115.9"/>
    <x v="1302"/>
    <x v="60"/>
    <d v="2025-03-05T00:00:00"/>
    <x v="2"/>
    <x v="1"/>
    <x v="0"/>
    <s v="California"/>
    <s v="San Diego County"/>
    <x v="2"/>
    <x v="9"/>
    <x v="2"/>
  </r>
  <r>
    <x v="1630"/>
    <x v="6"/>
    <x v="11"/>
    <n v="86"/>
    <x v="1303"/>
    <x v="60"/>
    <d v="2025-03-07T00:00:00"/>
    <x v="2"/>
    <x v="0"/>
    <x v="1"/>
    <s v="California"/>
    <s v="San Diego County"/>
    <x v="0"/>
    <x v="9"/>
    <x v="2"/>
  </r>
  <r>
    <x v="1631"/>
    <x v="7"/>
    <x v="3"/>
    <n v="73.599999999999994"/>
    <x v="1304"/>
    <x v="60"/>
    <d v="2025-03-04T00:00:00"/>
    <x v="2"/>
    <x v="0"/>
    <x v="0"/>
    <s v="California"/>
    <s v="San Francisco"/>
    <x v="1"/>
    <x v="9"/>
    <x v="2"/>
  </r>
  <r>
    <x v="1632"/>
    <x v="10"/>
    <x v="2"/>
    <n v="26.7"/>
    <x v="1133"/>
    <x v="60"/>
    <d v="2025-03-06T00:00:00"/>
    <x v="2"/>
    <x v="0"/>
    <x v="0"/>
    <s v="California"/>
    <s v="Santa Clara County"/>
    <x v="5"/>
    <x v="9"/>
    <x v="2"/>
  </r>
  <r>
    <x v="1633"/>
    <x v="8"/>
    <x v="3"/>
    <n v="46.6"/>
    <x v="1305"/>
    <x v="60"/>
    <d v="2025-03-04T00:00:00"/>
    <x v="0"/>
    <x v="3"/>
    <x v="0"/>
    <s v="California"/>
    <s v="Santa Clara County"/>
    <x v="1"/>
    <x v="9"/>
    <x v="0"/>
  </r>
  <r>
    <x v="1634"/>
    <x v="3"/>
    <x v="2"/>
    <n v="84.6"/>
    <x v="1306"/>
    <x v="60"/>
    <d v="2025-03-04T00:00:00"/>
    <x v="1"/>
    <x v="4"/>
    <x v="0"/>
    <s v="California"/>
    <s v="Santa Clara County"/>
    <x v="1"/>
    <x v="9"/>
    <x v="1"/>
  </r>
  <r>
    <x v="1635"/>
    <x v="7"/>
    <x v="21"/>
    <n v="41.5"/>
    <x v="1307"/>
    <x v="60"/>
    <d v="2025-03-16T00:00:00"/>
    <x v="1"/>
    <x v="1"/>
    <x v="0"/>
    <s v="California"/>
    <s v="Shasta County"/>
    <x v="12"/>
    <x v="9"/>
    <x v="1"/>
  </r>
  <r>
    <x v="1636"/>
    <x v="8"/>
    <x v="0"/>
    <n v="32.799999999999997"/>
    <x v="944"/>
    <x v="60"/>
    <d v="2025-03-05T00:00:00"/>
    <x v="1"/>
    <x v="0"/>
    <x v="2"/>
    <s v="California"/>
    <s v="Siskiyou County"/>
    <x v="2"/>
    <x v="9"/>
    <x v="1"/>
  </r>
  <r>
    <x v="1637"/>
    <x v="4"/>
    <x v="3"/>
    <n v="46.7"/>
    <x v="1308"/>
    <x v="60"/>
    <d v="2025-03-04T00:00:00"/>
    <x v="3"/>
    <x v="0"/>
    <x v="2"/>
    <s v="California"/>
    <s v="Sonoma County"/>
    <x v="1"/>
    <x v="9"/>
    <x v="3"/>
  </r>
  <r>
    <x v="1638"/>
    <x v="15"/>
    <x v="3"/>
    <n v="21"/>
    <x v="926"/>
    <x v="60"/>
    <d v="2025-03-05T00:00:00"/>
    <x v="1"/>
    <x v="2"/>
    <x v="1"/>
    <s v="California"/>
    <s v="Alameda County"/>
    <x v="2"/>
    <x v="9"/>
    <x v="1"/>
  </r>
  <r>
    <x v="1639"/>
    <x v="5"/>
    <x v="3"/>
    <n v="29.4"/>
    <x v="43"/>
    <x v="60"/>
    <d v="2025-03-02T00:00:00"/>
    <x v="1"/>
    <x v="3"/>
    <x v="2"/>
    <s v="California"/>
    <s v="Alameda County"/>
    <x v="7"/>
    <x v="9"/>
    <x v="1"/>
  </r>
  <r>
    <x v="1640"/>
    <x v="15"/>
    <x v="1"/>
    <n v="32.299999999999997"/>
    <x v="1099"/>
    <x v="60"/>
    <d v="2025-03-03T00:00:00"/>
    <x v="1"/>
    <x v="0"/>
    <x v="2"/>
    <s v="California"/>
    <s v="Alameda County"/>
    <x v="3"/>
    <x v="9"/>
    <x v="1"/>
  </r>
  <r>
    <x v="1641"/>
    <x v="6"/>
    <x v="0"/>
    <n v="42.2"/>
    <x v="1283"/>
    <x v="61"/>
    <d v="2025-03-05T00:00:00"/>
    <x v="2"/>
    <x v="0"/>
    <x v="2"/>
    <s v="California"/>
    <s v="Alameda County"/>
    <x v="1"/>
    <x v="9"/>
    <x v="2"/>
  </r>
  <r>
    <x v="1642"/>
    <x v="6"/>
    <x v="0"/>
    <n v="53.7"/>
    <x v="1309"/>
    <x v="61"/>
    <d v="2025-03-05T00:00:00"/>
    <x v="1"/>
    <x v="1"/>
    <x v="1"/>
    <s v="California"/>
    <s v="Contra Costa County"/>
    <x v="1"/>
    <x v="9"/>
    <x v="1"/>
  </r>
  <r>
    <x v="1643"/>
    <x v="2"/>
    <x v="1"/>
    <n v="123.9"/>
    <x v="1310"/>
    <x v="61"/>
    <d v="2025-03-06T00:00:00"/>
    <x v="1"/>
    <x v="2"/>
    <x v="0"/>
    <s v="California"/>
    <s v="Contra Costa County"/>
    <x v="2"/>
    <x v="9"/>
    <x v="1"/>
  </r>
  <r>
    <x v="1644"/>
    <x v="4"/>
    <x v="2"/>
    <n v="35.9"/>
    <x v="1311"/>
    <x v="61"/>
    <d v="2025-03-05T00:00:00"/>
    <x v="1"/>
    <x v="2"/>
    <x v="0"/>
    <s v="California"/>
    <s v="Kern County"/>
    <x v="1"/>
    <x v="9"/>
    <x v="1"/>
  </r>
  <r>
    <x v="1645"/>
    <x v="4"/>
    <x v="1"/>
    <n v="23.6"/>
    <x v="828"/>
    <x v="61"/>
    <d v="2025-03-06T00:00:00"/>
    <x v="1"/>
    <x v="0"/>
    <x v="2"/>
    <s v="California"/>
    <s v="Los Angeles County"/>
    <x v="2"/>
    <x v="9"/>
    <x v="1"/>
  </r>
  <r>
    <x v="1646"/>
    <x v="15"/>
    <x v="36"/>
    <n v="45.7"/>
    <x v="1312"/>
    <x v="61"/>
    <d v="2025-03-04T00:00:00"/>
    <x v="1"/>
    <x v="0"/>
    <x v="1"/>
    <s v="California"/>
    <s v="Los Angeles County"/>
    <x v="3"/>
    <x v="9"/>
    <x v="1"/>
  </r>
  <r>
    <x v="1647"/>
    <x v="6"/>
    <x v="5"/>
    <n v="118.3"/>
    <x v="1313"/>
    <x v="61"/>
    <d v="2025-03-05T00:00:00"/>
    <x v="1"/>
    <x v="4"/>
    <x v="2"/>
    <s v="California"/>
    <s v="Los Angeles County"/>
    <x v="1"/>
    <x v="9"/>
    <x v="1"/>
  </r>
  <r>
    <x v="1648"/>
    <x v="19"/>
    <x v="0"/>
    <n v="36"/>
    <x v="53"/>
    <x v="61"/>
    <d v="2025-03-04T00:00:00"/>
    <x v="2"/>
    <x v="0"/>
    <x v="1"/>
    <s v="California"/>
    <s v="Los Angeles County"/>
    <x v="3"/>
    <x v="9"/>
    <x v="2"/>
  </r>
  <r>
    <x v="1649"/>
    <x v="8"/>
    <x v="1"/>
    <n v="37.1"/>
    <x v="1314"/>
    <x v="61"/>
    <d v="2025-03-06T00:00:00"/>
    <x v="2"/>
    <x v="2"/>
    <x v="0"/>
    <s v="California"/>
    <s v="Los Angeles County"/>
    <x v="2"/>
    <x v="9"/>
    <x v="2"/>
  </r>
  <r>
    <x v="1650"/>
    <x v="18"/>
    <x v="2"/>
    <n v="45.1"/>
    <x v="246"/>
    <x v="61"/>
    <d v="2025-03-05T00:00:00"/>
    <x v="2"/>
    <x v="1"/>
    <x v="2"/>
    <s v="California"/>
    <s v="Los Angeles County"/>
    <x v="1"/>
    <x v="9"/>
    <x v="2"/>
  </r>
  <r>
    <x v="1651"/>
    <x v="5"/>
    <x v="27"/>
    <n v="37.9"/>
    <x v="1315"/>
    <x v="61"/>
    <d v="2025-03-04T00:00:00"/>
    <x v="2"/>
    <x v="3"/>
    <x v="2"/>
    <s v="California"/>
    <s v="Los Angeles County"/>
    <x v="3"/>
    <x v="9"/>
    <x v="2"/>
  </r>
  <r>
    <x v="1652"/>
    <x v="2"/>
    <x v="1"/>
    <n v="121.6"/>
    <x v="1316"/>
    <x v="61"/>
    <d v="2025-03-06T00:00:00"/>
    <x v="1"/>
    <x v="3"/>
    <x v="2"/>
    <s v="California"/>
    <s v="Los Angeles County"/>
    <x v="2"/>
    <x v="9"/>
    <x v="1"/>
  </r>
  <r>
    <x v="1653"/>
    <x v="5"/>
    <x v="3"/>
    <n v="38.200000000000003"/>
    <x v="1317"/>
    <x v="61"/>
    <d v="2025-03-06T00:00:00"/>
    <x v="2"/>
    <x v="0"/>
    <x v="0"/>
    <s v="California"/>
    <s v="Los Angeles County"/>
    <x v="2"/>
    <x v="9"/>
    <x v="2"/>
  </r>
  <r>
    <x v="1654"/>
    <x v="17"/>
    <x v="1"/>
    <n v="37.200000000000003"/>
    <x v="610"/>
    <x v="61"/>
    <d v="2025-03-06T00:00:00"/>
    <x v="1"/>
    <x v="4"/>
    <x v="0"/>
    <s v="California"/>
    <s v="Los Angeles County"/>
    <x v="2"/>
    <x v="9"/>
    <x v="1"/>
  </r>
  <r>
    <x v="1655"/>
    <x v="2"/>
    <x v="12"/>
    <n v="115.7"/>
    <x v="1318"/>
    <x v="61"/>
    <d v="2025-03-06T00:00:00"/>
    <x v="2"/>
    <x v="1"/>
    <x v="0"/>
    <s v="California"/>
    <s v="Los Angeles County"/>
    <x v="2"/>
    <x v="9"/>
    <x v="2"/>
  </r>
  <r>
    <x v="1656"/>
    <x v="2"/>
    <x v="13"/>
    <n v="99.4"/>
    <x v="1319"/>
    <x v="61"/>
    <d v="2025-03-06T00:00:00"/>
    <x v="1"/>
    <x v="0"/>
    <x v="2"/>
    <s v="California"/>
    <s v="Los Angeles County"/>
    <x v="2"/>
    <x v="9"/>
    <x v="1"/>
  </r>
  <r>
    <x v="1657"/>
    <x v="11"/>
    <x v="0"/>
    <n v="38.700000000000003"/>
    <x v="1320"/>
    <x v="61"/>
    <d v="2025-03-04T00:00:00"/>
    <x v="2"/>
    <x v="2"/>
    <x v="0"/>
    <s v="California"/>
    <s v="Orange County"/>
    <x v="3"/>
    <x v="9"/>
    <x v="2"/>
  </r>
  <r>
    <x v="1658"/>
    <x v="4"/>
    <x v="1"/>
    <n v="35.5"/>
    <x v="1321"/>
    <x v="61"/>
    <d v="2025-03-06T00:00:00"/>
    <x v="1"/>
    <x v="0"/>
    <x v="2"/>
    <s v="California"/>
    <s v="Orange County"/>
    <x v="2"/>
    <x v="9"/>
    <x v="1"/>
  </r>
  <r>
    <x v="1659"/>
    <x v="2"/>
    <x v="12"/>
    <n v="93.3"/>
    <x v="1322"/>
    <x v="61"/>
    <d v="2025-03-06T00:00:00"/>
    <x v="2"/>
    <x v="0"/>
    <x v="2"/>
    <s v="California"/>
    <s v="Sacramento County"/>
    <x v="2"/>
    <x v="9"/>
    <x v="2"/>
  </r>
  <r>
    <x v="1660"/>
    <x v="16"/>
    <x v="0"/>
    <n v="31.4"/>
    <x v="1323"/>
    <x v="61"/>
    <d v="2025-03-08T00:00:00"/>
    <x v="2"/>
    <x v="2"/>
    <x v="2"/>
    <s v="California"/>
    <s v="Sacramento County"/>
    <x v="0"/>
    <x v="9"/>
    <x v="2"/>
  </r>
  <r>
    <x v="1661"/>
    <x v="1"/>
    <x v="0"/>
    <n v="85.9"/>
    <x v="1324"/>
    <x v="61"/>
    <d v="2025-03-06T00:00:00"/>
    <x v="1"/>
    <x v="1"/>
    <x v="0"/>
    <s v="California"/>
    <s v="Sacramento County"/>
    <x v="2"/>
    <x v="9"/>
    <x v="1"/>
  </r>
  <r>
    <x v="1662"/>
    <x v="6"/>
    <x v="8"/>
    <n v="41.7"/>
    <x v="335"/>
    <x v="61"/>
    <d v="2025-03-11T00:00:00"/>
    <x v="1"/>
    <x v="0"/>
    <x v="2"/>
    <s v="California"/>
    <s v="San Bernardino County"/>
    <x v="9"/>
    <x v="9"/>
    <x v="1"/>
  </r>
  <r>
    <x v="1663"/>
    <x v="8"/>
    <x v="12"/>
    <n v="31.5"/>
    <x v="624"/>
    <x v="61"/>
    <d v="2025-03-04T00:00:00"/>
    <x v="2"/>
    <x v="0"/>
    <x v="0"/>
    <s v="California"/>
    <s v="San Bernardino County"/>
    <x v="3"/>
    <x v="9"/>
    <x v="2"/>
  </r>
  <r>
    <x v="1664"/>
    <x v="8"/>
    <x v="1"/>
    <n v="36.299999999999997"/>
    <x v="1325"/>
    <x v="61"/>
    <d v="2025-03-04T00:00:00"/>
    <x v="2"/>
    <x v="0"/>
    <x v="4"/>
    <s v="California"/>
    <s v="San Diego County"/>
    <x v="3"/>
    <x v="9"/>
    <x v="2"/>
  </r>
  <r>
    <x v="1665"/>
    <x v="8"/>
    <x v="2"/>
    <n v="33.4"/>
    <x v="1326"/>
    <x v="61"/>
    <d v="2025-03-04T00:00:00"/>
    <x v="2"/>
    <x v="3"/>
    <x v="0"/>
    <s v="California"/>
    <s v="San Francisco"/>
    <x v="3"/>
    <x v="9"/>
    <x v="2"/>
  </r>
  <r>
    <x v="1666"/>
    <x v="2"/>
    <x v="2"/>
    <n v="65.2"/>
    <x v="1327"/>
    <x v="61"/>
    <d v="2025-03-04T00:00:00"/>
    <x v="2"/>
    <x v="2"/>
    <x v="2"/>
    <s v="California"/>
    <s v="San Joaquin County"/>
    <x v="3"/>
    <x v="9"/>
    <x v="2"/>
  </r>
  <r>
    <x v="1667"/>
    <x v="8"/>
    <x v="11"/>
    <n v="65.5"/>
    <x v="1328"/>
    <x v="61"/>
    <d v="2025-03-06T00:00:00"/>
    <x v="2"/>
    <x v="0"/>
    <x v="2"/>
    <s v="California"/>
    <s v="San Mateo County"/>
    <x v="2"/>
    <x v="9"/>
    <x v="2"/>
  </r>
  <r>
    <x v="1668"/>
    <x v="6"/>
    <x v="2"/>
    <n v="52.8"/>
    <x v="1329"/>
    <x v="61"/>
    <d v="2025-03-06T00:00:00"/>
    <x v="1"/>
    <x v="2"/>
    <x v="0"/>
    <s v="California"/>
    <s v="San Mateo County"/>
    <x v="2"/>
    <x v="9"/>
    <x v="1"/>
  </r>
  <r>
    <x v="1669"/>
    <x v="9"/>
    <x v="9"/>
    <n v="24"/>
    <x v="160"/>
    <x v="61"/>
    <d v="2025-03-07T00:00:00"/>
    <x v="1"/>
    <x v="0"/>
    <x v="1"/>
    <s v="California"/>
    <s v="Santa Clara County"/>
    <x v="5"/>
    <x v="9"/>
    <x v="1"/>
  </r>
  <r>
    <x v="1670"/>
    <x v="3"/>
    <x v="2"/>
    <n v="51.2"/>
    <x v="1330"/>
    <x v="61"/>
    <d v="2025-03-04T00:00:00"/>
    <x v="2"/>
    <x v="0"/>
    <x v="0"/>
    <s v="California"/>
    <s v="Santa Cruz County"/>
    <x v="3"/>
    <x v="9"/>
    <x v="2"/>
  </r>
  <r>
    <x v="1671"/>
    <x v="5"/>
    <x v="2"/>
    <n v="28.3"/>
    <x v="1331"/>
    <x v="61"/>
    <d v="2025-03-05T00:00:00"/>
    <x v="1"/>
    <x v="4"/>
    <x v="0"/>
    <s v="California"/>
    <s v="Stanislaus County"/>
    <x v="1"/>
    <x v="9"/>
    <x v="1"/>
  </r>
  <r>
    <x v="1672"/>
    <x v="6"/>
    <x v="2"/>
    <n v="42.3"/>
    <x v="1332"/>
    <x v="61"/>
    <d v="2025-03-03T00:00:00"/>
    <x v="2"/>
    <x v="2"/>
    <x v="1"/>
    <s v="California"/>
    <s v="Stanislaus County"/>
    <x v="7"/>
    <x v="9"/>
    <x v="2"/>
  </r>
  <r>
    <x v="1673"/>
    <x v="2"/>
    <x v="8"/>
    <n v="163.30000000000001"/>
    <x v="1333"/>
    <x v="62"/>
    <d v="2025-03-05T00:00:00"/>
    <x v="2"/>
    <x v="1"/>
    <x v="0"/>
    <s v="California"/>
    <s v="Ventura County"/>
    <x v="3"/>
    <x v="9"/>
    <x v="2"/>
  </r>
  <r>
    <x v="1674"/>
    <x v="6"/>
    <x v="3"/>
    <n v="47.3"/>
    <x v="1334"/>
    <x v="62"/>
    <d v="2025-03-07T00:00:00"/>
    <x v="2"/>
    <x v="4"/>
    <x v="1"/>
    <s v="California"/>
    <s v="Alameda County"/>
    <x v="2"/>
    <x v="9"/>
    <x v="2"/>
  </r>
  <r>
    <x v="1675"/>
    <x v="8"/>
    <x v="27"/>
    <n v="27.3"/>
    <x v="1335"/>
    <x v="62"/>
    <d v="2025-03-05T00:00:00"/>
    <x v="2"/>
    <x v="2"/>
    <x v="0"/>
    <s v="California"/>
    <s v="Alameda County"/>
    <x v="3"/>
    <x v="9"/>
    <x v="2"/>
  </r>
  <r>
    <x v="1676"/>
    <x v="10"/>
    <x v="13"/>
    <n v="34.9"/>
    <x v="1336"/>
    <x v="62"/>
    <d v="2025-03-15T00:00:00"/>
    <x v="2"/>
    <x v="0"/>
    <x v="0"/>
    <s v="California"/>
    <s v="Alameda County"/>
    <x v="11"/>
    <x v="9"/>
    <x v="2"/>
  </r>
  <r>
    <x v="1677"/>
    <x v="6"/>
    <x v="1"/>
    <n v="53.9"/>
    <x v="215"/>
    <x v="62"/>
    <d v="2025-03-07T00:00:00"/>
    <x v="3"/>
    <x v="0"/>
    <x v="4"/>
    <s v="California"/>
    <s v="Contra Costa County"/>
    <x v="2"/>
    <x v="9"/>
    <x v="3"/>
  </r>
  <r>
    <x v="1678"/>
    <x v="2"/>
    <x v="1"/>
    <n v="87.2"/>
    <x v="1337"/>
    <x v="62"/>
    <d v="2025-03-05T00:00:00"/>
    <x v="2"/>
    <x v="0"/>
    <x v="1"/>
    <s v="California"/>
    <s v="Contra Costa County"/>
    <x v="3"/>
    <x v="9"/>
    <x v="2"/>
  </r>
  <r>
    <x v="1679"/>
    <x v="15"/>
    <x v="0"/>
    <n v="58.8"/>
    <x v="572"/>
    <x v="62"/>
    <d v="2025-03-06T00:00:00"/>
    <x v="2"/>
    <x v="2"/>
    <x v="0"/>
    <s v="California"/>
    <s v="Humboldt County"/>
    <x v="1"/>
    <x v="9"/>
    <x v="2"/>
  </r>
  <r>
    <x v="1680"/>
    <x v="2"/>
    <x v="3"/>
    <n v="125.5"/>
    <x v="1338"/>
    <x v="62"/>
    <d v="2025-03-05T00:00:00"/>
    <x v="1"/>
    <x v="2"/>
    <x v="4"/>
    <s v="California"/>
    <s v="Kern County"/>
    <x v="3"/>
    <x v="9"/>
    <x v="1"/>
  </r>
  <r>
    <x v="1681"/>
    <x v="1"/>
    <x v="12"/>
    <n v="124.6"/>
    <x v="1339"/>
    <x v="62"/>
    <d v="2025-03-06T00:00:00"/>
    <x v="2"/>
    <x v="0"/>
    <x v="1"/>
    <s v="California"/>
    <s v="Kern County"/>
    <x v="1"/>
    <x v="9"/>
    <x v="2"/>
  </r>
  <r>
    <x v="1682"/>
    <x v="1"/>
    <x v="3"/>
    <n v="39.9"/>
    <x v="1340"/>
    <x v="62"/>
    <d v="2025-03-05T00:00:00"/>
    <x v="1"/>
    <x v="2"/>
    <x v="1"/>
    <s v="California"/>
    <s v="Los Angeles County"/>
    <x v="3"/>
    <x v="9"/>
    <x v="1"/>
  </r>
  <r>
    <x v="1683"/>
    <x v="6"/>
    <x v="0"/>
    <n v="94.6"/>
    <x v="422"/>
    <x v="62"/>
    <d v="2025-03-18T00:00:00"/>
    <x v="2"/>
    <x v="0"/>
    <x v="1"/>
    <s v="California"/>
    <s v="Los Angeles County"/>
    <x v="12"/>
    <x v="9"/>
    <x v="2"/>
  </r>
  <r>
    <x v="1684"/>
    <x v="2"/>
    <x v="1"/>
    <n v="149.6"/>
    <x v="1341"/>
    <x v="62"/>
    <d v="2025-03-05T00:00:00"/>
    <x v="2"/>
    <x v="0"/>
    <x v="0"/>
    <s v="California"/>
    <s v="Los Angeles County"/>
    <x v="3"/>
    <x v="9"/>
    <x v="2"/>
  </r>
  <r>
    <x v="1685"/>
    <x v="8"/>
    <x v="0"/>
    <n v="52.2"/>
    <x v="1342"/>
    <x v="62"/>
    <d v="2025-03-05T00:00:00"/>
    <x v="0"/>
    <x v="1"/>
    <x v="0"/>
    <s v="California"/>
    <s v="Los Angeles County"/>
    <x v="3"/>
    <x v="9"/>
    <x v="0"/>
  </r>
  <r>
    <x v="1686"/>
    <x v="6"/>
    <x v="1"/>
    <n v="96.5"/>
    <x v="1343"/>
    <x v="62"/>
    <d v="2025-03-05T00:00:00"/>
    <x v="2"/>
    <x v="1"/>
    <x v="1"/>
    <s v="California"/>
    <s v="Los Angeles County"/>
    <x v="3"/>
    <x v="9"/>
    <x v="2"/>
  </r>
  <r>
    <x v="1687"/>
    <x v="8"/>
    <x v="1"/>
    <n v="79.8"/>
    <x v="1344"/>
    <x v="62"/>
    <d v="2025-03-06T00:00:00"/>
    <x v="2"/>
    <x v="0"/>
    <x v="1"/>
    <s v="California"/>
    <s v="Los Angeles County"/>
    <x v="1"/>
    <x v="9"/>
    <x v="2"/>
  </r>
  <r>
    <x v="1688"/>
    <x v="8"/>
    <x v="2"/>
    <n v="35.6"/>
    <x v="694"/>
    <x v="62"/>
    <d v="2025-03-05T00:00:00"/>
    <x v="2"/>
    <x v="2"/>
    <x v="0"/>
    <s v="California"/>
    <s v="Los Angeles County"/>
    <x v="3"/>
    <x v="9"/>
    <x v="2"/>
  </r>
  <r>
    <x v="1689"/>
    <x v="16"/>
    <x v="0"/>
    <n v="50.2"/>
    <x v="486"/>
    <x v="62"/>
    <d v="2025-03-05T00:00:00"/>
    <x v="2"/>
    <x v="1"/>
    <x v="2"/>
    <s v="California"/>
    <s v="Los Angeles County"/>
    <x v="3"/>
    <x v="9"/>
    <x v="2"/>
  </r>
  <r>
    <x v="1690"/>
    <x v="1"/>
    <x v="2"/>
    <n v="55.3"/>
    <x v="1345"/>
    <x v="62"/>
    <d v="2025-03-07T00:00:00"/>
    <x v="2"/>
    <x v="0"/>
    <x v="4"/>
    <s v="California"/>
    <s v="Mariposa County"/>
    <x v="2"/>
    <x v="9"/>
    <x v="2"/>
  </r>
  <r>
    <x v="1691"/>
    <x v="6"/>
    <x v="3"/>
    <n v="104.5"/>
    <x v="1346"/>
    <x v="62"/>
    <d v="2025-03-08T00:00:00"/>
    <x v="2"/>
    <x v="1"/>
    <x v="0"/>
    <s v="California"/>
    <s v="San Bernardino County"/>
    <x v="5"/>
    <x v="9"/>
    <x v="2"/>
  </r>
  <r>
    <x v="1692"/>
    <x v="6"/>
    <x v="12"/>
    <n v="66.5"/>
    <x v="751"/>
    <x v="62"/>
    <d v="2025-03-06T00:00:00"/>
    <x v="1"/>
    <x v="1"/>
    <x v="0"/>
    <s v="California"/>
    <s v="San Bernardino County"/>
    <x v="1"/>
    <x v="9"/>
    <x v="1"/>
  </r>
  <r>
    <x v="1693"/>
    <x v="10"/>
    <x v="8"/>
    <n v="38.299999999999997"/>
    <x v="1347"/>
    <x v="62"/>
    <d v="2025-03-05T00:00:00"/>
    <x v="2"/>
    <x v="0"/>
    <x v="0"/>
    <s v="California"/>
    <s v="San Bernardino County"/>
    <x v="3"/>
    <x v="9"/>
    <x v="2"/>
  </r>
  <r>
    <x v="1694"/>
    <x v="6"/>
    <x v="2"/>
    <n v="63.8"/>
    <x v="1348"/>
    <x v="62"/>
    <d v="2025-03-07T00:00:00"/>
    <x v="2"/>
    <x v="1"/>
    <x v="0"/>
    <s v="California"/>
    <s v="San Diego County"/>
    <x v="2"/>
    <x v="9"/>
    <x v="2"/>
  </r>
  <r>
    <x v="1695"/>
    <x v="15"/>
    <x v="0"/>
    <n v="21.4"/>
    <x v="1349"/>
    <x v="62"/>
    <d v="2025-03-04T00:00:00"/>
    <x v="1"/>
    <x v="4"/>
    <x v="0"/>
    <s v="California"/>
    <s v="San Diego County"/>
    <x v="7"/>
    <x v="9"/>
    <x v="1"/>
  </r>
  <r>
    <x v="1696"/>
    <x v="8"/>
    <x v="12"/>
    <n v="44.1"/>
    <x v="1350"/>
    <x v="62"/>
    <d v="2025-03-06T00:00:00"/>
    <x v="2"/>
    <x v="2"/>
    <x v="0"/>
    <s v="California"/>
    <s v="San Diego County"/>
    <x v="1"/>
    <x v="9"/>
    <x v="2"/>
  </r>
  <r>
    <x v="1697"/>
    <x v="5"/>
    <x v="8"/>
    <n v="57.6"/>
    <x v="1351"/>
    <x v="62"/>
    <d v="2025-03-06T00:00:00"/>
    <x v="1"/>
    <x v="1"/>
    <x v="2"/>
    <s v="California"/>
    <s v="San Diego County"/>
    <x v="1"/>
    <x v="9"/>
    <x v="1"/>
  </r>
  <r>
    <x v="1698"/>
    <x v="9"/>
    <x v="1"/>
    <n v="20.3"/>
    <x v="1352"/>
    <x v="62"/>
    <d v="2025-03-10T00:00:00"/>
    <x v="2"/>
    <x v="3"/>
    <x v="0"/>
    <s v="California"/>
    <s v="San Diego County"/>
    <x v="4"/>
    <x v="9"/>
    <x v="2"/>
  </r>
  <r>
    <x v="1699"/>
    <x v="8"/>
    <x v="0"/>
    <n v="22.9"/>
    <x v="1246"/>
    <x v="62"/>
    <d v="2025-03-06T00:00:00"/>
    <x v="2"/>
    <x v="2"/>
    <x v="2"/>
    <s v="California"/>
    <s v="San Diego County"/>
    <x v="1"/>
    <x v="9"/>
    <x v="2"/>
  </r>
  <r>
    <x v="1700"/>
    <x v="6"/>
    <x v="12"/>
    <n v="105.9"/>
    <x v="1353"/>
    <x v="62"/>
    <d v="2025-03-05T00:00:00"/>
    <x v="2"/>
    <x v="1"/>
    <x v="2"/>
    <s v="California"/>
    <s v="San Francisco"/>
    <x v="3"/>
    <x v="9"/>
    <x v="2"/>
  </r>
  <r>
    <x v="1701"/>
    <x v="1"/>
    <x v="11"/>
    <n v="37.4"/>
    <x v="1354"/>
    <x v="62"/>
    <d v="2025-03-08T00:00:00"/>
    <x v="1"/>
    <x v="1"/>
    <x v="0"/>
    <s v="California"/>
    <s v="Santa Clara County"/>
    <x v="5"/>
    <x v="9"/>
    <x v="1"/>
  </r>
  <r>
    <x v="1702"/>
    <x v="18"/>
    <x v="1"/>
    <n v="79"/>
    <x v="1355"/>
    <x v="62"/>
    <d v="2025-03-05T00:00:00"/>
    <x v="1"/>
    <x v="2"/>
    <x v="0"/>
    <s v="California"/>
    <s v="Yolo County"/>
    <x v="3"/>
    <x v="9"/>
    <x v="1"/>
  </r>
  <r>
    <x v="1703"/>
    <x v="0"/>
    <x v="2"/>
    <n v="19.3"/>
    <x v="1356"/>
    <x v="62"/>
    <d v="2025-03-05T00:00:00"/>
    <x v="2"/>
    <x v="4"/>
    <x v="0"/>
    <s v="California"/>
    <s v="Alameda County"/>
    <x v="3"/>
    <x v="9"/>
    <x v="2"/>
  </r>
  <r>
    <x v="1704"/>
    <x v="0"/>
    <x v="0"/>
    <n v="24"/>
    <x v="835"/>
    <x v="62"/>
    <d v="2025-03-05T00:00:00"/>
    <x v="2"/>
    <x v="1"/>
    <x v="0"/>
    <s v="California"/>
    <s v="Contra Costa County"/>
    <x v="3"/>
    <x v="9"/>
    <x v="2"/>
  </r>
  <r>
    <x v="1705"/>
    <x v="6"/>
    <x v="9"/>
    <n v="71.3"/>
    <x v="1357"/>
    <x v="62"/>
    <d v="2025-03-07T00:00:00"/>
    <x v="2"/>
    <x v="2"/>
    <x v="0"/>
    <s v="California"/>
    <s v="Fresno County"/>
    <x v="2"/>
    <x v="9"/>
    <x v="2"/>
  </r>
  <r>
    <x v="1706"/>
    <x v="5"/>
    <x v="1"/>
    <n v="166.2"/>
    <x v="1358"/>
    <x v="62"/>
    <d v="2025-03-05T00:00:00"/>
    <x v="1"/>
    <x v="0"/>
    <x v="2"/>
    <s v="California"/>
    <s v="Lake County"/>
    <x v="3"/>
    <x v="9"/>
    <x v="1"/>
  </r>
  <r>
    <x v="1707"/>
    <x v="6"/>
    <x v="0"/>
    <n v="81"/>
    <x v="969"/>
    <x v="62"/>
    <d v="2025-03-05T00:00:00"/>
    <x v="2"/>
    <x v="2"/>
    <x v="1"/>
    <s v="California"/>
    <s v="Los Angeles County"/>
    <x v="3"/>
    <x v="9"/>
    <x v="2"/>
  </r>
  <r>
    <x v="1708"/>
    <x v="10"/>
    <x v="13"/>
    <n v="38.5"/>
    <x v="1359"/>
    <x v="62"/>
    <d v="2025-03-08T00:00:00"/>
    <x v="2"/>
    <x v="0"/>
    <x v="0"/>
    <s v="California"/>
    <s v="Los Angeles County"/>
    <x v="5"/>
    <x v="9"/>
    <x v="2"/>
  </r>
  <r>
    <x v="1709"/>
    <x v="6"/>
    <x v="0"/>
    <n v="86.1"/>
    <x v="1360"/>
    <x v="62"/>
    <d v="2025-03-06T00:00:00"/>
    <x v="2"/>
    <x v="3"/>
    <x v="0"/>
    <s v="California"/>
    <s v="Los Angeles County"/>
    <x v="1"/>
    <x v="9"/>
    <x v="2"/>
  </r>
  <r>
    <x v="1710"/>
    <x v="2"/>
    <x v="9"/>
    <n v="51"/>
    <x v="951"/>
    <x v="62"/>
    <d v="2025-03-05T00:00:00"/>
    <x v="1"/>
    <x v="0"/>
    <x v="1"/>
    <s v="California"/>
    <s v="Los Angeles County"/>
    <x v="3"/>
    <x v="9"/>
    <x v="1"/>
  </r>
  <r>
    <x v="1711"/>
    <x v="3"/>
    <x v="9"/>
    <n v="115.4"/>
    <x v="1361"/>
    <x v="62"/>
    <d v="2025-03-05T00:00:00"/>
    <x v="1"/>
    <x v="0"/>
    <x v="0"/>
    <s v="California"/>
    <s v="Los Angeles County"/>
    <x v="3"/>
    <x v="9"/>
    <x v="1"/>
  </r>
  <r>
    <x v="1712"/>
    <x v="6"/>
    <x v="12"/>
    <n v="176.5"/>
    <x v="1362"/>
    <x v="62"/>
    <d v="2025-03-05T00:00:00"/>
    <x v="2"/>
    <x v="2"/>
    <x v="2"/>
    <s v="California"/>
    <s v="Los Angeles County"/>
    <x v="3"/>
    <x v="9"/>
    <x v="2"/>
  </r>
  <r>
    <x v="1713"/>
    <x v="7"/>
    <x v="2"/>
    <n v="48.9"/>
    <x v="1363"/>
    <x v="62"/>
    <d v="2025-03-05T00:00:00"/>
    <x v="1"/>
    <x v="4"/>
    <x v="0"/>
    <s v="California"/>
    <s v="Los Angeles County"/>
    <x v="3"/>
    <x v="9"/>
    <x v="1"/>
  </r>
  <r>
    <x v="1714"/>
    <x v="8"/>
    <x v="2"/>
    <n v="18.100000000000001"/>
    <x v="1364"/>
    <x v="62"/>
    <d v="2025-03-11T00:00:00"/>
    <x v="2"/>
    <x v="1"/>
    <x v="2"/>
    <s v="California"/>
    <s v="Mendocino County"/>
    <x v="6"/>
    <x v="9"/>
    <x v="2"/>
  </r>
  <r>
    <x v="1715"/>
    <x v="2"/>
    <x v="1"/>
    <n v="118.5"/>
    <x v="1365"/>
    <x v="62"/>
    <d v="2025-03-07T00:00:00"/>
    <x v="1"/>
    <x v="1"/>
    <x v="2"/>
    <s v="California"/>
    <s v="Napa County"/>
    <x v="2"/>
    <x v="9"/>
    <x v="1"/>
  </r>
  <r>
    <x v="1716"/>
    <x v="15"/>
    <x v="3"/>
    <n v="59.1"/>
    <x v="1366"/>
    <x v="62"/>
    <d v="2025-03-05T00:00:00"/>
    <x v="2"/>
    <x v="3"/>
    <x v="0"/>
    <s v="California"/>
    <s v="Orange County"/>
    <x v="3"/>
    <x v="9"/>
    <x v="2"/>
  </r>
  <r>
    <x v="1717"/>
    <x v="4"/>
    <x v="0"/>
    <n v="21.2"/>
    <x v="333"/>
    <x v="62"/>
    <d v="2025-03-05T00:00:00"/>
    <x v="2"/>
    <x v="0"/>
    <x v="1"/>
    <s v="California"/>
    <s v="Sacramento County"/>
    <x v="3"/>
    <x v="9"/>
    <x v="2"/>
  </r>
  <r>
    <x v="1718"/>
    <x v="6"/>
    <x v="1"/>
    <n v="68.8"/>
    <x v="1367"/>
    <x v="62"/>
    <d v="2025-03-09T00:00:00"/>
    <x v="2"/>
    <x v="3"/>
    <x v="2"/>
    <s v="California"/>
    <s v="Sacramento County"/>
    <x v="0"/>
    <x v="9"/>
    <x v="2"/>
  </r>
  <r>
    <x v="1719"/>
    <x v="6"/>
    <x v="1"/>
    <n v="65.400000000000006"/>
    <x v="1272"/>
    <x v="62"/>
    <d v="2025-03-08T00:00:00"/>
    <x v="2"/>
    <x v="0"/>
    <x v="0"/>
    <s v="California"/>
    <s v="Sacramento County"/>
    <x v="5"/>
    <x v="9"/>
    <x v="2"/>
  </r>
  <r>
    <x v="1720"/>
    <x v="12"/>
    <x v="9"/>
    <n v="66.3"/>
    <x v="1278"/>
    <x v="63"/>
    <d v="2025-03-08T00:00:00"/>
    <x v="2"/>
    <x v="4"/>
    <x v="0"/>
    <s v="California"/>
    <s v="Sacramento County"/>
    <x v="2"/>
    <x v="9"/>
    <x v="2"/>
  </r>
  <r>
    <x v="1721"/>
    <x v="6"/>
    <x v="2"/>
    <n v="97.5"/>
    <x v="1368"/>
    <x v="63"/>
    <d v="2025-03-05T00:00:00"/>
    <x v="1"/>
    <x v="3"/>
    <x v="0"/>
    <s v="California"/>
    <s v="San Diego County"/>
    <x v="7"/>
    <x v="9"/>
    <x v="1"/>
  </r>
  <r>
    <x v="1722"/>
    <x v="1"/>
    <x v="1"/>
    <n v="44"/>
    <x v="1155"/>
    <x v="63"/>
    <d v="2025-03-08T00:00:00"/>
    <x v="2"/>
    <x v="1"/>
    <x v="2"/>
    <s v="California"/>
    <s v="San Diego County"/>
    <x v="2"/>
    <x v="9"/>
    <x v="2"/>
  </r>
  <r>
    <x v="1723"/>
    <x v="0"/>
    <x v="0"/>
    <n v="21.9"/>
    <x v="731"/>
    <x v="63"/>
    <d v="2025-03-06T00:00:00"/>
    <x v="1"/>
    <x v="0"/>
    <x v="0"/>
    <s v="California"/>
    <s v="San Diego County"/>
    <x v="3"/>
    <x v="9"/>
    <x v="1"/>
  </r>
  <r>
    <x v="1724"/>
    <x v="4"/>
    <x v="3"/>
    <n v="21.5"/>
    <x v="379"/>
    <x v="63"/>
    <d v="2025-03-07T00:00:00"/>
    <x v="2"/>
    <x v="1"/>
    <x v="2"/>
    <s v="California"/>
    <s v="San Mateo County"/>
    <x v="1"/>
    <x v="9"/>
    <x v="2"/>
  </r>
  <r>
    <x v="1725"/>
    <x v="12"/>
    <x v="13"/>
    <n v="133"/>
    <x v="1369"/>
    <x v="63"/>
    <d v="2025-03-06T00:00:00"/>
    <x v="3"/>
    <x v="0"/>
    <x v="2"/>
    <s v="California"/>
    <s v="Santa Barbara County"/>
    <x v="3"/>
    <x v="9"/>
    <x v="3"/>
  </r>
  <r>
    <x v="1726"/>
    <x v="8"/>
    <x v="1"/>
    <n v="47.7"/>
    <x v="233"/>
    <x v="63"/>
    <d v="2025-03-09T00:00:00"/>
    <x v="1"/>
    <x v="0"/>
    <x v="2"/>
    <s v="California"/>
    <s v="Santa Barbara County"/>
    <x v="5"/>
    <x v="9"/>
    <x v="1"/>
  </r>
  <r>
    <x v="1727"/>
    <x v="16"/>
    <x v="2"/>
    <n v="58.1"/>
    <x v="889"/>
    <x v="63"/>
    <d v="2025-03-06T00:00:00"/>
    <x v="2"/>
    <x v="0"/>
    <x v="0"/>
    <s v="California"/>
    <s v="Santa Clara County"/>
    <x v="3"/>
    <x v="9"/>
    <x v="2"/>
  </r>
  <r>
    <x v="1728"/>
    <x v="12"/>
    <x v="12"/>
    <n v="66.599999999999994"/>
    <x v="1370"/>
    <x v="63"/>
    <d v="2025-03-06T00:00:00"/>
    <x v="0"/>
    <x v="0"/>
    <x v="0"/>
    <s v="California"/>
    <s v="Santa Clara County"/>
    <x v="3"/>
    <x v="9"/>
    <x v="0"/>
  </r>
  <r>
    <x v="1729"/>
    <x v="9"/>
    <x v="0"/>
    <n v="24.1"/>
    <x v="1057"/>
    <x v="63"/>
    <d v="2025-03-08T00:00:00"/>
    <x v="1"/>
    <x v="2"/>
    <x v="1"/>
    <s v="California"/>
    <s v="Stanislaus County"/>
    <x v="2"/>
    <x v="9"/>
    <x v="1"/>
  </r>
  <r>
    <x v="1730"/>
    <x v="10"/>
    <x v="9"/>
    <n v="51.5"/>
    <x v="1371"/>
    <x v="63"/>
    <d v="2025-03-10T00:00:00"/>
    <x v="2"/>
    <x v="0"/>
    <x v="0"/>
    <s v="California"/>
    <s v="Ventura County"/>
    <x v="0"/>
    <x v="9"/>
    <x v="2"/>
  </r>
  <r>
    <x v="1731"/>
    <x v="0"/>
    <x v="5"/>
    <n v="25.8"/>
    <x v="674"/>
    <x v="63"/>
    <d v="2025-03-09T00:00:00"/>
    <x v="2"/>
    <x v="3"/>
    <x v="4"/>
    <s v="California"/>
    <s v="Alameda County"/>
    <x v="5"/>
    <x v="9"/>
    <x v="2"/>
  </r>
  <r>
    <x v="1732"/>
    <x v="9"/>
    <x v="12"/>
    <n v="47.7"/>
    <x v="1372"/>
    <x v="63"/>
    <d v="2025-03-05T00:00:00"/>
    <x v="2"/>
    <x v="0"/>
    <x v="1"/>
    <s v="California"/>
    <s v="Alameda County"/>
    <x v="7"/>
    <x v="9"/>
    <x v="2"/>
  </r>
  <r>
    <x v="1733"/>
    <x v="7"/>
    <x v="9"/>
    <n v="73.599999999999994"/>
    <x v="1373"/>
    <x v="63"/>
    <d v="2025-03-09T00:00:00"/>
    <x v="1"/>
    <x v="1"/>
    <x v="0"/>
    <s v="California"/>
    <s v="Alameda County"/>
    <x v="5"/>
    <x v="9"/>
    <x v="1"/>
  </r>
  <r>
    <x v="1734"/>
    <x v="5"/>
    <x v="3"/>
    <n v="91.2"/>
    <x v="1374"/>
    <x v="63"/>
    <d v="2025-03-06T00:00:00"/>
    <x v="1"/>
    <x v="1"/>
    <x v="2"/>
    <s v="California"/>
    <s v="Alameda County"/>
    <x v="3"/>
    <x v="9"/>
    <x v="1"/>
  </r>
  <r>
    <x v="1735"/>
    <x v="1"/>
    <x v="8"/>
    <n v="36.200000000000003"/>
    <x v="1375"/>
    <x v="63"/>
    <d v="2025-03-05T00:00:00"/>
    <x v="1"/>
    <x v="2"/>
    <x v="2"/>
    <s v="California"/>
    <s v="Contra Costa County"/>
    <x v="7"/>
    <x v="9"/>
    <x v="1"/>
  </r>
  <r>
    <x v="1736"/>
    <x v="9"/>
    <x v="8"/>
    <n v="98"/>
    <x v="1376"/>
    <x v="63"/>
    <d v="2025-03-09T00:00:00"/>
    <x v="2"/>
    <x v="2"/>
    <x v="0"/>
    <s v="California"/>
    <s v="Fresno County"/>
    <x v="5"/>
    <x v="9"/>
    <x v="2"/>
  </r>
  <r>
    <x v="1737"/>
    <x v="1"/>
    <x v="8"/>
    <n v="43.6"/>
    <x v="1377"/>
    <x v="63"/>
    <d v="2025-03-06T00:00:00"/>
    <x v="2"/>
    <x v="2"/>
    <x v="0"/>
    <s v="California"/>
    <s v="Kern County"/>
    <x v="3"/>
    <x v="9"/>
    <x v="2"/>
  </r>
  <r>
    <x v="1738"/>
    <x v="8"/>
    <x v="7"/>
    <n v="37.799999999999997"/>
    <x v="1378"/>
    <x v="63"/>
    <d v="2025-03-05T00:00:00"/>
    <x v="3"/>
    <x v="0"/>
    <x v="0"/>
    <s v="California"/>
    <s v="Lake County"/>
    <x v="7"/>
    <x v="9"/>
    <x v="3"/>
  </r>
  <r>
    <x v="1739"/>
    <x v="17"/>
    <x v="9"/>
    <n v="63.7"/>
    <x v="46"/>
    <x v="63"/>
    <d v="2025-03-08T00:00:00"/>
    <x v="2"/>
    <x v="2"/>
    <x v="1"/>
    <s v="California"/>
    <s v="Los Angeles County"/>
    <x v="2"/>
    <x v="9"/>
    <x v="2"/>
  </r>
  <r>
    <x v="1740"/>
    <x v="5"/>
    <x v="11"/>
    <n v="62.9"/>
    <x v="1379"/>
    <x v="63"/>
    <d v="2025-03-10T00:00:00"/>
    <x v="1"/>
    <x v="3"/>
    <x v="2"/>
    <s v="California"/>
    <s v="Los Angeles County"/>
    <x v="0"/>
    <x v="9"/>
    <x v="1"/>
  </r>
  <r>
    <x v="1741"/>
    <x v="6"/>
    <x v="3"/>
    <n v="61.7"/>
    <x v="245"/>
    <x v="63"/>
    <d v="2025-03-08T00:00:00"/>
    <x v="2"/>
    <x v="2"/>
    <x v="2"/>
    <s v="California"/>
    <s v="Los Angeles County"/>
    <x v="2"/>
    <x v="9"/>
    <x v="2"/>
  </r>
  <r>
    <x v="1742"/>
    <x v="18"/>
    <x v="21"/>
    <n v="36.5"/>
    <x v="1380"/>
    <x v="63"/>
    <d v="2025-03-06T00:00:00"/>
    <x v="1"/>
    <x v="0"/>
    <x v="2"/>
    <s v="California"/>
    <s v="Los Angeles County"/>
    <x v="3"/>
    <x v="9"/>
    <x v="1"/>
  </r>
  <r>
    <x v="1743"/>
    <x v="11"/>
    <x v="2"/>
    <n v="98.6"/>
    <x v="1381"/>
    <x v="63"/>
    <d v="2025-03-08T00:00:00"/>
    <x v="3"/>
    <x v="0"/>
    <x v="4"/>
    <s v="California"/>
    <s v="Los Angeles County"/>
    <x v="2"/>
    <x v="9"/>
    <x v="3"/>
  </r>
  <r>
    <x v="1744"/>
    <x v="8"/>
    <x v="1"/>
    <n v="19.2"/>
    <x v="1139"/>
    <x v="63"/>
    <d v="2025-03-15T00:00:00"/>
    <x v="1"/>
    <x v="0"/>
    <x v="0"/>
    <s v="California"/>
    <s v="Los Angeles County"/>
    <x v="14"/>
    <x v="9"/>
    <x v="1"/>
  </r>
  <r>
    <x v="1745"/>
    <x v="3"/>
    <x v="13"/>
    <n v="55.6"/>
    <x v="335"/>
    <x v="63"/>
    <d v="2025-03-09T00:00:00"/>
    <x v="2"/>
    <x v="0"/>
    <x v="2"/>
    <s v="California"/>
    <s v="Los Angeles County"/>
    <x v="5"/>
    <x v="9"/>
    <x v="2"/>
  </r>
  <r>
    <x v="1746"/>
    <x v="5"/>
    <x v="13"/>
    <n v="56.4"/>
    <x v="1382"/>
    <x v="63"/>
    <d v="2025-03-06T00:00:00"/>
    <x v="2"/>
    <x v="1"/>
    <x v="0"/>
    <s v="California"/>
    <s v="Los Angeles County"/>
    <x v="3"/>
    <x v="9"/>
    <x v="2"/>
  </r>
  <r>
    <x v="1747"/>
    <x v="4"/>
    <x v="8"/>
    <n v="43.1"/>
    <x v="1383"/>
    <x v="63"/>
    <d v="2025-03-09T00:00:00"/>
    <x v="2"/>
    <x v="4"/>
    <x v="0"/>
    <s v="California"/>
    <s v="Los Angeles County"/>
    <x v="5"/>
    <x v="9"/>
    <x v="2"/>
  </r>
  <r>
    <x v="1748"/>
    <x v="1"/>
    <x v="1"/>
    <n v="77.3"/>
    <x v="1384"/>
    <x v="63"/>
    <d v="2025-03-07T00:00:00"/>
    <x v="1"/>
    <x v="0"/>
    <x v="0"/>
    <s v="California"/>
    <s v="Sacramento County"/>
    <x v="1"/>
    <x v="9"/>
    <x v="1"/>
  </r>
  <r>
    <x v="1749"/>
    <x v="9"/>
    <x v="8"/>
    <n v="38.299999999999997"/>
    <x v="1347"/>
    <x v="63"/>
    <d v="2025-03-06T00:00:00"/>
    <x v="1"/>
    <x v="0"/>
    <x v="0"/>
    <s v="California"/>
    <s v="San Bernardino County"/>
    <x v="3"/>
    <x v="9"/>
    <x v="1"/>
  </r>
  <r>
    <x v="1750"/>
    <x v="0"/>
    <x v="3"/>
    <n v="16.8"/>
    <x v="557"/>
    <x v="63"/>
    <d v="2025-03-08T00:00:00"/>
    <x v="1"/>
    <x v="2"/>
    <x v="1"/>
    <s v="California"/>
    <s v="San Diego County"/>
    <x v="2"/>
    <x v="9"/>
    <x v="1"/>
  </r>
  <r>
    <x v="1751"/>
    <x v="2"/>
    <x v="2"/>
    <n v="63.2"/>
    <x v="1385"/>
    <x v="63"/>
    <d v="2025-03-06T00:00:00"/>
    <x v="2"/>
    <x v="0"/>
    <x v="2"/>
    <s v="California"/>
    <s v="San Diego County"/>
    <x v="3"/>
    <x v="9"/>
    <x v="2"/>
  </r>
  <r>
    <x v="1752"/>
    <x v="14"/>
    <x v="44"/>
    <n v="39.700000000000003"/>
    <x v="1386"/>
    <x v="63"/>
    <d v="2025-03-06T00:00:00"/>
    <x v="1"/>
    <x v="0"/>
    <x v="0"/>
    <s v="California"/>
    <s v="San Diego County"/>
    <x v="3"/>
    <x v="9"/>
    <x v="1"/>
  </r>
  <r>
    <x v="1753"/>
    <x v="10"/>
    <x v="2"/>
    <n v="45.8"/>
    <x v="1387"/>
    <x v="63"/>
    <d v="2025-03-06T00:00:00"/>
    <x v="2"/>
    <x v="1"/>
    <x v="2"/>
    <s v="California"/>
    <s v="San Diego County"/>
    <x v="3"/>
    <x v="9"/>
    <x v="2"/>
  </r>
  <r>
    <x v="1754"/>
    <x v="0"/>
    <x v="13"/>
    <n v="12.4"/>
    <x v="610"/>
    <x v="63"/>
    <d v="2025-03-08T00:00:00"/>
    <x v="1"/>
    <x v="0"/>
    <x v="0"/>
    <s v="California"/>
    <s v="San Diego County"/>
    <x v="2"/>
    <x v="9"/>
    <x v="1"/>
  </r>
  <r>
    <x v="1755"/>
    <x v="14"/>
    <x v="2"/>
    <n v="50.8"/>
    <x v="1388"/>
    <x v="64"/>
    <d v="2025-03-06T00:00:00"/>
    <x v="2"/>
    <x v="4"/>
    <x v="0"/>
    <s v="California"/>
    <s v="San Francisco"/>
    <x v="7"/>
    <x v="9"/>
    <x v="2"/>
  </r>
  <r>
    <x v="1756"/>
    <x v="9"/>
    <x v="0"/>
    <n v="76"/>
    <x v="998"/>
    <x v="64"/>
    <d v="2025-03-10T00:00:00"/>
    <x v="3"/>
    <x v="2"/>
    <x v="2"/>
    <s v="California"/>
    <s v="San Francisco"/>
    <x v="5"/>
    <x v="9"/>
    <x v="3"/>
  </r>
  <r>
    <x v="1757"/>
    <x v="1"/>
    <x v="1"/>
    <n v="51.9"/>
    <x v="1389"/>
    <x v="64"/>
    <d v="2025-03-07T00:00:00"/>
    <x v="1"/>
    <x v="1"/>
    <x v="2"/>
    <s v="California"/>
    <s v="San Joaquin County"/>
    <x v="3"/>
    <x v="9"/>
    <x v="1"/>
  </r>
  <r>
    <x v="1758"/>
    <x v="2"/>
    <x v="1"/>
    <n v="93.4"/>
    <x v="1390"/>
    <x v="64"/>
    <d v="2025-03-13T00:00:00"/>
    <x v="1"/>
    <x v="0"/>
    <x v="3"/>
    <s v="California"/>
    <s v="Santa Clara County"/>
    <x v="6"/>
    <x v="9"/>
    <x v="1"/>
  </r>
  <r>
    <x v="1759"/>
    <x v="7"/>
    <x v="13"/>
    <n v="30.8"/>
    <x v="827"/>
    <x v="64"/>
    <d v="2025-03-09T00:00:00"/>
    <x v="2"/>
    <x v="1"/>
    <x v="0"/>
    <s v="California"/>
    <s v="Santa Clara County"/>
    <x v="2"/>
    <x v="9"/>
    <x v="2"/>
  </r>
  <r>
    <x v="1760"/>
    <x v="2"/>
    <x v="0"/>
    <n v="143.19999999999999"/>
    <x v="1391"/>
    <x v="64"/>
    <d v="2025-03-09T00:00:00"/>
    <x v="1"/>
    <x v="2"/>
    <x v="0"/>
    <s v="California"/>
    <s v="Santa Clara County"/>
    <x v="2"/>
    <x v="9"/>
    <x v="1"/>
  </r>
  <r>
    <x v="1761"/>
    <x v="6"/>
    <x v="5"/>
    <n v="40.4"/>
    <x v="1392"/>
    <x v="64"/>
    <d v="2025-03-08T00:00:00"/>
    <x v="1"/>
    <x v="2"/>
    <x v="2"/>
    <s v="California"/>
    <s v="Sonoma County"/>
    <x v="1"/>
    <x v="9"/>
    <x v="1"/>
  </r>
  <r>
    <x v="1762"/>
    <x v="2"/>
    <x v="10"/>
    <n v="131.5"/>
    <x v="1393"/>
    <x v="64"/>
    <d v="2025-03-08T00:00:00"/>
    <x v="1"/>
    <x v="1"/>
    <x v="1"/>
    <s v="California"/>
    <s v="Sonoma County"/>
    <x v="1"/>
    <x v="9"/>
    <x v="1"/>
  </r>
  <r>
    <x v="1763"/>
    <x v="18"/>
    <x v="3"/>
    <n v="61.6"/>
    <x v="348"/>
    <x v="64"/>
    <d v="2025-03-07T00:00:00"/>
    <x v="1"/>
    <x v="2"/>
    <x v="0"/>
    <s v="California"/>
    <s v="Alameda County"/>
    <x v="3"/>
    <x v="9"/>
    <x v="1"/>
  </r>
  <r>
    <x v="1764"/>
    <x v="9"/>
    <x v="9"/>
    <n v="32.700000000000003"/>
    <x v="838"/>
    <x v="64"/>
    <d v="2025-03-08T00:00:00"/>
    <x v="1"/>
    <x v="2"/>
    <x v="0"/>
    <s v="California"/>
    <s v="Contra Costa County"/>
    <x v="1"/>
    <x v="9"/>
    <x v="1"/>
  </r>
  <r>
    <x v="1765"/>
    <x v="0"/>
    <x v="7"/>
    <n v="13.7"/>
    <x v="383"/>
    <x v="64"/>
    <d v="2025-03-07T00:00:00"/>
    <x v="1"/>
    <x v="0"/>
    <x v="2"/>
    <s v="California"/>
    <s v="Los Angeles County"/>
    <x v="3"/>
    <x v="9"/>
    <x v="1"/>
  </r>
  <r>
    <x v="1766"/>
    <x v="0"/>
    <x v="12"/>
    <n v="32.1"/>
    <x v="58"/>
    <x v="64"/>
    <d v="2025-03-07T00:00:00"/>
    <x v="1"/>
    <x v="4"/>
    <x v="1"/>
    <s v="California"/>
    <s v="Los Angeles County"/>
    <x v="3"/>
    <x v="9"/>
    <x v="1"/>
  </r>
  <r>
    <x v="1767"/>
    <x v="14"/>
    <x v="8"/>
    <n v="12"/>
    <x v="854"/>
    <x v="64"/>
    <d v="2025-03-07T00:00:00"/>
    <x v="1"/>
    <x v="1"/>
    <x v="0"/>
    <s v="California"/>
    <s v="Merced County"/>
    <x v="3"/>
    <x v="9"/>
    <x v="1"/>
  </r>
  <r>
    <x v="1768"/>
    <x v="12"/>
    <x v="0"/>
    <n v="64.3"/>
    <x v="1394"/>
    <x v="64"/>
    <d v="2025-03-08T00:00:00"/>
    <x v="2"/>
    <x v="2"/>
    <x v="2"/>
    <s v="California"/>
    <s v="Sacramento County"/>
    <x v="1"/>
    <x v="9"/>
    <x v="2"/>
  </r>
  <r>
    <x v="1769"/>
    <x v="1"/>
    <x v="2"/>
    <n v="58.2"/>
    <x v="1395"/>
    <x v="64"/>
    <d v="2025-03-08T00:00:00"/>
    <x v="2"/>
    <x v="1"/>
    <x v="2"/>
    <s v="California"/>
    <s v="Sacramento County"/>
    <x v="1"/>
    <x v="9"/>
    <x v="2"/>
  </r>
  <r>
    <x v="1770"/>
    <x v="6"/>
    <x v="12"/>
    <n v="59.2"/>
    <x v="1396"/>
    <x v="64"/>
    <d v="2025-03-06T00:00:00"/>
    <x v="1"/>
    <x v="1"/>
    <x v="2"/>
    <s v="California"/>
    <s v="Sacramento County"/>
    <x v="7"/>
    <x v="9"/>
    <x v="1"/>
  </r>
  <r>
    <x v="1771"/>
    <x v="10"/>
    <x v="5"/>
    <n v="35.6"/>
    <x v="590"/>
    <x v="64"/>
    <d v="2025-03-13T00:00:00"/>
    <x v="1"/>
    <x v="0"/>
    <x v="2"/>
    <s v="California"/>
    <s v="San Diego County"/>
    <x v="6"/>
    <x v="9"/>
    <x v="1"/>
  </r>
  <r>
    <x v="1772"/>
    <x v="16"/>
    <x v="8"/>
    <n v="37"/>
    <x v="1397"/>
    <x v="64"/>
    <d v="2025-03-10T00:00:00"/>
    <x v="2"/>
    <x v="2"/>
    <x v="1"/>
    <s v="California"/>
    <s v="San Diego County"/>
    <x v="5"/>
    <x v="9"/>
    <x v="2"/>
  </r>
  <r>
    <x v="1773"/>
    <x v="1"/>
    <x v="15"/>
    <n v="80.8"/>
    <x v="1398"/>
    <x v="64"/>
    <d v="2025-03-08T00:00:00"/>
    <x v="2"/>
    <x v="0"/>
    <x v="0"/>
    <s v="California"/>
    <s v="San Diego County"/>
    <x v="1"/>
    <x v="9"/>
    <x v="2"/>
  </r>
  <r>
    <x v="1774"/>
    <x v="8"/>
    <x v="1"/>
    <n v="63.2"/>
    <x v="628"/>
    <x v="64"/>
    <d v="2025-03-07T00:00:00"/>
    <x v="1"/>
    <x v="0"/>
    <x v="1"/>
    <s v="California"/>
    <s v="San Diego County"/>
    <x v="3"/>
    <x v="9"/>
    <x v="1"/>
  </r>
  <r>
    <x v="1775"/>
    <x v="3"/>
    <x v="1"/>
    <n v="40.799999999999997"/>
    <x v="330"/>
    <x v="64"/>
    <d v="2025-03-08T00:00:00"/>
    <x v="1"/>
    <x v="0"/>
    <x v="1"/>
    <s v="California"/>
    <s v="San Francisco"/>
    <x v="1"/>
    <x v="9"/>
    <x v="1"/>
  </r>
  <r>
    <x v="1776"/>
    <x v="13"/>
    <x v="13"/>
    <n v="25.7"/>
    <x v="1399"/>
    <x v="64"/>
    <d v="2025-03-08T00:00:00"/>
    <x v="1"/>
    <x v="4"/>
    <x v="0"/>
    <s v="California"/>
    <s v="Sonoma County"/>
    <x v="1"/>
    <x v="9"/>
    <x v="1"/>
  </r>
  <r>
    <x v="1777"/>
    <x v="16"/>
    <x v="1"/>
    <n v="49.9"/>
    <x v="350"/>
    <x v="64"/>
    <d v="2025-03-09T00:00:00"/>
    <x v="1"/>
    <x v="0"/>
    <x v="0"/>
    <s v="California"/>
    <s v="Tulare County"/>
    <x v="2"/>
    <x v="9"/>
    <x v="1"/>
  </r>
  <r>
    <x v="1778"/>
    <x v="8"/>
    <x v="1"/>
    <n v="20.2"/>
    <x v="1400"/>
    <x v="64"/>
    <d v="2025-03-08T00:00:00"/>
    <x v="2"/>
    <x v="3"/>
    <x v="0"/>
    <s v="California"/>
    <s v="Alameda County"/>
    <x v="1"/>
    <x v="9"/>
    <x v="2"/>
  </r>
  <r>
    <x v="1779"/>
    <x v="6"/>
    <x v="2"/>
    <n v="48.4"/>
    <x v="1401"/>
    <x v="64"/>
    <d v="2025-03-11T00:00:00"/>
    <x v="2"/>
    <x v="0"/>
    <x v="2"/>
    <s v="California"/>
    <s v="Alameda County"/>
    <x v="0"/>
    <x v="9"/>
    <x v="2"/>
  </r>
  <r>
    <x v="1780"/>
    <x v="6"/>
    <x v="1"/>
    <n v="81"/>
    <x v="915"/>
    <x v="64"/>
    <d v="2025-03-07T00:00:00"/>
    <x v="2"/>
    <x v="1"/>
    <x v="2"/>
    <s v="California"/>
    <s v="Alameda County"/>
    <x v="3"/>
    <x v="9"/>
    <x v="2"/>
  </r>
  <r>
    <x v="1781"/>
    <x v="8"/>
    <x v="13"/>
    <n v="19.899999999999999"/>
    <x v="1402"/>
    <x v="64"/>
    <d v="2025-03-09T00:00:00"/>
    <x v="2"/>
    <x v="0"/>
    <x v="1"/>
    <s v="California"/>
    <s v="Kern County"/>
    <x v="2"/>
    <x v="9"/>
    <x v="2"/>
  </r>
  <r>
    <x v="1782"/>
    <x v="4"/>
    <x v="12"/>
    <n v="32.200000000000003"/>
    <x v="1403"/>
    <x v="64"/>
    <d v="2025-03-16T00:00:00"/>
    <x v="1"/>
    <x v="0"/>
    <x v="0"/>
    <s v="California"/>
    <s v="Kern County"/>
    <x v="14"/>
    <x v="9"/>
    <x v="1"/>
  </r>
  <r>
    <x v="1783"/>
    <x v="5"/>
    <x v="2"/>
    <n v="76.8"/>
    <x v="1404"/>
    <x v="64"/>
    <d v="2025-03-07T00:00:00"/>
    <x v="2"/>
    <x v="0"/>
    <x v="1"/>
    <s v="California"/>
    <s v="Los Angeles County"/>
    <x v="3"/>
    <x v="9"/>
    <x v="2"/>
  </r>
  <r>
    <x v="1784"/>
    <x v="6"/>
    <x v="1"/>
    <n v="41.9"/>
    <x v="1405"/>
    <x v="64"/>
    <d v="2025-03-08T00:00:00"/>
    <x v="2"/>
    <x v="0"/>
    <x v="0"/>
    <s v="California"/>
    <s v="Los Angeles County"/>
    <x v="1"/>
    <x v="9"/>
    <x v="2"/>
  </r>
  <r>
    <x v="1785"/>
    <x v="0"/>
    <x v="3"/>
    <n v="34"/>
    <x v="1248"/>
    <x v="64"/>
    <d v="2025-03-08T00:00:00"/>
    <x v="2"/>
    <x v="1"/>
    <x v="2"/>
    <s v="California"/>
    <s v="Los Angeles County"/>
    <x v="1"/>
    <x v="9"/>
    <x v="2"/>
  </r>
  <r>
    <x v="1786"/>
    <x v="7"/>
    <x v="3"/>
    <n v="61.3"/>
    <x v="1406"/>
    <x v="64"/>
    <d v="2025-03-06T00:00:00"/>
    <x v="2"/>
    <x v="4"/>
    <x v="2"/>
    <s v="California"/>
    <s v="Los Angeles County"/>
    <x v="7"/>
    <x v="9"/>
    <x v="2"/>
  </r>
  <r>
    <x v="1787"/>
    <x v="9"/>
    <x v="0"/>
    <n v="54.7"/>
    <x v="1407"/>
    <x v="65"/>
    <d v="2025-03-08T00:00:00"/>
    <x v="1"/>
    <x v="0"/>
    <x v="1"/>
    <s v="California"/>
    <s v="Los Angeles County"/>
    <x v="3"/>
    <x v="9"/>
    <x v="1"/>
  </r>
  <r>
    <x v="1788"/>
    <x v="6"/>
    <x v="7"/>
    <n v="84.7"/>
    <x v="1408"/>
    <x v="65"/>
    <d v="2025-03-11T00:00:00"/>
    <x v="2"/>
    <x v="0"/>
    <x v="0"/>
    <s v="California"/>
    <s v="Los Angeles County"/>
    <x v="5"/>
    <x v="9"/>
    <x v="2"/>
  </r>
  <r>
    <x v="1789"/>
    <x v="1"/>
    <x v="2"/>
    <n v="93.4"/>
    <x v="1409"/>
    <x v="65"/>
    <d v="2025-03-11T00:00:00"/>
    <x v="2"/>
    <x v="3"/>
    <x v="0"/>
    <s v="California"/>
    <s v="Los Angeles County"/>
    <x v="5"/>
    <x v="9"/>
    <x v="2"/>
  </r>
  <r>
    <x v="1790"/>
    <x v="8"/>
    <x v="9"/>
    <n v="27"/>
    <x v="340"/>
    <x v="65"/>
    <d v="2025-03-10T00:00:00"/>
    <x v="1"/>
    <x v="0"/>
    <x v="1"/>
    <s v="California"/>
    <s v="Los Angeles County"/>
    <x v="2"/>
    <x v="9"/>
    <x v="1"/>
  </r>
  <r>
    <x v="1791"/>
    <x v="0"/>
    <x v="12"/>
    <n v="10.9"/>
    <x v="1195"/>
    <x v="65"/>
    <d v="2025-03-08T00:00:00"/>
    <x v="1"/>
    <x v="2"/>
    <x v="0"/>
    <s v="California"/>
    <s v="Los Angeles County"/>
    <x v="3"/>
    <x v="9"/>
    <x v="1"/>
  </r>
  <r>
    <x v="1792"/>
    <x v="16"/>
    <x v="2"/>
    <n v="48"/>
    <x v="1410"/>
    <x v="65"/>
    <d v="2025-03-12T00:00:00"/>
    <x v="2"/>
    <x v="4"/>
    <x v="0"/>
    <s v="California"/>
    <s v="Los Angeles County"/>
    <x v="0"/>
    <x v="9"/>
    <x v="2"/>
  </r>
  <r>
    <x v="1793"/>
    <x v="5"/>
    <x v="1"/>
    <n v="67.900000000000006"/>
    <x v="1411"/>
    <x v="65"/>
    <d v="2025-03-08T00:00:00"/>
    <x v="1"/>
    <x v="0"/>
    <x v="2"/>
    <s v="California"/>
    <s v="Riverside County"/>
    <x v="3"/>
    <x v="9"/>
    <x v="1"/>
  </r>
  <r>
    <x v="1794"/>
    <x v="4"/>
    <x v="2"/>
    <n v="36"/>
    <x v="807"/>
    <x v="65"/>
    <d v="2025-03-08T00:00:00"/>
    <x v="1"/>
    <x v="1"/>
    <x v="0"/>
    <s v="California"/>
    <s v="Sacramento County"/>
    <x v="3"/>
    <x v="9"/>
    <x v="1"/>
  </r>
  <r>
    <x v="1795"/>
    <x v="2"/>
    <x v="0"/>
    <n v="128.80000000000001"/>
    <x v="1403"/>
    <x v="65"/>
    <d v="2025-03-08T00:00:00"/>
    <x v="1"/>
    <x v="4"/>
    <x v="2"/>
    <s v="California"/>
    <s v="Sacramento County"/>
    <x v="3"/>
    <x v="9"/>
    <x v="1"/>
  </r>
  <r>
    <x v="1796"/>
    <x v="18"/>
    <x v="3"/>
    <n v="33.299999999999997"/>
    <x v="1412"/>
    <x v="65"/>
    <d v="2025-03-08T00:00:00"/>
    <x v="2"/>
    <x v="3"/>
    <x v="0"/>
    <s v="California"/>
    <s v="San Diego County"/>
    <x v="3"/>
    <x v="9"/>
    <x v="2"/>
  </r>
  <r>
    <x v="1797"/>
    <x v="10"/>
    <x v="2"/>
    <n v="37.799999999999997"/>
    <x v="1413"/>
    <x v="65"/>
    <d v="2025-03-09T00:00:00"/>
    <x v="1"/>
    <x v="1"/>
    <x v="2"/>
    <s v="California"/>
    <s v="San Diego County"/>
    <x v="1"/>
    <x v="9"/>
    <x v="1"/>
  </r>
  <r>
    <x v="1798"/>
    <x v="5"/>
    <x v="2"/>
    <n v="26"/>
    <x v="292"/>
    <x v="65"/>
    <d v="2025-03-12T00:00:00"/>
    <x v="2"/>
    <x v="0"/>
    <x v="0"/>
    <s v="California"/>
    <s v="San Diego County"/>
    <x v="0"/>
    <x v="9"/>
    <x v="2"/>
  </r>
  <r>
    <x v="1799"/>
    <x v="8"/>
    <x v="10"/>
    <n v="28.3"/>
    <x v="1414"/>
    <x v="65"/>
    <d v="2025-03-08T00:00:00"/>
    <x v="2"/>
    <x v="3"/>
    <x v="4"/>
    <s v="California"/>
    <s v="San Diego County"/>
    <x v="3"/>
    <x v="9"/>
    <x v="2"/>
  </r>
  <r>
    <x v="1800"/>
    <x v="8"/>
    <x v="12"/>
    <n v="31.3"/>
    <x v="1415"/>
    <x v="65"/>
    <d v="2025-03-07T00:00:00"/>
    <x v="2"/>
    <x v="0"/>
    <x v="0"/>
    <s v="California"/>
    <s v="San Diego County"/>
    <x v="7"/>
    <x v="9"/>
    <x v="2"/>
  </r>
  <r>
    <x v="1801"/>
    <x v="7"/>
    <x v="2"/>
    <n v="69.5"/>
    <x v="1416"/>
    <x v="65"/>
    <d v="2025-03-08T00:00:00"/>
    <x v="2"/>
    <x v="3"/>
    <x v="2"/>
    <s v="California"/>
    <s v="San Diego County"/>
    <x v="3"/>
    <x v="9"/>
    <x v="2"/>
  </r>
  <r>
    <x v="1802"/>
    <x v="0"/>
    <x v="1"/>
    <n v="16.7"/>
    <x v="1417"/>
    <x v="65"/>
    <d v="2025-03-08T00:00:00"/>
    <x v="2"/>
    <x v="3"/>
    <x v="1"/>
    <s v="California"/>
    <s v="San Diego County"/>
    <x v="3"/>
    <x v="9"/>
    <x v="2"/>
  </r>
  <r>
    <x v="1803"/>
    <x v="9"/>
    <x v="1"/>
    <n v="62.6"/>
    <x v="1415"/>
    <x v="65"/>
    <d v="2025-03-08T00:00:00"/>
    <x v="1"/>
    <x v="2"/>
    <x v="2"/>
    <s v="California"/>
    <s v="San Mateo County"/>
    <x v="3"/>
    <x v="9"/>
    <x v="1"/>
  </r>
  <r>
    <x v="1804"/>
    <x v="7"/>
    <x v="0"/>
    <n v="81.2"/>
    <x v="1101"/>
    <x v="65"/>
    <d v="2025-03-13T00:00:00"/>
    <x v="1"/>
    <x v="4"/>
    <x v="4"/>
    <s v="California"/>
    <s v="San Mateo County"/>
    <x v="4"/>
    <x v="9"/>
    <x v="1"/>
  </r>
  <r>
    <x v="1805"/>
    <x v="0"/>
    <x v="7"/>
    <n v="12.7"/>
    <x v="520"/>
    <x v="65"/>
    <d v="2025-03-08T00:00:00"/>
    <x v="2"/>
    <x v="0"/>
    <x v="2"/>
    <s v="California"/>
    <s v="San Mateo County"/>
    <x v="3"/>
    <x v="9"/>
    <x v="2"/>
  </r>
  <r>
    <x v="1806"/>
    <x v="7"/>
    <x v="12"/>
    <n v="77.7"/>
    <x v="1418"/>
    <x v="66"/>
    <d v="2025-03-12T00:00:00"/>
    <x v="1"/>
    <x v="1"/>
    <x v="0"/>
    <s v="California"/>
    <s v="Santa Clara County"/>
    <x v="5"/>
    <x v="9"/>
    <x v="1"/>
  </r>
  <r>
    <x v="1807"/>
    <x v="5"/>
    <x v="1"/>
    <n v="37.299999999999997"/>
    <x v="110"/>
    <x v="66"/>
    <d v="2025-03-09T00:00:00"/>
    <x v="2"/>
    <x v="0"/>
    <x v="2"/>
    <s v="California"/>
    <s v="Sonoma County"/>
    <x v="3"/>
    <x v="9"/>
    <x v="2"/>
  </r>
  <r>
    <x v="1808"/>
    <x v="10"/>
    <x v="12"/>
    <n v="35.6"/>
    <x v="1419"/>
    <x v="66"/>
    <d v="2025-03-10T00:00:00"/>
    <x v="2"/>
    <x v="1"/>
    <x v="1"/>
    <s v="California"/>
    <s v="Stanislaus County"/>
    <x v="1"/>
    <x v="9"/>
    <x v="2"/>
  </r>
  <r>
    <x v="1809"/>
    <x v="2"/>
    <x v="2"/>
    <n v="95"/>
    <x v="1420"/>
    <x v="66"/>
    <d v="2025-03-12T00:00:00"/>
    <x v="2"/>
    <x v="2"/>
    <x v="2"/>
    <s v="California"/>
    <s v="Yuba County"/>
    <x v="5"/>
    <x v="9"/>
    <x v="2"/>
  </r>
  <r>
    <x v="1810"/>
    <x v="2"/>
    <x v="12"/>
    <n v="172.1"/>
    <x v="1421"/>
    <x v="66"/>
    <d v="2025-03-12T00:00:00"/>
    <x v="3"/>
    <x v="2"/>
    <x v="2"/>
    <s v="California"/>
    <s v="Alameda County"/>
    <x v="5"/>
    <x v="9"/>
    <x v="3"/>
  </r>
  <r>
    <x v="1811"/>
    <x v="2"/>
    <x v="1"/>
    <n v="233"/>
    <x v="1147"/>
    <x v="66"/>
    <d v="2025-03-11T00:00:00"/>
    <x v="2"/>
    <x v="1"/>
    <x v="0"/>
    <s v="California"/>
    <s v="Alameda County"/>
    <x v="2"/>
    <x v="9"/>
    <x v="2"/>
  </r>
  <r>
    <x v="1812"/>
    <x v="0"/>
    <x v="0"/>
    <n v="43.5"/>
    <x v="1422"/>
    <x v="66"/>
    <d v="2025-03-09T00:00:00"/>
    <x v="2"/>
    <x v="2"/>
    <x v="2"/>
    <s v="California"/>
    <s v="Alameda County"/>
    <x v="3"/>
    <x v="9"/>
    <x v="2"/>
  </r>
  <r>
    <x v="1813"/>
    <x v="9"/>
    <x v="1"/>
    <n v="47.8"/>
    <x v="139"/>
    <x v="66"/>
    <d v="2025-03-11T00:00:00"/>
    <x v="1"/>
    <x v="4"/>
    <x v="2"/>
    <s v="California"/>
    <s v="Contra Costa County"/>
    <x v="2"/>
    <x v="9"/>
    <x v="1"/>
  </r>
  <r>
    <x v="1814"/>
    <x v="12"/>
    <x v="1"/>
    <n v="65.8"/>
    <x v="1423"/>
    <x v="66"/>
    <d v="2025-03-10T00:00:00"/>
    <x v="2"/>
    <x v="0"/>
    <x v="3"/>
    <s v="California"/>
    <s v="Imperial County"/>
    <x v="1"/>
    <x v="9"/>
    <x v="2"/>
  </r>
  <r>
    <x v="1815"/>
    <x v="15"/>
    <x v="5"/>
    <n v="38.700000000000003"/>
    <x v="1424"/>
    <x v="66"/>
    <d v="2025-03-08T00:00:00"/>
    <x v="1"/>
    <x v="0"/>
    <x v="0"/>
    <s v="California"/>
    <s v="Kern County"/>
    <x v="7"/>
    <x v="9"/>
    <x v="1"/>
  </r>
  <r>
    <x v="1816"/>
    <x v="3"/>
    <x v="12"/>
    <n v="55.7"/>
    <x v="839"/>
    <x v="66"/>
    <d v="2025-03-10T00:00:00"/>
    <x v="3"/>
    <x v="0"/>
    <x v="1"/>
    <s v="California"/>
    <s v="Kern County"/>
    <x v="1"/>
    <x v="9"/>
    <x v="3"/>
  </r>
  <r>
    <x v="1817"/>
    <x v="7"/>
    <x v="1"/>
    <n v="102.4"/>
    <x v="403"/>
    <x v="66"/>
    <d v="2025-03-08T00:00:00"/>
    <x v="2"/>
    <x v="1"/>
    <x v="0"/>
    <s v="California"/>
    <s v="Los Angeles County"/>
    <x v="7"/>
    <x v="9"/>
    <x v="2"/>
  </r>
  <r>
    <x v="1818"/>
    <x v="1"/>
    <x v="0"/>
    <n v="92"/>
    <x v="988"/>
    <x v="66"/>
    <d v="2025-03-12T00:00:00"/>
    <x v="0"/>
    <x v="2"/>
    <x v="0"/>
    <s v="California"/>
    <s v="Los Angeles County"/>
    <x v="5"/>
    <x v="9"/>
    <x v="0"/>
  </r>
  <r>
    <x v="1819"/>
    <x v="6"/>
    <x v="12"/>
    <n v="75.900000000000006"/>
    <x v="80"/>
    <x v="66"/>
    <d v="2025-03-10T00:00:00"/>
    <x v="2"/>
    <x v="1"/>
    <x v="0"/>
    <s v="California"/>
    <s v="Los Angeles County"/>
    <x v="1"/>
    <x v="9"/>
    <x v="2"/>
  </r>
  <r>
    <x v="1820"/>
    <x v="1"/>
    <x v="12"/>
    <n v="36.200000000000003"/>
    <x v="353"/>
    <x v="66"/>
    <d v="2025-03-09T00:00:00"/>
    <x v="2"/>
    <x v="1"/>
    <x v="0"/>
    <s v="California"/>
    <s v="Los Angeles County"/>
    <x v="3"/>
    <x v="9"/>
    <x v="2"/>
  </r>
  <r>
    <x v="1821"/>
    <x v="6"/>
    <x v="45"/>
    <n v="83.5"/>
    <x v="1425"/>
    <x v="66"/>
    <d v="2025-03-10T00:00:00"/>
    <x v="0"/>
    <x v="3"/>
    <x v="0"/>
    <s v="California"/>
    <s v="Los Angeles County"/>
    <x v="1"/>
    <x v="9"/>
    <x v="0"/>
  </r>
  <r>
    <x v="1822"/>
    <x v="19"/>
    <x v="4"/>
    <n v="52.4"/>
    <x v="1092"/>
    <x v="66"/>
    <d v="2025-03-08T00:00:00"/>
    <x v="1"/>
    <x v="2"/>
    <x v="0"/>
    <s v="California"/>
    <s v="Los Angeles County"/>
    <x v="7"/>
    <x v="9"/>
    <x v="1"/>
  </r>
  <r>
    <x v="1823"/>
    <x v="12"/>
    <x v="2"/>
    <n v="69.5"/>
    <x v="1416"/>
    <x v="66"/>
    <d v="2025-03-09T00:00:00"/>
    <x v="3"/>
    <x v="4"/>
    <x v="0"/>
    <s v="California"/>
    <s v="Los Angeles County"/>
    <x v="3"/>
    <x v="9"/>
    <x v="3"/>
  </r>
  <r>
    <x v="1824"/>
    <x v="0"/>
    <x v="0"/>
    <n v="15.5"/>
    <x v="1426"/>
    <x v="66"/>
    <d v="2025-03-10T00:00:00"/>
    <x v="1"/>
    <x v="0"/>
    <x v="0"/>
    <s v="California"/>
    <s v="Los Angeles County"/>
    <x v="1"/>
    <x v="9"/>
    <x v="1"/>
  </r>
  <r>
    <x v="1825"/>
    <x v="4"/>
    <x v="12"/>
    <n v="35.200000000000003"/>
    <x v="1427"/>
    <x v="66"/>
    <d v="2025-03-09T00:00:00"/>
    <x v="2"/>
    <x v="2"/>
    <x v="2"/>
    <s v="California"/>
    <s v="Los Angeles County"/>
    <x v="3"/>
    <x v="9"/>
    <x v="2"/>
  </r>
  <r>
    <x v="1826"/>
    <x v="8"/>
    <x v="13"/>
    <n v="34.6"/>
    <x v="1428"/>
    <x v="66"/>
    <d v="2025-03-09T00:00:00"/>
    <x v="0"/>
    <x v="0"/>
    <x v="1"/>
    <s v="California"/>
    <s v="Los Angeles County"/>
    <x v="3"/>
    <x v="9"/>
    <x v="0"/>
  </r>
  <r>
    <x v="1827"/>
    <x v="4"/>
    <x v="0"/>
    <n v="21.3"/>
    <x v="1429"/>
    <x v="67"/>
    <d v="2025-03-10T00:00:00"/>
    <x v="1"/>
    <x v="2"/>
    <x v="1"/>
    <s v="California"/>
    <s v="Los Angeles County"/>
    <x v="3"/>
    <x v="10"/>
    <x v="1"/>
  </r>
  <r>
    <x v="1828"/>
    <x v="6"/>
    <x v="1"/>
    <n v="136.5"/>
    <x v="1430"/>
    <x v="67"/>
    <d v="2025-03-15T00:00:00"/>
    <x v="2"/>
    <x v="0"/>
    <x v="0"/>
    <s v="California"/>
    <s v="Madera County"/>
    <x v="4"/>
    <x v="10"/>
    <x v="2"/>
  </r>
  <r>
    <x v="1829"/>
    <x v="9"/>
    <x v="3"/>
    <n v="30.7"/>
    <x v="1431"/>
    <x v="67"/>
    <d v="2025-03-10T00:00:00"/>
    <x v="1"/>
    <x v="2"/>
    <x v="2"/>
    <s v="California"/>
    <s v="Orange County"/>
    <x v="3"/>
    <x v="10"/>
    <x v="1"/>
  </r>
  <r>
    <x v="1830"/>
    <x v="1"/>
    <x v="1"/>
    <n v="61.6"/>
    <x v="1432"/>
    <x v="67"/>
    <d v="2025-03-10T00:00:00"/>
    <x v="2"/>
    <x v="2"/>
    <x v="2"/>
    <s v="California"/>
    <s v="Riverside County"/>
    <x v="3"/>
    <x v="10"/>
    <x v="2"/>
  </r>
  <r>
    <x v="1831"/>
    <x v="6"/>
    <x v="12"/>
    <n v="54.3"/>
    <x v="1433"/>
    <x v="67"/>
    <d v="2025-03-11T00:00:00"/>
    <x v="0"/>
    <x v="4"/>
    <x v="0"/>
    <s v="California"/>
    <s v="San Bernardino County"/>
    <x v="1"/>
    <x v="10"/>
    <x v="0"/>
  </r>
  <r>
    <x v="1832"/>
    <x v="1"/>
    <x v="1"/>
    <n v="44.1"/>
    <x v="1047"/>
    <x v="67"/>
    <d v="2025-03-21T00:00:00"/>
    <x v="2"/>
    <x v="0"/>
    <x v="2"/>
    <s v="California"/>
    <s v="San Diego County"/>
    <x v="13"/>
    <x v="10"/>
    <x v="2"/>
  </r>
  <r>
    <x v="1833"/>
    <x v="8"/>
    <x v="12"/>
    <n v="43.5"/>
    <x v="1434"/>
    <x v="67"/>
    <d v="2025-03-15T00:00:00"/>
    <x v="1"/>
    <x v="3"/>
    <x v="0"/>
    <s v="California"/>
    <s v="San Diego County"/>
    <x v="4"/>
    <x v="10"/>
    <x v="1"/>
  </r>
  <r>
    <x v="1834"/>
    <x v="8"/>
    <x v="2"/>
    <n v="48.2"/>
    <x v="1435"/>
    <x v="67"/>
    <d v="2025-03-13T00:00:00"/>
    <x v="1"/>
    <x v="3"/>
    <x v="1"/>
    <s v="California"/>
    <s v="San Diego County"/>
    <x v="5"/>
    <x v="10"/>
    <x v="1"/>
  </r>
  <r>
    <x v="1835"/>
    <x v="19"/>
    <x v="0"/>
    <n v="13.7"/>
    <x v="1436"/>
    <x v="67"/>
    <d v="2025-03-10T00:00:00"/>
    <x v="2"/>
    <x v="2"/>
    <x v="2"/>
    <s v="California"/>
    <s v="San Diego County"/>
    <x v="3"/>
    <x v="10"/>
    <x v="2"/>
  </r>
  <r>
    <x v="1836"/>
    <x v="2"/>
    <x v="1"/>
    <n v="110.5"/>
    <x v="1437"/>
    <x v="67"/>
    <d v="2025-03-10T00:00:00"/>
    <x v="2"/>
    <x v="0"/>
    <x v="1"/>
    <s v="California"/>
    <s v="San Diego County"/>
    <x v="3"/>
    <x v="10"/>
    <x v="2"/>
  </r>
  <r>
    <x v="1837"/>
    <x v="8"/>
    <x v="2"/>
    <n v="26"/>
    <x v="292"/>
    <x v="67"/>
    <d v="2025-03-14T00:00:00"/>
    <x v="2"/>
    <x v="1"/>
    <x v="1"/>
    <s v="California"/>
    <s v="San Diego County"/>
    <x v="0"/>
    <x v="10"/>
    <x v="2"/>
  </r>
  <r>
    <x v="1838"/>
    <x v="2"/>
    <x v="7"/>
    <n v="140.69999999999999"/>
    <x v="1438"/>
    <x v="67"/>
    <d v="2025-03-15T00:00:00"/>
    <x v="1"/>
    <x v="3"/>
    <x v="1"/>
    <s v="California"/>
    <s v="San Diego County"/>
    <x v="4"/>
    <x v="10"/>
    <x v="1"/>
  </r>
  <r>
    <x v="1839"/>
    <x v="17"/>
    <x v="1"/>
    <n v="41.7"/>
    <x v="925"/>
    <x v="67"/>
    <d v="2025-03-17T00:00:00"/>
    <x v="2"/>
    <x v="0"/>
    <x v="4"/>
    <s v="California"/>
    <s v="San Diego County"/>
    <x v="9"/>
    <x v="10"/>
    <x v="2"/>
  </r>
  <r>
    <x v="1840"/>
    <x v="2"/>
    <x v="1"/>
    <n v="135.1"/>
    <x v="1439"/>
    <x v="67"/>
    <d v="2025-03-10T00:00:00"/>
    <x v="1"/>
    <x v="0"/>
    <x v="2"/>
    <s v="California"/>
    <s v="San Francisco"/>
    <x v="3"/>
    <x v="10"/>
    <x v="1"/>
  </r>
  <r>
    <x v="1841"/>
    <x v="12"/>
    <x v="32"/>
    <n v="95.5"/>
    <x v="1440"/>
    <x v="67"/>
    <d v="2025-03-10T00:00:00"/>
    <x v="2"/>
    <x v="4"/>
    <x v="4"/>
    <s v="California"/>
    <s v="San Joaquin County"/>
    <x v="3"/>
    <x v="10"/>
    <x v="2"/>
  </r>
  <r>
    <x v="1842"/>
    <x v="15"/>
    <x v="0"/>
    <n v="25.5"/>
    <x v="1441"/>
    <x v="67"/>
    <d v="2025-03-12T00:00:00"/>
    <x v="0"/>
    <x v="2"/>
    <x v="2"/>
    <s v="California"/>
    <s v="Santa Clara County"/>
    <x v="2"/>
    <x v="10"/>
    <x v="0"/>
  </r>
  <r>
    <x v="1843"/>
    <x v="1"/>
    <x v="0"/>
    <n v="42.6"/>
    <x v="440"/>
    <x v="67"/>
    <d v="2025-03-13T00:00:00"/>
    <x v="2"/>
    <x v="0"/>
    <x v="0"/>
    <s v="California"/>
    <s v="Santa Clara County"/>
    <x v="5"/>
    <x v="10"/>
    <x v="2"/>
  </r>
  <r>
    <x v="1844"/>
    <x v="8"/>
    <x v="20"/>
    <n v="32.4"/>
    <x v="1442"/>
    <x v="67"/>
    <d v="2025-03-10T00:00:00"/>
    <x v="1"/>
    <x v="1"/>
    <x v="1"/>
    <s v="California"/>
    <s v="Santa Clara County"/>
    <x v="3"/>
    <x v="10"/>
    <x v="1"/>
  </r>
  <r>
    <x v="1845"/>
    <x v="4"/>
    <x v="12"/>
    <n v="20.2"/>
    <x v="1443"/>
    <x v="67"/>
    <d v="2025-03-10T00:00:00"/>
    <x v="3"/>
    <x v="2"/>
    <x v="0"/>
    <s v="California"/>
    <s v="Santa Clara County"/>
    <x v="3"/>
    <x v="10"/>
    <x v="3"/>
  </r>
  <r>
    <x v="1846"/>
    <x v="16"/>
    <x v="2"/>
    <n v="52.5"/>
    <x v="905"/>
    <x v="67"/>
    <d v="2025-03-14T00:00:00"/>
    <x v="2"/>
    <x v="4"/>
    <x v="0"/>
    <s v="California"/>
    <s v="Sonoma County"/>
    <x v="0"/>
    <x v="10"/>
    <x v="2"/>
  </r>
  <r>
    <x v="1847"/>
    <x v="2"/>
    <x v="9"/>
    <n v="59.9"/>
    <x v="1444"/>
    <x v="67"/>
    <d v="2025-03-11T00:00:00"/>
    <x v="2"/>
    <x v="2"/>
    <x v="0"/>
    <s v="California"/>
    <s v="Stanislaus County"/>
    <x v="1"/>
    <x v="10"/>
    <x v="2"/>
  </r>
  <r>
    <x v="1848"/>
    <x v="4"/>
    <x v="1"/>
    <n v="53.2"/>
    <x v="793"/>
    <x v="67"/>
    <d v="2025-03-10T00:00:00"/>
    <x v="2"/>
    <x v="1"/>
    <x v="3"/>
    <s v="California"/>
    <s v="Tulare County"/>
    <x v="3"/>
    <x v="10"/>
    <x v="2"/>
  </r>
  <r>
    <x v="1849"/>
    <x v="2"/>
    <x v="1"/>
    <n v="60"/>
    <x v="160"/>
    <x v="67"/>
    <d v="2025-03-15T00:00:00"/>
    <x v="1"/>
    <x v="1"/>
    <x v="2"/>
    <s v="California"/>
    <s v="Tulare County"/>
    <x v="4"/>
    <x v="10"/>
    <x v="1"/>
  </r>
  <r>
    <x v="1850"/>
    <x v="8"/>
    <x v="2"/>
    <n v="29.3"/>
    <x v="1205"/>
    <x v="67"/>
    <d v="2025-03-10T00:00:00"/>
    <x v="2"/>
    <x v="4"/>
    <x v="0"/>
    <s v="California"/>
    <s v="Ventura County"/>
    <x v="3"/>
    <x v="10"/>
    <x v="2"/>
  </r>
  <r>
    <x v="1851"/>
    <x v="12"/>
    <x v="1"/>
    <n v="55.4"/>
    <x v="806"/>
    <x v="67"/>
    <d v="2025-03-10T00:00:00"/>
    <x v="2"/>
    <x v="0"/>
    <x v="2"/>
    <s v="California"/>
    <s v="Alameda County"/>
    <x v="3"/>
    <x v="10"/>
    <x v="2"/>
  </r>
  <r>
    <x v="1852"/>
    <x v="0"/>
    <x v="9"/>
    <n v="20.100000000000001"/>
    <x v="427"/>
    <x v="67"/>
    <d v="2025-03-11T00:00:00"/>
    <x v="2"/>
    <x v="1"/>
    <x v="2"/>
    <s v="California"/>
    <s v="Alameda County"/>
    <x v="1"/>
    <x v="10"/>
    <x v="2"/>
  </r>
  <r>
    <x v="1853"/>
    <x v="14"/>
    <x v="9"/>
    <n v="24"/>
    <x v="160"/>
    <x v="67"/>
    <d v="2025-03-12T00:00:00"/>
    <x v="1"/>
    <x v="2"/>
    <x v="0"/>
    <s v="California"/>
    <s v="Contra Costa County"/>
    <x v="2"/>
    <x v="10"/>
    <x v="1"/>
  </r>
  <r>
    <x v="1854"/>
    <x v="8"/>
    <x v="1"/>
    <n v="30.6"/>
    <x v="1"/>
    <x v="68"/>
    <d v="2025-03-12T00:00:00"/>
    <x v="2"/>
    <x v="0"/>
    <x v="0"/>
    <s v="California"/>
    <s v="Contra Costa County"/>
    <x v="1"/>
    <x v="10"/>
    <x v="2"/>
  </r>
  <r>
    <x v="1855"/>
    <x v="10"/>
    <x v="9"/>
    <n v="33"/>
    <x v="1445"/>
    <x v="68"/>
    <d v="2025-03-11T00:00:00"/>
    <x v="1"/>
    <x v="1"/>
    <x v="1"/>
    <s v="California"/>
    <s v="Glenn County"/>
    <x v="3"/>
    <x v="10"/>
    <x v="1"/>
  </r>
  <r>
    <x v="1856"/>
    <x v="17"/>
    <x v="11"/>
    <n v="42.1"/>
    <x v="1258"/>
    <x v="68"/>
    <d v="2025-03-16T00:00:00"/>
    <x v="2"/>
    <x v="2"/>
    <x v="0"/>
    <s v="California"/>
    <s v="Humboldt County"/>
    <x v="4"/>
    <x v="10"/>
    <x v="2"/>
  </r>
  <r>
    <x v="1857"/>
    <x v="6"/>
    <x v="3"/>
    <n v="77.7"/>
    <x v="1446"/>
    <x v="68"/>
    <d v="2025-03-15T00:00:00"/>
    <x v="2"/>
    <x v="1"/>
    <x v="2"/>
    <s v="California"/>
    <s v="Lake County"/>
    <x v="0"/>
    <x v="10"/>
    <x v="2"/>
  </r>
  <r>
    <x v="1858"/>
    <x v="17"/>
    <x v="13"/>
    <n v="22.7"/>
    <x v="1134"/>
    <x v="68"/>
    <d v="2025-03-13T00:00:00"/>
    <x v="2"/>
    <x v="2"/>
    <x v="0"/>
    <s v="California"/>
    <s v="Los Angeles County"/>
    <x v="2"/>
    <x v="10"/>
    <x v="2"/>
  </r>
  <r>
    <x v="1859"/>
    <x v="2"/>
    <x v="1"/>
    <n v="133"/>
    <x v="751"/>
    <x v="68"/>
    <d v="2025-03-10T00:00:00"/>
    <x v="1"/>
    <x v="2"/>
    <x v="2"/>
    <s v="California"/>
    <s v="Los Angeles County"/>
    <x v="7"/>
    <x v="10"/>
    <x v="1"/>
  </r>
  <r>
    <x v="1860"/>
    <x v="0"/>
    <x v="1"/>
    <n v="23.3"/>
    <x v="1447"/>
    <x v="68"/>
    <d v="2025-03-11T00:00:00"/>
    <x v="1"/>
    <x v="1"/>
    <x v="2"/>
    <s v="California"/>
    <s v="Los Angeles County"/>
    <x v="3"/>
    <x v="10"/>
    <x v="1"/>
  </r>
  <r>
    <x v="1861"/>
    <x v="8"/>
    <x v="2"/>
    <n v="20.7"/>
    <x v="1448"/>
    <x v="68"/>
    <d v="2025-03-12T00:00:00"/>
    <x v="3"/>
    <x v="0"/>
    <x v="2"/>
    <s v="California"/>
    <s v="Los Angeles County"/>
    <x v="1"/>
    <x v="10"/>
    <x v="3"/>
  </r>
  <r>
    <x v="1862"/>
    <x v="12"/>
    <x v="1"/>
    <n v="47"/>
    <x v="255"/>
    <x v="68"/>
    <d v="2025-03-11T00:00:00"/>
    <x v="1"/>
    <x v="1"/>
    <x v="2"/>
    <s v="California"/>
    <s v="Los Angeles County"/>
    <x v="3"/>
    <x v="10"/>
    <x v="1"/>
  </r>
  <r>
    <x v="1863"/>
    <x v="12"/>
    <x v="2"/>
    <n v="38.200000000000003"/>
    <x v="1449"/>
    <x v="68"/>
    <d v="2025-03-12T00:00:00"/>
    <x v="2"/>
    <x v="2"/>
    <x v="4"/>
    <s v="California"/>
    <s v="Los Angeles County"/>
    <x v="1"/>
    <x v="10"/>
    <x v="2"/>
  </r>
  <r>
    <x v="1864"/>
    <x v="9"/>
    <x v="0"/>
    <n v="39.1"/>
    <x v="923"/>
    <x v="68"/>
    <d v="2025-03-12T00:00:00"/>
    <x v="2"/>
    <x v="0"/>
    <x v="0"/>
    <s v="California"/>
    <s v="Los Angeles County"/>
    <x v="1"/>
    <x v="10"/>
    <x v="2"/>
  </r>
  <r>
    <x v="1865"/>
    <x v="7"/>
    <x v="30"/>
    <n v="55.6"/>
    <x v="1450"/>
    <x v="68"/>
    <d v="2025-03-12T00:00:00"/>
    <x v="1"/>
    <x v="0"/>
    <x v="2"/>
    <s v="California"/>
    <s v="Los Angeles County"/>
    <x v="1"/>
    <x v="10"/>
    <x v="1"/>
  </r>
  <r>
    <x v="1866"/>
    <x v="15"/>
    <x v="0"/>
    <n v="43.1"/>
    <x v="39"/>
    <x v="68"/>
    <d v="2025-03-10T00:00:00"/>
    <x v="3"/>
    <x v="1"/>
    <x v="2"/>
    <s v="California"/>
    <s v="Los Angeles County"/>
    <x v="7"/>
    <x v="10"/>
    <x v="3"/>
  </r>
  <r>
    <x v="1867"/>
    <x v="6"/>
    <x v="12"/>
    <n v="48.1"/>
    <x v="1451"/>
    <x v="68"/>
    <d v="2025-03-11T00:00:00"/>
    <x v="2"/>
    <x v="4"/>
    <x v="2"/>
    <s v="California"/>
    <s v="Los Angeles County"/>
    <x v="3"/>
    <x v="10"/>
    <x v="2"/>
  </r>
  <r>
    <x v="1868"/>
    <x v="4"/>
    <x v="0"/>
    <n v="42"/>
    <x v="337"/>
    <x v="68"/>
    <d v="2025-03-11T00:00:00"/>
    <x v="3"/>
    <x v="0"/>
    <x v="0"/>
    <s v="California"/>
    <s v="Los Angeles County"/>
    <x v="3"/>
    <x v="10"/>
    <x v="3"/>
  </r>
  <r>
    <x v="1869"/>
    <x v="8"/>
    <x v="9"/>
    <n v="18.3"/>
    <x v="1058"/>
    <x v="68"/>
    <d v="2025-03-10T00:00:00"/>
    <x v="2"/>
    <x v="2"/>
    <x v="0"/>
    <s v="California"/>
    <s v="Los Angeles County"/>
    <x v="7"/>
    <x v="10"/>
    <x v="2"/>
  </r>
  <r>
    <x v="1870"/>
    <x v="10"/>
    <x v="12"/>
    <n v="45.3"/>
    <x v="1452"/>
    <x v="68"/>
    <d v="2025-03-13T00:00:00"/>
    <x v="2"/>
    <x v="0"/>
    <x v="2"/>
    <s v="California"/>
    <s v="Los Angeles County"/>
    <x v="2"/>
    <x v="10"/>
    <x v="2"/>
  </r>
  <r>
    <x v="1871"/>
    <x v="0"/>
    <x v="1"/>
    <n v="27.6"/>
    <x v="291"/>
    <x v="68"/>
    <d v="2025-03-12T00:00:00"/>
    <x v="1"/>
    <x v="0"/>
    <x v="2"/>
    <s v="California"/>
    <s v="Madera County"/>
    <x v="1"/>
    <x v="10"/>
    <x v="1"/>
  </r>
  <r>
    <x v="1872"/>
    <x v="4"/>
    <x v="9"/>
    <n v="26.9"/>
    <x v="531"/>
    <x v="68"/>
    <d v="2025-03-11T00:00:00"/>
    <x v="2"/>
    <x v="2"/>
    <x v="0"/>
    <s v="California"/>
    <s v="Orange County"/>
    <x v="3"/>
    <x v="10"/>
    <x v="2"/>
  </r>
  <r>
    <x v="1873"/>
    <x v="2"/>
    <x v="11"/>
    <n v="82.4"/>
    <x v="1453"/>
    <x v="68"/>
    <d v="2025-03-12T00:00:00"/>
    <x v="3"/>
    <x v="2"/>
    <x v="0"/>
    <s v="California"/>
    <s v="Placer County"/>
    <x v="1"/>
    <x v="10"/>
    <x v="3"/>
  </r>
  <r>
    <x v="1874"/>
    <x v="6"/>
    <x v="0"/>
    <n v="103.7"/>
    <x v="1454"/>
    <x v="68"/>
    <d v="2025-03-12T00:00:00"/>
    <x v="2"/>
    <x v="1"/>
    <x v="0"/>
    <s v="California"/>
    <s v="Placer County"/>
    <x v="1"/>
    <x v="10"/>
    <x v="2"/>
  </r>
  <r>
    <x v="1875"/>
    <x v="2"/>
    <x v="1"/>
    <n v="58.8"/>
    <x v="833"/>
    <x v="68"/>
    <d v="2025-03-15T00:00:00"/>
    <x v="2"/>
    <x v="1"/>
    <x v="2"/>
    <s v="California"/>
    <s v="Sacramento County"/>
    <x v="0"/>
    <x v="10"/>
    <x v="2"/>
  </r>
  <r>
    <x v="1876"/>
    <x v="13"/>
    <x v="0"/>
    <n v="31.5"/>
    <x v="1455"/>
    <x v="68"/>
    <d v="2025-03-11T00:00:00"/>
    <x v="2"/>
    <x v="1"/>
    <x v="1"/>
    <s v="California"/>
    <s v="Sacramento County"/>
    <x v="3"/>
    <x v="10"/>
    <x v="2"/>
  </r>
  <r>
    <x v="1877"/>
    <x v="7"/>
    <x v="9"/>
    <n v="36.799999999999997"/>
    <x v="79"/>
    <x v="68"/>
    <d v="2025-03-12T00:00:00"/>
    <x v="2"/>
    <x v="0"/>
    <x v="0"/>
    <s v="California"/>
    <s v="San Diego County"/>
    <x v="1"/>
    <x v="10"/>
    <x v="2"/>
  </r>
  <r>
    <x v="1878"/>
    <x v="3"/>
    <x v="0"/>
    <n v="84.4"/>
    <x v="533"/>
    <x v="68"/>
    <d v="2025-03-11T00:00:00"/>
    <x v="2"/>
    <x v="0"/>
    <x v="0"/>
    <s v="California"/>
    <s v="San Diego County"/>
    <x v="3"/>
    <x v="10"/>
    <x v="2"/>
  </r>
  <r>
    <x v="1879"/>
    <x v="14"/>
    <x v="0"/>
    <n v="44.7"/>
    <x v="1456"/>
    <x v="68"/>
    <d v="2025-03-11T00:00:00"/>
    <x v="1"/>
    <x v="0"/>
    <x v="1"/>
    <s v="California"/>
    <s v="San Diego County"/>
    <x v="3"/>
    <x v="10"/>
    <x v="1"/>
  </r>
  <r>
    <x v="1880"/>
    <x v="9"/>
    <x v="8"/>
    <n v="39.4"/>
    <x v="895"/>
    <x v="68"/>
    <d v="2025-03-11T00:00:00"/>
    <x v="2"/>
    <x v="1"/>
    <x v="2"/>
    <s v="California"/>
    <s v="San Diego County"/>
    <x v="3"/>
    <x v="10"/>
    <x v="2"/>
  </r>
  <r>
    <x v="1881"/>
    <x v="11"/>
    <x v="12"/>
    <n v="34.9"/>
    <x v="1457"/>
    <x v="68"/>
    <d v="2025-03-12T00:00:00"/>
    <x v="2"/>
    <x v="0"/>
    <x v="2"/>
    <s v="California"/>
    <s v="San Diego County"/>
    <x v="1"/>
    <x v="10"/>
    <x v="2"/>
  </r>
  <r>
    <x v="1882"/>
    <x v="1"/>
    <x v="2"/>
    <n v="62.3"/>
    <x v="1458"/>
    <x v="68"/>
    <d v="2025-03-12T00:00:00"/>
    <x v="1"/>
    <x v="4"/>
    <x v="2"/>
    <s v="California"/>
    <s v="San Diego County"/>
    <x v="1"/>
    <x v="10"/>
    <x v="1"/>
  </r>
  <r>
    <x v="1883"/>
    <x v="8"/>
    <x v="12"/>
    <n v="21.1"/>
    <x v="533"/>
    <x v="68"/>
    <d v="2025-03-13T00:00:00"/>
    <x v="1"/>
    <x v="3"/>
    <x v="0"/>
    <s v="California"/>
    <s v="San Diego County"/>
    <x v="2"/>
    <x v="10"/>
    <x v="1"/>
  </r>
  <r>
    <x v="1884"/>
    <x v="8"/>
    <x v="2"/>
    <n v="33.200000000000003"/>
    <x v="1459"/>
    <x v="68"/>
    <d v="2025-03-24T00:00:00"/>
    <x v="0"/>
    <x v="0"/>
    <x v="4"/>
    <s v="California"/>
    <s v="San Diego County"/>
    <x v="12"/>
    <x v="10"/>
    <x v="0"/>
  </r>
  <r>
    <x v="1885"/>
    <x v="1"/>
    <x v="12"/>
    <n v="74.5"/>
    <x v="1460"/>
    <x v="68"/>
    <d v="2025-03-11T00:00:00"/>
    <x v="1"/>
    <x v="4"/>
    <x v="0"/>
    <s v="California"/>
    <s v="San Diego County"/>
    <x v="3"/>
    <x v="10"/>
    <x v="1"/>
  </r>
  <r>
    <x v="1886"/>
    <x v="10"/>
    <x v="4"/>
    <n v="68.599999999999994"/>
    <x v="1461"/>
    <x v="68"/>
    <d v="2025-03-13T00:00:00"/>
    <x v="2"/>
    <x v="0"/>
    <x v="2"/>
    <s v="California"/>
    <s v="San Diego County"/>
    <x v="2"/>
    <x v="10"/>
    <x v="2"/>
  </r>
  <r>
    <x v="1887"/>
    <x v="5"/>
    <x v="21"/>
    <n v="36.4"/>
    <x v="1462"/>
    <x v="68"/>
    <d v="2025-03-12T00:00:00"/>
    <x v="2"/>
    <x v="0"/>
    <x v="1"/>
    <s v="California"/>
    <s v="San Mateo County"/>
    <x v="1"/>
    <x v="10"/>
    <x v="2"/>
  </r>
  <r>
    <x v="1888"/>
    <x v="16"/>
    <x v="9"/>
    <n v="67.599999999999994"/>
    <x v="1463"/>
    <x v="69"/>
    <d v="2025-03-14T00:00:00"/>
    <x v="2"/>
    <x v="4"/>
    <x v="1"/>
    <s v="California"/>
    <s v="San Mateo County"/>
    <x v="2"/>
    <x v="10"/>
    <x v="2"/>
  </r>
  <r>
    <x v="1889"/>
    <x v="15"/>
    <x v="0"/>
    <n v="46.3"/>
    <x v="516"/>
    <x v="69"/>
    <d v="2025-03-12T00:00:00"/>
    <x v="1"/>
    <x v="2"/>
    <x v="0"/>
    <s v="California"/>
    <s v="San Mateo County"/>
    <x v="3"/>
    <x v="10"/>
    <x v="1"/>
  </r>
  <r>
    <x v="1890"/>
    <x v="1"/>
    <x v="2"/>
    <n v="124.2"/>
    <x v="1464"/>
    <x v="69"/>
    <d v="2025-03-13T00:00:00"/>
    <x v="2"/>
    <x v="1"/>
    <x v="2"/>
    <s v="California"/>
    <s v="Santa Clara County"/>
    <x v="1"/>
    <x v="10"/>
    <x v="2"/>
  </r>
  <r>
    <x v="1891"/>
    <x v="10"/>
    <x v="1"/>
    <n v="37"/>
    <x v="372"/>
    <x v="69"/>
    <d v="2025-03-17T00:00:00"/>
    <x v="1"/>
    <x v="0"/>
    <x v="0"/>
    <s v="California"/>
    <s v="Santa Clara County"/>
    <x v="4"/>
    <x v="10"/>
    <x v="1"/>
  </r>
  <r>
    <x v="1892"/>
    <x v="5"/>
    <x v="0"/>
    <n v="41.8"/>
    <x v="1465"/>
    <x v="69"/>
    <d v="2025-03-12T00:00:00"/>
    <x v="1"/>
    <x v="2"/>
    <x v="0"/>
    <s v="California"/>
    <s v="Sutter County"/>
    <x v="3"/>
    <x v="10"/>
    <x v="1"/>
  </r>
  <r>
    <x v="1893"/>
    <x v="9"/>
    <x v="1"/>
    <n v="57.2"/>
    <x v="1466"/>
    <x v="69"/>
    <d v="2025-03-13T00:00:00"/>
    <x v="1"/>
    <x v="2"/>
    <x v="1"/>
    <s v="California"/>
    <s v="Tulare County"/>
    <x v="1"/>
    <x v="10"/>
    <x v="1"/>
  </r>
  <r>
    <x v="1894"/>
    <x v="6"/>
    <x v="1"/>
    <n v="47.1"/>
    <x v="1467"/>
    <x v="69"/>
    <d v="2025-03-13T00:00:00"/>
    <x v="2"/>
    <x v="0"/>
    <x v="4"/>
    <s v="California"/>
    <s v="Tulare County"/>
    <x v="1"/>
    <x v="10"/>
    <x v="2"/>
  </r>
  <r>
    <x v="1895"/>
    <x v="5"/>
    <x v="2"/>
    <n v="86.4"/>
    <x v="1468"/>
    <x v="69"/>
    <d v="2025-03-12T00:00:00"/>
    <x v="1"/>
    <x v="2"/>
    <x v="1"/>
    <s v="California"/>
    <s v="Tuolumne County"/>
    <x v="3"/>
    <x v="10"/>
    <x v="1"/>
  </r>
  <r>
    <x v="1896"/>
    <x v="6"/>
    <x v="9"/>
    <n v="105"/>
    <x v="1469"/>
    <x v="69"/>
    <d v="2025-03-14T00:00:00"/>
    <x v="1"/>
    <x v="0"/>
    <x v="0"/>
    <s v="California"/>
    <s v="Ventura County"/>
    <x v="2"/>
    <x v="10"/>
    <x v="1"/>
  </r>
  <r>
    <x v="1897"/>
    <x v="18"/>
    <x v="0"/>
    <n v="33"/>
    <x v="940"/>
    <x v="69"/>
    <d v="2025-03-14T00:00:00"/>
    <x v="1"/>
    <x v="4"/>
    <x v="0"/>
    <s v="California"/>
    <s v="Alameda County"/>
    <x v="2"/>
    <x v="10"/>
    <x v="1"/>
  </r>
  <r>
    <x v="1898"/>
    <x v="6"/>
    <x v="9"/>
    <n v="106.6"/>
    <x v="1470"/>
    <x v="69"/>
    <d v="2025-03-24T00:00:00"/>
    <x v="2"/>
    <x v="2"/>
    <x v="0"/>
    <s v="California"/>
    <s v="Contra Costa County"/>
    <x v="10"/>
    <x v="10"/>
    <x v="2"/>
  </r>
  <r>
    <x v="1899"/>
    <x v="10"/>
    <x v="46"/>
    <n v="26.8"/>
    <x v="1471"/>
    <x v="69"/>
    <d v="2025-03-12T00:00:00"/>
    <x v="2"/>
    <x v="2"/>
    <x v="0"/>
    <s v="California"/>
    <s v="Contra Costa County"/>
    <x v="3"/>
    <x v="10"/>
    <x v="2"/>
  </r>
  <r>
    <x v="1900"/>
    <x v="17"/>
    <x v="9"/>
    <n v="25.8"/>
    <x v="309"/>
    <x v="69"/>
    <d v="2025-03-11T00:00:00"/>
    <x v="2"/>
    <x v="1"/>
    <x v="2"/>
    <s v="California"/>
    <s v="Los Angeles County"/>
    <x v="7"/>
    <x v="10"/>
    <x v="2"/>
  </r>
  <r>
    <x v="1901"/>
    <x v="2"/>
    <x v="2"/>
    <n v="217"/>
    <x v="1472"/>
    <x v="69"/>
    <d v="2025-03-12T00:00:00"/>
    <x v="2"/>
    <x v="1"/>
    <x v="1"/>
    <s v="California"/>
    <s v="Los Angeles County"/>
    <x v="3"/>
    <x v="10"/>
    <x v="2"/>
  </r>
  <r>
    <x v="1902"/>
    <x v="2"/>
    <x v="1"/>
    <n v="97.3"/>
    <x v="1473"/>
    <x v="69"/>
    <d v="2025-03-12T00:00:00"/>
    <x v="1"/>
    <x v="2"/>
    <x v="4"/>
    <s v="California"/>
    <s v="Los Angeles County"/>
    <x v="3"/>
    <x v="10"/>
    <x v="1"/>
  </r>
  <r>
    <x v="1903"/>
    <x v="1"/>
    <x v="0"/>
    <n v="49.8"/>
    <x v="1474"/>
    <x v="69"/>
    <d v="2025-03-12T00:00:00"/>
    <x v="2"/>
    <x v="0"/>
    <x v="0"/>
    <s v="California"/>
    <s v="Los Angeles County"/>
    <x v="3"/>
    <x v="10"/>
    <x v="2"/>
  </r>
  <r>
    <x v="1904"/>
    <x v="12"/>
    <x v="9"/>
    <n v="32.6"/>
    <x v="1475"/>
    <x v="69"/>
    <d v="2025-03-12T00:00:00"/>
    <x v="2"/>
    <x v="0"/>
    <x v="0"/>
    <s v="California"/>
    <s v="Los Angeles County"/>
    <x v="3"/>
    <x v="10"/>
    <x v="2"/>
  </r>
  <r>
    <x v="1905"/>
    <x v="9"/>
    <x v="1"/>
    <n v="40.1"/>
    <x v="556"/>
    <x v="69"/>
    <d v="2025-03-14T00:00:00"/>
    <x v="1"/>
    <x v="1"/>
    <x v="2"/>
    <s v="California"/>
    <s v="Los Angeles County"/>
    <x v="2"/>
    <x v="10"/>
    <x v="1"/>
  </r>
  <r>
    <x v="1906"/>
    <x v="10"/>
    <x v="1"/>
    <n v="49.4"/>
    <x v="197"/>
    <x v="69"/>
    <d v="2025-03-13T00:00:00"/>
    <x v="1"/>
    <x v="1"/>
    <x v="0"/>
    <s v="California"/>
    <s v="Los Angeles County"/>
    <x v="1"/>
    <x v="10"/>
    <x v="1"/>
  </r>
  <r>
    <x v="1907"/>
    <x v="2"/>
    <x v="0"/>
    <n v="67.3"/>
    <x v="1476"/>
    <x v="69"/>
    <d v="2025-03-12T00:00:00"/>
    <x v="2"/>
    <x v="0"/>
    <x v="2"/>
    <s v="California"/>
    <s v="Los Angeles County"/>
    <x v="3"/>
    <x v="10"/>
    <x v="2"/>
  </r>
  <r>
    <x v="1908"/>
    <x v="18"/>
    <x v="12"/>
    <n v="44.5"/>
    <x v="394"/>
    <x v="69"/>
    <d v="2025-03-14T00:00:00"/>
    <x v="0"/>
    <x v="1"/>
    <x v="0"/>
    <s v="California"/>
    <s v="Los Angeles County"/>
    <x v="2"/>
    <x v="10"/>
    <x v="0"/>
  </r>
  <r>
    <x v="1909"/>
    <x v="6"/>
    <x v="5"/>
    <n v="111.1"/>
    <x v="1477"/>
    <x v="69"/>
    <d v="2025-03-12T00:00:00"/>
    <x v="2"/>
    <x v="4"/>
    <x v="0"/>
    <s v="California"/>
    <s v="Los Angeles County"/>
    <x v="3"/>
    <x v="10"/>
    <x v="2"/>
  </r>
  <r>
    <x v="1910"/>
    <x v="8"/>
    <x v="2"/>
    <n v="19.7"/>
    <x v="1478"/>
    <x v="69"/>
    <d v="2025-03-12T00:00:00"/>
    <x v="2"/>
    <x v="4"/>
    <x v="4"/>
    <s v="California"/>
    <s v="Los Angeles County"/>
    <x v="3"/>
    <x v="10"/>
    <x v="2"/>
  </r>
  <r>
    <x v="1911"/>
    <x v="1"/>
    <x v="0"/>
    <n v="40.299999999999997"/>
    <x v="518"/>
    <x v="69"/>
    <d v="2025-03-12T00:00:00"/>
    <x v="3"/>
    <x v="1"/>
    <x v="0"/>
    <s v="California"/>
    <s v="Los Angeles County"/>
    <x v="3"/>
    <x v="10"/>
    <x v="3"/>
  </r>
  <r>
    <x v="1912"/>
    <x v="6"/>
    <x v="1"/>
    <n v="108.8"/>
    <x v="1479"/>
    <x v="69"/>
    <d v="2025-03-16T00:00:00"/>
    <x v="1"/>
    <x v="0"/>
    <x v="2"/>
    <s v="California"/>
    <s v="Sacramento County"/>
    <x v="0"/>
    <x v="10"/>
    <x v="1"/>
  </r>
  <r>
    <x v="1913"/>
    <x v="8"/>
    <x v="2"/>
    <n v="48.2"/>
    <x v="1435"/>
    <x v="69"/>
    <d v="2025-03-16T00:00:00"/>
    <x v="2"/>
    <x v="4"/>
    <x v="0"/>
    <s v="California"/>
    <s v="San Bernardino County"/>
    <x v="0"/>
    <x v="10"/>
    <x v="2"/>
  </r>
  <r>
    <x v="1914"/>
    <x v="2"/>
    <x v="2"/>
    <n v="104.7"/>
    <x v="1480"/>
    <x v="69"/>
    <d v="2025-03-13T00:00:00"/>
    <x v="2"/>
    <x v="0"/>
    <x v="1"/>
    <s v="California"/>
    <s v="San Bernardino County"/>
    <x v="1"/>
    <x v="10"/>
    <x v="2"/>
  </r>
  <r>
    <x v="1915"/>
    <x v="1"/>
    <x v="1"/>
    <n v="80.599999999999994"/>
    <x v="154"/>
    <x v="69"/>
    <d v="2025-03-11T00:00:00"/>
    <x v="2"/>
    <x v="1"/>
    <x v="0"/>
    <s v="California"/>
    <s v="San Diego County"/>
    <x v="7"/>
    <x v="10"/>
    <x v="2"/>
  </r>
  <r>
    <x v="1916"/>
    <x v="6"/>
    <x v="0"/>
    <n v="65.5"/>
    <x v="1481"/>
    <x v="69"/>
    <d v="2025-03-13T00:00:00"/>
    <x v="3"/>
    <x v="1"/>
    <x v="0"/>
    <s v="California"/>
    <s v="San Diego County"/>
    <x v="1"/>
    <x v="10"/>
    <x v="3"/>
  </r>
  <r>
    <x v="1917"/>
    <x v="9"/>
    <x v="2"/>
    <n v="61.4"/>
    <x v="1173"/>
    <x v="69"/>
    <d v="2025-03-13T00:00:00"/>
    <x v="2"/>
    <x v="4"/>
    <x v="2"/>
    <s v="California"/>
    <s v="San Diego County"/>
    <x v="1"/>
    <x v="10"/>
    <x v="2"/>
  </r>
  <r>
    <x v="1918"/>
    <x v="0"/>
    <x v="0"/>
    <n v="12.5"/>
    <x v="1482"/>
    <x v="70"/>
    <d v="2025-03-15T00:00:00"/>
    <x v="2"/>
    <x v="0"/>
    <x v="1"/>
    <s v="California"/>
    <s v="San Diego County"/>
    <x v="2"/>
    <x v="10"/>
    <x v="2"/>
  </r>
  <r>
    <x v="1919"/>
    <x v="4"/>
    <x v="12"/>
    <n v="35.1"/>
    <x v="381"/>
    <x v="70"/>
    <d v="2025-03-13T00:00:00"/>
    <x v="1"/>
    <x v="2"/>
    <x v="1"/>
    <s v="California"/>
    <s v="San Francisco"/>
    <x v="3"/>
    <x v="10"/>
    <x v="1"/>
  </r>
  <r>
    <x v="1920"/>
    <x v="5"/>
    <x v="1"/>
    <n v="55.7"/>
    <x v="1483"/>
    <x v="70"/>
    <d v="2025-03-13T00:00:00"/>
    <x v="1"/>
    <x v="0"/>
    <x v="1"/>
    <s v="California"/>
    <s v="San Joaquin County"/>
    <x v="3"/>
    <x v="10"/>
    <x v="1"/>
  </r>
  <r>
    <x v="1921"/>
    <x v="7"/>
    <x v="1"/>
    <n v="57.7"/>
    <x v="1484"/>
    <x v="70"/>
    <d v="2025-03-14T00:00:00"/>
    <x v="1"/>
    <x v="4"/>
    <x v="1"/>
    <s v="California"/>
    <s v="San Mateo County"/>
    <x v="1"/>
    <x v="10"/>
    <x v="1"/>
  </r>
  <r>
    <x v="1922"/>
    <x v="2"/>
    <x v="13"/>
    <n v="85.7"/>
    <x v="1485"/>
    <x v="70"/>
    <d v="2025-03-13T00:00:00"/>
    <x v="1"/>
    <x v="3"/>
    <x v="2"/>
    <s v="California"/>
    <s v="San Mateo County"/>
    <x v="3"/>
    <x v="10"/>
    <x v="1"/>
  </r>
  <r>
    <x v="1923"/>
    <x v="2"/>
    <x v="2"/>
    <n v="86.9"/>
    <x v="1486"/>
    <x v="70"/>
    <d v="2025-03-14T00:00:00"/>
    <x v="2"/>
    <x v="1"/>
    <x v="0"/>
    <s v="California"/>
    <s v="Santa Clara County"/>
    <x v="1"/>
    <x v="10"/>
    <x v="2"/>
  </r>
  <r>
    <x v="1924"/>
    <x v="18"/>
    <x v="1"/>
    <n v="46.4"/>
    <x v="1487"/>
    <x v="70"/>
    <d v="2025-03-15T00:00:00"/>
    <x v="2"/>
    <x v="4"/>
    <x v="0"/>
    <s v="California"/>
    <s v="Santa Clara County"/>
    <x v="2"/>
    <x v="10"/>
    <x v="2"/>
  </r>
  <r>
    <x v="1925"/>
    <x v="5"/>
    <x v="2"/>
    <n v="25.4"/>
    <x v="1488"/>
    <x v="70"/>
    <d v="2025-03-12T00:00:00"/>
    <x v="2"/>
    <x v="2"/>
    <x v="2"/>
    <s v="California"/>
    <s v="Sonoma County"/>
    <x v="7"/>
    <x v="10"/>
    <x v="2"/>
  </r>
  <r>
    <x v="1926"/>
    <x v="10"/>
    <x v="2"/>
    <n v="47.8"/>
    <x v="1489"/>
    <x v="70"/>
    <d v="2025-03-12T00:00:00"/>
    <x v="0"/>
    <x v="2"/>
    <x v="2"/>
    <s v="California"/>
    <s v="Stanislaus County"/>
    <x v="7"/>
    <x v="10"/>
    <x v="0"/>
  </r>
  <r>
    <x v="1927"/>
    <x v="8"/>
    <x v="10"/>
    <n v="18.399999999999999"/>
    <x v="1490"/>
    <x v="70"/>
    <d v="2025-03-14T00:00:00"/>
    <x v="3"/>
    <x v="2"/>
    <x v="0"/>
    <s v="California"/>
    <s v="Tulare County"/>
    <x v="1"/>
    <x v="10"/>
    <x v="3"/>
  </r>
  <r>
    <x v="1928"/>
    <x v="12"/>
    <x v="2"/>
    <n v="65.5"/>
    <x v="756"/>
    <x v="70"/>
    <d v="2025-03-20T00:00:00"/>
    <x v="2"/>
    <x v="0"/>
    <x v="0"/>
    <s v="California"/>
    <s v="Alameda County"/>
    <x v="9"/>
    <x v="10"/>
    <x v="2"/>
  </r>
  <r>
    <x v="1929"/>
    <x v="10"/>
    <x v="1"/>
    <n v="50.6"/>
    <x v="855"/>
    <x v="70"/>
    <d v="2025-03-15T00:00:00"/>
    <x v="1"/>
    <x v="2"/>
    <x v="4"/>
    <s v="California"/>
    <s v="Alameda County"/>
    <x v="2"/>
    <x v="10"/>
    <x v="1"/>
  </r>
  <r>
    <x v="1930"/>
    <x v="3"/>
    <x v="9"/>
    <n v="69"/>
    <x v="1491"/>
    <x v="70"/>
    <d v="2025-03-16T00:00:00"/>
    <x v="1"/>
    <x v="3"/>
    <x v="0"/>
    <s v="California"/>
    <s v="Alameda County"/>
    <x v="5"/>
    <x v="10"/>
    <x v="1"/>
  </r>
  <r>
    <x v="1931"/>
    <x v="9"/>
    <x v="8"/>
    <n v="51.1"/>
    <x v="18"/>
    <x v="70"/>
    <d v="2025-03-14T00:00:00"/>
    <x v="2"/>
    <x v="0"/>
    <x v="0"/>
    <s v="California"/>
    <s v="Contra Costa County"/>
    <x v="1"/>
    <x v="10"/>
    <x v="2"/>
  </r>
  <r>
    <x v="1932"/>
    <x v="9"/>
    <x v="0"/>
    <n v="36.1"/>
    <x v="168"/>
    <x v="70"/>
    <d v="2025-03-13T00:00:00"/>
    <x v="2"/>
    <x v="0"/>
    <x v="2"/>
    <s v="California"/>
    <s v="Kings County"/>
    <x v="3"/>
    <x v="10"/>
    <x v="2"/>
  </r>
  <r>
    <x v="1933"/>
    <x v="14"/>
    <x v="0"/>
    <n v="18.7"/>
    <x v="1492"/>
    <x v="70"/>
    <d v="2025-03-13T00:00:00"/>
    <x v="1"/>
    <x v="0"/>
    <x v="0"/>
    <s v="California"/>
    <s v="Los Angeles County"/>
    <x v="3"/>
    <x v="10"/>
    <x v="1"/>
  </r>
  <r>
    <x v="1934"/>
    <x v="17"/>
    <x v="0"/>
    <n v="30.1"/>
    <x v="1493"/>
    <x v="70"/>
    <d v="2025-03-15T00:00:00"/>
    <x v="2"/>
    <x v="3"/>
    <x v="1"/>
    <s v="California"/>
    <s v="Los Angeles County"/>
    <x v="2"/>
    <x v="10"/>
    <x v="2"/>
  </r>
  <r>
    <x v="1935"/>
    <x v="8"/>
    <x v="0"/>
    <n v="16.3"/>
    <x v="1494"/>
    <x v="70"/>
    <d v="2025-03-13T00:00:00"/>
    <x v="1"/>
    <x v="3"/>
    <x v="0"/>
    <s v="California"/>
    <s v="Los Angeles County"/>
    <x v="3"/>
    <x v="10"/>
    <x v="1"/>
  </r>
  <r>
    <x v="1936"/>
    <x v="1"/>
    <x v="2"/>
    <n v="63.8"/>
    <x v="1348"/>
    <x v="70"/>
    <d v="2025-03-17T00:00:00"/>
    <x v="2"/>
    <x v="2"/>
    <x v="1"/>
    <s v="California"/>
    <s v="Los Angeles County"/>
    <x v="0"/>
    <x v="10"/>
    <x v="2"/>
  </r>
  <r>
    <x v="1937"/>
    <x v="1"/>
    <x v="3"/>
    <n v="73.900000000000006"/>
    <x v="1495"/>
    <x v="70"/>
    <d v="2025-03-12T00:00:00"/>
    <x v="2"/>
    <x v="0"/>
    <x v="1"/>
    <s v="California"/>
    <s v="Los Angeles County"/>
    <x v="7"/>
    <x v="10"/>
    <x v="2"/>
  </r>
  <r>
    <x v="1938"/>
    <x v="0"/>
    <x v="1"/>
    <n v="20.2"/>
    <x v="1400"/>
    <x v="70"/>
    <d v="2025-03-13T00:00:00"/>
    <x v="1"/>
    <x v="0"/>
    <x v="1"/>
    <s v="California"/>
    <s v="Los Angeles County"/>
    <x v="3"/>
    <x v="10"/>
    <x v="1"/>
  </r>
  <r>
    <x v="1939"/>
    <x v="11"/>
    <x v="5"/>
    <n v="29.5"/>
    <x v="1496"/>
    <x v="70"/>
    <d v="2025-03-13T00:00:00"/>
    <x v="1"/>
    <x v="0"/>
    <x v="0"/>
    <s v="California"/>
    <s v="Los Angeles County"/>
    <x v="3"/>
    <x v="10"/>
    <x v="1"/>
  </r>
  <r>
    <x v="1940"/>
    <x v="15"/>
    <x v="3"/>
    <n v="37.9"/>
    <x v="1497"/>
    <x v="70"/>
    <d v="2025-03-13T00:00:00"/>
    <x v="1"/>
    <x v="1"/>
    <x v="0"/>
    <s v="California"/>
    <s v="Los Angeles County"/>
    <x v="3"/>
    <x v="10"/>
    <x v="1"/>
  </r>
  <r>
    <x v="1941"/>
    <x v="2"/>
    <x v="0"/>
    <n v="56.5"/>
    <x v="1498"/>
    <x v="70"/>
    <d v="2025-03-13T00:00:00"/>
    <x v="2"/>
    <x v="2"/>
    <x v="1"/>
    <s v="California"/>
    <s v="Los Angeles County"/>
    <x v="3"/>
    <x v="10"/>
    <x v="2"/>
  </r>
  <r>
    <x v="1942"/>
    <x v="2"/>
    <x v="1"/>
    <n v="66.900000000000006"/>
    <x v="981"/>
    <x v="70"/>
    <d v="2025-03-18T00:00:00"/>
    <x v="1"/>
    <x v="1"/>
    <x v="4"/>
    <s v="California"/>
    <s v="Orange County"/>
    <x v="4"/>
    <x v="10"/>
    <x v="1"/>
  </r>
  <r>
    <x v="1943"/>
    <x v="2"/>
    <x v="9"/>
    <n v="51.9"/>
    <x v="1499"/>
    <x v="70"/>
    <d v="2025-03-15T00:00:00"/>
    <x v="1"/>
    <x v="1"/>
    <x v="0"/>
    <s v="California"/>
    <s v="San Bernardino County"/>
    <x v="2"/>
    <x v="10"/>
    <x v="1"/>
  </r>
  <r>
    <x v="1944"/>
    <x v="2"/>
    <x v="1"/>
    <n v="75.599999999999994"/>
    <x v="277"/>
    <x v="70"/>
    <d v="2025-03-15T00:00:00"/>
    <x v="1"/>
    <x v="1"/>
    <x v="0"/>
    <s v="California"/>
    <s v="San Diego County"/>
    <x v="2"/>
    <x v="10"/>
    <x v="1"/>
  </r>
  <r>
    <x v="1945"/>
    <x v="12"/>
    <x v="13"/>
    <n v="47.3"/>
    <x v="592"/>
    <x v="70"/>
    <d v="2025-03-23T00:00:00"/>
    <x v="1"/>
    <x v="0"/>
    <x v="0"/>
    <s v="California"/>
    <s v="San Diego County"/>
    <x v="11"/>
    <x v="10"/>
    <x v="1"/>
  </r>
  <r>
    <x v="1946"/>
    <x v="4"/>
    <x v="0"/>
    <n v="20.6"/>
    <x v="1500"/>
    <x v="70"/>
    <d v="2025-03-13T00:00:00"/>
    <x v="0"/>
    <x v="0"/>
    <x v="1"/>
    <s v="California"/>
    <s v="San Diego County"/>
    <x v="3"/>
    <x v="10"/>
    <x v="0"/>
  </r>
  <r>
    <x v="1947"/>
    <x v="6"/>
    <x v="2"/>
    <n v="49.7"/>
    <x v="1501"/>
    <x v="70"/>
    <d v="2025-03-14T00:00:00"/>
    <x v="1"/>
    <x v="0"/>
    <x v="1"/>
    <s v="California"/>
    <s v="San Diego County"/>
    <x v="1"/>
    <x v="10"/>
    <x v="1"/>
  </r>
  <r>
    <x v="1948"/>
    <x v="3"/>
    <x v="0"/>
    <n v="37.9"/>
    <x v="853"/>
    <x v="70"/>
    <d v="2025-03-14T00:00:00"/>
    <x v="2"/>
    <x v="0"/>
    <x v="0"/>
    <s v="California"/>
    <s v="San Diego County"/>
    <x v="1"/>
    <x v="10"/>
    <x v="2"/>
  </r>
  <r>
    <x v="1949"/>
    <x v="13"/>
    <x v="20"/>
    <n v="32"/>
    <x v="1502"/>
    <x v="70"/>
    <d v="2025-03-14T00:00:00"/>
    <x v="2"/>
    <x v="4"/>
    <x v="0"/>
    <s v="California"/>
    <s v="Santa Clara County"/>
    <x v="1"/>
    <x v="10"/>
    <x v="2"/>
  </r>
  <r>
    <x v="1950"/>
    <x v="10"/>
    <x v="16"/>
    <n v="38.5"/>
    <x v="1503"/>
    <x v="71"/>
    <d v="2025-03-14T00:00:00"/>
    <x v="1"/>
    <x v="0"/>
    <x v="2"/>
    <s v="California"/>
    <s v="Santa Clara County"/>
    <x v="3"/>
    <x v="10"/>
    <x v="1"/>
  </r>
  <r>
    <x v="1951"/>
    <x v="0"/>
    <x v="12"/>
    <n v="11.7"/>
    <x v="86"/>
    <x v="71"/>
    <d v="2025-03-15T00:00:00"/>
    <x v="2"/>
    <x v="1"/>
    <x v="0"/>
    <s v="California"/>
    <s v="Tulare County"/>
    <x v="1"/>
    <x v="10"/>
    <x v="2"/>
  </r>
  <r>
    <x v="1952"/>
    <x v="3"/>
    <x v="13"/>
    <n v="83.8"/>
    <x v="1504"/>
    <x v="71"/>
    <d v="2025-03-14T00:00:00"/>
    <x v="1"/>
    <x v="0"/>
    <x v="0"/>
    <s v="California"/>
    <s v="Alameda County"/>
    <x v="3"/>
    <x v="10"/>
    <x v="1"/>
  </r>
  <r>
    <x v="1953"/>
    <x v="0"/>
    <x v="3"/>
    <n v="14"/>
    <x v="11"/>
    <x v="71"/>
    <d v="2025-03-16T00:00:00"/>
    <x v="1"/>
    <x v="0"/>
    <x v="1"/>
    <s v="California"/>
    <s v="Kern County"/>
    <x v="2"/>
    <x v="10"/>
    <x v="1"/>
  </r>
  <r>
    <x v="1954"/>
    <x v="16"/>
    <x v="12"/>
    <n v="77.3"/>
    <x v="1505"/>
    <x v="71"/>
    <d v="2025-03-15T00:00:00"/>
    <x v="2"/>
    <x v="4"/>
    <x v="2"/>
    <s v="California"/>
    <s v="Los Angeles County"/>
    <x v="1"/>
    <x v="10"/>
    <x v="2"/>
  </r>
  <r>
    <x v="1955"/>
    <x v="2"/>
    <x v="1"/>
    <n v="76.900000000000006"/>
    <x v="1506"/>
    <x v="71"/>
    <d v="2025-03-17T00:00:00"/>
    <x v="2"/>
    <x v="0"/>
    <x v="1"/>
    <s v="California"/>
    <s v="Los Angeles County"/>
    <x v="5"/>
    <x v="10"/>
    <x v="2"/>
  </r>
  <r>
    <x v="1956"/>
    <x v="1"/>
    <x v="0"/>
    <n v="48"/>
    <x v="510"/>
    <x v="71"/>
    <d v="2025-03-15T00:00:00"/>
    <x v="2"/>
    <x v="1"/>
    <x v="2"/>
    <s v="California"/>
    <s v="Los Angeles County"/>
    <x v="1"/>
    <x v="10"/>
    <x v="2"/>
  </r>
  <r>
    <x v="1957"/>
    <x v="2"/>
    <x v="0"/>
    <n v="94.5"/>
    <x v="234"/>
    <x v="71"/>
    <d v="2025-03-16T00:00:00"/>
    <x v="1"/>
    <x v="1"/>
    <x v="1"/>
    <s v="California"/>
    <s v="Los Angeles County"/>
    <x v="2"/>
    <x v="10"/>
    <x v="1"/>
  </r>
  <r>
    <x v="1958"/>
    <x v="10"/>
    <x v="2"/>
    <n v="58.4"/>
    <x v="122"/>
    <x v="71"/>
    <d v="2025-03-15T00:00:00"/>
    <x v="2"/>
    <x v="1"/>
    <x v="2"/>
    <s v="California"/>
    <s v="Los Angeles County"/>
    <x v="1"/>
    <x v="10"/>
    <x v="2"/>
  </r>
  <r>
    <x v="1959"/>
    <x v="7"/>
    <x v="15"/>
    <n v="42.2"/>
    <x v="1507"/>
    <x v="71"/>
    <d v="2025-03-13T00:00:00"/>
    <x v="1"/>
    <x v="0"/>
    <x v="0"/>
    <s v="California"/>
    <s v="Orange County"/>
    <x v="7"/>
    <x v="10"/>
    <x v="1"/>
  </r>
  <r>
    <x v="1960"/>
    <x v="6"/>
    <x v="1"/>
    <n v="152.19999999999999"/>
    <x v="1508"/>
    <x v="71"/>
    <d v="2025-03-14T00:00:00"/>
    <x v="1"/>
    <x v="4"/>
    <x v="1"/>
    <s v="California"/>
    <s v="Orange County"/>
    <x v="3"/>
    <x v="10"/>
    <x v="1"/>
  </r>
  <r>
    <x v="1961"/>
    <x v="6"/>
    <x v="25"/>
    <n v="72"/>
    <x v="1509"/>
    <x v="71"/>
    <d v="2025-03-14T00:00:00"/>
    <x v="1"/>
    <x v="0"/>
    <x v="1"/>
    <s v="California"/>
    <s v="Sacramento County"/>
    <x v="3"/>
    <x v="10"/>
    <x v="1"/>
  </r>
  <r>
    <x v="1962"/>
    <x v="1"/>
    <x v="44"/>
    <n v="70.900000000000006"/>
    <x v="1510"/>
    <x v="71"/>
    <d v="2025-03-14T00:00:00"/>
    <x v="2"/>
    <x v="2"/>
    <x v="0"/>
    <s v="California"/>
    <s v="San Diego County"/>
    <x v="3"/>
    <x v="10"/>
    <x v="2"/>
  </r>
  <r>
    <x v="1963"/>
    <x v="2"/>
    <x v="1"/>
    <n v="53.7"/>
    <x v="1511"/>
    <x v="71"/>
    <d v="2025-03-14T00:00:00"/>
    <x v="1"/>
    <x v="2"/>
    <x v="2"/>
    <s v="California"/>
    <s v="San Diego County"/>
    <x v="3"/>
    <x v="10"/>
    <x v="1"/>
  </r>
  <r>
    <x v="1964"/>
    <x v="9"/>
    <x v="12"/>
    <n v="42.9"/>
    <x v="1512"/>
    <x v="71"/>
    <d v="2025-03-14T00:00:00"/>
    <x v="2"/>
    <x v="2"/>
    <x v="4"/>
    <s v="California"/>
    <s v="San Mateo County"/>
    <x v="3"/>
    <x v="10"/>
    <x v="2"/>
  </r>
  <r>
    <x v="1965"/>
    <x v="2"/>
    <x v="3"/>
    <n v="107.5"/>
    <x v="1513"/>
    <x v="71"/>
    <d v="2025-03-14T00:00:00"/>
    <x v="1"/>
    <x v="1"/>
    <x v="0"/>
    <s v="California"/>
    <s v="Santa Clara County"/>
    <x v="3"/>
    <x v="10"/>
    <x v="1"/>
  </r>
  <r>
    <x v="1966"/>
    <x v="17"/>
    <x v="27"/>
    <n v="21.5"/>
    <x v="1213"/>
    <x v="71"/>
    <d v="2025-03-14T00:00:00"/>
    <x v="1"/>
    <x v="1"/>
    <x v="1"/>
    <s v="California"/>
    <s v="Santa Cruz County"/>
    <x v="3"/>
    <x v="10"/>
    <x v="1"/>
  </r>
  <r>
    <x v="1967"/>
    <x v="3"/>
    <x v="9"/>
    <n v="85.3"/>
    <x v="1514"/>
    <x v="71"/>
    <d v="2025-03-15T00:00:00"/>
    <x v="2"/>
    <x v="3"/>
    <x v="0"/>
    <s v="California"/>
    <s v="Sonoma County"/>
    <x v="1"/>
    <x v="10"/>
    <x v="2"/>
  </r>
  <r>
    <x v="1968"/>
    <x v="7"/>
    <x v="9"/>
    <n v="80.8"/>
    <x v="1515"/>
    <x v="71"/>
    <d v="2025-03-21T00:00:00"/>
    <x v="3"/>
    <x v="1"/>
    <x v="1"/>
    <s v="California"/>
    <s v="Stanislaus County"/>
    <x v="9"/>
    <x v="10"/>
    <x v="3"/>
  </r>
  <r>
    <x v="1969"/>
    <x v="2"/>
    <x v="2"/>
    <n v="123.1"/>
    <x v="1516"/>
    <x v="71"/>
    <d v="2025-03-15T00:00:00"/>
    <x v="0"/>
    <x v="2"/>
    <x v="0"/>
    <s v="California"/>
    <s v="Alameda County"/>
    <x v="1"/>
    <x v="10"/>
    <x v="0"/>
  </r>
  <r>
    <x v="1970"/>
    <x v="8"/>
    <x v="1"/>
    <n v="36.9"/>
    <x v="1517"/>
    <x v="71"/>
    <d v="2025-03-15T00:00:00"/>
    <x v="2"/>
    <x v="2"/>
    <x v="4"/>
    <s v="California"/>
    <s v="Butte County"/>
    <x v="1"/>
    <x v="10"/>
    <x v="2"/>
  </r>
  <r>
    <x v="1971"/>
    <x v="11"/>
    <x v="9"/>
    <n v="40"/>
    <x v="308"/>
    <x v="71"/>
    <d v="2025-03-14T00:00:00"/>
    <x v="1"/>
    <x v="0"/>
    <x v="0"/>
    <s v="California"/>
    <s v="Contra Costa County"/>
    <x v="3"/>
    <x v="10"/>
    <x v="1"/>
  </r>
  <r>
    <x v="1972"/>
    <x v="6"/>
    <x v="2"/>
    <n v="55.5"/>
    <x v="1256"/>
    <x v="71"/>
    <d v="2025-03-14T00:00:00"/>
    <x v="1"/>
    <x v="4"/>
    <x v="2"/>
    <s v="California"/>
    <s v="Contra Costa County"/>
    <x v="3"/>
    <x v="10"/>
    <x v="1"/>
  </r>
  <r>
    <x v="1973"/>
    <x v="0"/>
    <x v="12"/>
    <n v="20.5"/>
    <x v="1518"/>
    <x v="71"/>
    <d v="2025-03-17T00:00:00"/>
    <x v="2"/>
    <x v="4"/>
    <x v="0"/>
    <s v="California"/>
    <s v="Contra Costa County"/>
    <x v="5"/>
    <x v="10"/>
    <x v="2"/>
  </r>
  <r>
    <x v="1974"/>
    <x v="18"/>
    <x v="12"/>
    <n v="50.1"/>
    <x v="1519"/>
    <x v="71"/>
    <d v="2025-03-14T00:00:00"/>
    <x v="2"/>
    <x v="4"/>
    <x v="0"/>
    <s v="California"/>
    <s v="Contra Costa County"/>
    <x v="3"/>
    <x v="10"/>
    <x v="2"/>
  </r>
  <r>
    <x v="1975"/>
    <x v="9"/>
    <x v="0"/>
    <n v="35.9"/>
    <x v="1520"/>
    <x v="71"/>
    <d v="2025-03-15T00:00:00"/>
    <x v="1"/>
    <x v="1"/>
    <x v="2"/>
    <s v="California"/>
    <s v="Contra Costa County"/>
    <x v="1"/>
    <x v="10"/>
    <x v="1"/>
  </r>
  <r>
    <x v="1976"/>
    <x v="13"/>
    <x v="12"/>
    <n v="29.4"/>
    <x v="833"/>
    <x v="72"/>
    <d v="2025-03-15T00:00:00"/>
    <x v="1"/>
    <x v="2"/>
    <x v="2"/>
    <s v="California"/>
    <s v="Imperial County"/>
    <x v="3"/>
    <x v="10"/>
    <x v="1"/>
  </r>
  <r>
    <x v="1977"/>
    <x v="8"/>
    <x v="9"/>
    <n v="29.1"/>
    <x v="973"/>
    <x v="72"/>
    <d v="2025-03-22T00:00:00"/>
    <x v="3"/>
    <x v="2"/>
    <x v="1"/>
    <s v="California"/>
    <s v="Imperial County"/>
    <x v="9"/>
    <x v="10"/>
    <x v="3"/>
  </r>
  <r>
    <x v="1978"/>
    <x v="8"/>
    <x v="2"/>
    <n v="33.5"/>
    <x v="427"/>
    <x v="72"/>
    <d v="2025-03-26T00:00:00"/>
    <x v="1"/>
    <x v="0"/>
    <x v="2"/>
    <s v="California"/>
    <s v="Kern County"/>
    <x v="13"/>
    <x v="10"/>
    <x v="1"/>
  </r>
  <r>
    <x v="1979"/>
    <x v="4"/>
    <x v="7"/>
    <n v="36"/>
    <x v="1521"/>
    <x v="72"/>
    <d v="2025-03-14T00:00:00"/>
    <x v="1"/>
    <x v="3"/>
    <x v="2"/>
    <s v="California"/>
    <s v="Los Angeles County"/>
    <x v="7"/>
    <x v="10"/>
    <x v="1"/>
  </r>
  <r>
    <x v="1980"/>
    <x v="16"/>
    <x v="2"/>
    <n v="57.3"/>
    <x v="1522"/>
    <x v="72"/>
    <d v="2025-03-18T00:00:00"/>
    <x v="2"/>
    <x v="0"/>
    <x v="2"/>
    <s v="California"/>
    <s v="Los Angeles County"/>
    <x v="5"/>
    <x v="10"/>
    <x v="2"/>
  </r>
  <r>
    <x v="1981"/>
    <x v="1"/>
    <x v="0"/>
    <n v="81.400000000000006"/>
    <x v="1523"/>
    <x v="72"/>
    <d v="2025-03-15T00:00:00"/>
    <x v="2"/>
    <x v="2"/>
    <x v="2"/>
    <s v="California"/>
    <s v="Los Angeles County"/>
    <x v="3"/>
    <x v="10"/>
    <x v="2"/>
  </r>
  <r>
    <x v="1982"/>
    <x v="10"/>
    <x v="1"/>
    <n v="35.299999999999997"/>
    <x v="527"/>
    <x v="72"/>
    <d v="2025-03-18T00:00:00"/>
    <x v="1"/>
    <x v="0"/>
    <x v="2"/>
    <s v="California"/>
    <s v="Los Angeles County"/>
    <x v="5"/>
    <x v="10"/>
    <x v="1"/>
  </r>
  <r>
    <x v="1983"/>
    <x v="3"/>
    <x v="0"/>
    <n v="36.1"/>
    <x v="168"/>
    <x v="72"/>
    <d v="2025-03-15T00:00:00"/>
    <x v="2"/>
    <x v="4"/>
    <x v="0"/>
    <s v="California"/>
    <s v="Los Angeles County"/>
    <x v="3"/>
    <x v="10"/>
    <x v="2"/>
  </r>
  <r>
    <x v="1984"/>
    <x v="1"/>
    <x v="1"/>
    <n v="36.700000000000003"/>
    <x v="1524"/>
    <x v="72"/>
    <d v="2025-03-16T00:00:00"/>
    <x v="2"/>
    <x v="0"/>
    <x v="2"/>
    <s v="California"/>
    <s v="Los Angeles County"/>
    <x v="1"/>
    <x v="10"/>
    <x v="2"/>
  </r>
  <r>
    <x v="1985"/>
    <x v="10"/>
    <x v="0"/>
    <n v="20.9"/>
    <x v="798"/>
    <x v="72"/>
    <d v="2025-03-16T00:00:00"/>
    <x v="2"/>
    <x v="0"/>
    <x v="4"/>
    <s v="California"/>
    <s v="Los Angeles County"/>
    <x v="1"/>
    <x v="10"/>
    <x v="2"/>
  </r>
  <r>
    <x v="1986"/>
    <x v="12"/>
    <x v="2"/>
    <n v="58.8"/>
    <x v="1525"/>
    <x v="72"/>
    <d v="2025-03-18T00:00:00"/>
    <x v="1"/>
    <x v="0"/>
    <x v="2"/>
    <s v="California"/>
    <s v="Orange County"/>
    <x v="5"/>
    <x v="10"/>
    <x v="1"/>
  </r>
  <r>
    <x v="1987"/>
    <x v="2"/>
    <x v="2"/>
    <n v="97.6"/>
    <x v="1526"/>
    <x v="73"/>
    <d v="2025-03-17T00:00:00"/>
    <x v="0"/>
    <x v="0"/>
    <x v="0"/>
    <s v="California"/>
    <s v="Sacramento County"/>
    <x v="1"/>
    <x v="10"/>
    <x v="0"/>
  </r>
  <r>
    <x v="1988"/>
    <x v="1"/>
    <x v="1"/>
    <n v="58.7"/>
    <x v="1527"/>
    <x v="73"/>
    <d v="2025-03-18T00:00:00"/>
    <x v="2"/>
    <x v="0"/>
    <x v="1"/>
    <s v="California"/>
    <s v="Sacramento County"/>
    <x v="2"/>
    <x v="10"/>
    <x v="2"/>
  </r>
  <r>
    <x v="1989"/>
    <x v="6"/>
    <x v="9"/>
    <n v="71.900000000000006"/>
    <x v="1528"/>
    <x v="73"/>
    <d v="2025-03-16T00:00:00"/>
    <x v="0"/>
    <x v="0"/>
    <x v="1"/>
    <s v="California"/>
    <s v="Sacramento County"/>
    <x v="3"/>
    <x v="10"/>
    <x v="0"/>
  </r>
  <r>
    <x v="1990"/>
    <x v="1"/>
    <x v="1"/>
    <n v="62.4"/>
    <x v="1109"/>
    <x v="73"/>
    <d v="2025-03-17T00:00:00"/>
    <x v="0"/>
    <x v="0"/>
    <x v="1"/>
    <s v="California"/>
    <s v="San Diego County"/>
    <x v="1"/>
    <x v="10"/>
    <x v="0"/>
  </r>
  <r>
    <x v="1991"/>
    <x v="6"/>
    <x v="27"/>
    <n v="53.8"/>
    <x v="1529"/>
    <x v="73"/>
    <d v="2025-03-16T00:00:00"/>
    <x v="2"/>
    <x v="1"/>
    <x v="0"/>
    <s v="California"/>
    <s v="San Diego County"/>
    <x v="3"/>
    <x v="10"/>
    <x v="2"/>
  </r>
  <r>
    <x v="1992"/>
    <x v="9"/>
    <x v="0"/>
    <n v="43.8"/>
    <x v="328"/>
    <x v="73"/>
    <d v="2025-03-22T00:00:00"/>
    <x v="2"/>
    <x v="0"/>
    <x v="2"/>
    <s v="California"/>
    <s v="San Diego County"/>
    <x v="6"/>
    <x v="10"/>
    <x v="2"/>
  </r>
  <r>
    <x v="1993"/>
    <x v="5"/>
    <x v="2"/>
    <n v="53.6"/>
    <x v="1530"/>
    <x v="73"/>
    <d v="2025-03-16T00:00:00"/>
    <x v="1"/>
    <x v="3"/>
    <x v="0"/>
    <s v="California"/>
    <s v="San Diego County"/>
    <x v="3"/>
    <x v="10"/>
    <x v="1"/>
  </r>
  <r>
    <x v="1994"/>
    <x v="12"/>
    <x v="1"/>
    <n v="84.3"/>
    <x v="1531"/>
    <x v="73"/>
    <d v="2025-03-18T00:00:00"/>
    <x v="1"/>
    <x v="4"/>
    <x v="1"/>
    <s v="California"/>
    <s v="San Diego County"/>
    <x v="2"/>
    <x v="10"/>
    <x v="1"/>
  </r>
  <r>
    <x v="1995"/>
    <x v="6"/>
    <x v="11"/>
    <n v="117.9"/>
    <x v="1532"/>
    <x v="73"/>
    <d v="2025-03-16T00:00:00"/>
    <x v="2"/>
    <x v="1"/>
    <x v="2"/>
    <s v="California"/>
    <s v="San Diego County"/>
    <x v="3"/>
    <x v="10"/>
    <x v="2"/>
  </r>
  <r>
    <x v="1996"/>
    <x v="4"/>
    <x v="8"/>
    <n v="30"/>
    <x v="1533"/>
    <x v="73"/>
    <d v="2025-03-16T00:00:00"/>
    <x v="2"/>
    <x v="1"/>
    <x v="0"/>
    <s v="California"/>
    <s v="San Joaquin County"/>
    <x v="3"/>
    <x v="10"/>
    <x v="2"/>
  </r>
  <r>
    <x v="1997"/>
    <x v="14"/>
    <x v="2"/>
    <n v="37.299999999999997"/>
    <x v="1534"/>
    <x v="73"/>
    <d v="2025-03-16T00:00:00"/>
    <x v="1"/>
    <x v="2"/>
    <x v="0"/>
    <s v="California"/>
    <s v="San Mateo County"/>
    <x v="3"/>
    <x v="10"/>
    <x v="1"/>
  </r>
  <r>
    <x v="1998"/>
    <x v="4"/>
    <x v="11"/>
    <n v="25.1"/>
    <x v="1535"/>
    <x v="73"/>
    <d v="2025-03-17T00:00:00"/>
    <x v="1"/>
    <x v="1"/>
    <x v="2"/>
    <s v="California"/>
    <s v="Santa Clara County"/>
    <x v="1"/>
    <x v="10"/>
    <x v="1"/>
  </r>
  <r>
    <x v="1999"/>
    <x v="8"/>
    <x v="5"/>
    <n v="36"/>
    <x v="501"/>
    <x v="73"/>
    <d v="2025-03-25T00:00:00"/>
    <x v="1"/>
    <x v="1"/>
    <x v="0"/>
    <s v="California"/>
    <s v="Sonoma County"/>
    <x v="14"/>
    <x v="10"/>
    <x v="1"/>
  </r>
  <r>
    <x v="2000"/>
    <x v="16"/>
    <x v="2"/>
    <n v="48.5"/>
    <x v="973"/>
    <x v="73"/>
    <d v="2025-03-19T00:00:00"/>
    <x v="2"/>
    <x v="1"/>
    <x v="0"/>
    <s v="California"/>
    <s v="Stanislaus County"/>
    <x v="5"/>
    <x v="10"/>
    <x v="2"/>
  </r>
  <r>
    <x v="2001"/>
    <x v="17"/>
    <x v="13"/>
    <n v="21.1"/>
    <x v="1077"/>
    <x v="73"/>
    <d v="2025-03-16T00:00:00"/>
    <x v="1"/>
    <x v="1"/>
    <x v="2"/>
    <s v="California"/>
    <s v="Alameda County"/>
    <x v="3"/>
    <x v="10"/>
    <x v="1"/>
  </r>
  <r>
    <x v="2002"/>
    <x v="15"/>
    <x v="21"/>
    <n v="43.2"/>
    <x v="1536"/>
    <x v="73"/>
    <d v="2025-03-16T00:00:00"/>
    <x v="3"/>
    <x v="0"/>
    <x v="1"/>
    <s v="California"/>
    <s v="Alameda County"/>
    <x v="3"/>
    <x v="10"/>
    <x v="3"/>
  </r>
  <r>
    <x v="2003"/>
    <x v="9"/>
    <x v="1"/>
    <n v="21.1"/>
    <x v="1283"/>
    <x v="73"/>
    <d v="2025-03-16T00:00:00"/>
    <x v="0"/>
    <x v="3"/>
    <x v="1"/>
    <s v="California"/>
    <s v="Alameda County"/>
    <x v="3"/>
    <x v="10"/>
    <x v="0"/>
  </r>
  <r>
    <x v="2004"/>
    <x v="6"/>
    <x v="12"/>
    <n v="41.3"/>
    <x v="1537"/>
    <x v="73"/>
    <d v="2025-03-17T00:00:00"/>
    <x v="2"/>
    <x v="3"/>
    <x v="2"/>
    <s v="California"/>
    <s v="Contra Costa County"/>
    <x v="1"/>
    <x v="10"/>
    <x v="2"/>
  </r>
  <r>
    <x v="2005"/>
    <x v="8"/>
    <x v="1"/>
    <n v="15.3"/>
    <x v="1538"/>
    <x v="73"/>
    <d v="2025-03-18T00:00:00"/>
    <x v="0"/>
    <x v="2"/>
    <x v="2"/>
    <s v="California"/>
    <s v="Contra Costa County"/>
    <x v="2"/>
    <x v="10"/>
    <x v="0"/>
  </r>
  <r>
    <x v="2006"/>
    <x v="1"/>
    <x v="0"/>
    <n v="54.6"/>
    <x v="1539"/>
    <x v="73"/>
    <d v="2025-03-17T00:00:00"/>
    <x v="1"/>
    <x v="1"/>
    <x v="1"/>
    <s v="California"/>
    <s v="Fresno County"/>
    <x v="1"/>
    <x v="10"/>
    <x v="1"/>
  </r>
  <r>
    <x v="2007"/>
    <x v="8"/>
    <x v="0"/>
    <n v="15.9"/>
    <x v="1021"/>
    <x v="73"/>
    <d v="2025-03-16T00:00:00"/>
    <x v="1"/>
    <x v="0"/>
    <x v="1"/>
    <s v="California"/>
    <s v="Kern County"/>
    <x v="3"/>
    <x v="10"/>
    <x v="1"/>
  </r>
  <r>
    <x v="2008"/>
    <x v="9"/>
    <x v="0"/>
    <n v="50.2"/>
    <x v="486"/>
    <x v="73"/>
    <d v="2025-03-17T00:00:00"/>
    <x v="2"/>
    <x v="3"/>
    <x v="2"/>
    <s v="California"/>
    <s v="Kings County"/>
    <x v="1"/>
    <x v="10"/>
    <x v="2"/>
  </r>
  <r>
    <x v="2009"/>
    <x v="11"/>
    <x v="12"/>
    <n v="85.1"/>
    <x v="1540"/>
    <x v="73"/>
    <d v="2025-03-16T00:00:00"/>
    <x v="2"/>
    <x v="3"/>
    <x v="4"/>
    <s v="California"/>
    <s v="Kings County"/>
    <x v="3"/>
    <x v="10"/>
    <x v="2"/>
  </r>
  <r>
    <x v="2010"/>
    <x v="11"/>
    <x v="1"/>
    <n v="41.4"/>
    <x v="1182"/>
    <x v="73"/>
    <d v="2025-03-16T00:00:00"/>
    <x v="2"/>
    <x v="0"/>
    <x v="2"/>
    <s v="California"/>
    <s v="Los Angeles County"/>
    <x v="3"/>
    <x v="10"/>
    <x v="2"/>
  </r>
  <r>
    <x v="2011"/>
    <x v="4"/>
    <x v="3"/>
    <n v="32.700000000000003"/>
    <x v="1541"/>
    <x v="73"/>
    <d v="2025-03-16T00:00:00"/>
    <x v="2"/>
    <x v="2"/>
    <x v="1"/>
    <s v="California"/>
    <s v="Los Angeles County"/>
    <x v="3"/>
    <x v="10"/>
    <x v="2"/>
  </r>
  <r>
    <x v="2012"/>
    <x v="4"/>
    <x v="1"/>
    <n v="41.6"/>
    <x v="707"/>
    <x v="73"/>
    <d v="2025-03-17T00:00:00"/>
    <x v="1"/>
    <x v="4"/>
    <x v="1"/>
    <s v="California"/>
    <s v="Los Angeles County"/>
    <x v="1"/>
    <x v="10"/>
    <x v="1"/>
  </r>
  <r>
    <x v="2013"/>
    <x v="5"/>
    <x v="12"/>
    <n v="64.8"/>
    <x v="629"/>
    <x v="73"/>
    <d v="2025-03-16T00:00:00"/>
    <x v="0"/>
    <x v="2"/>
    <x v="0"/>
    <s v="California"/>
    <s v="Los Angeles County"/>
    <x v="3"/>
    <x v="10"/>
    <x v="0"/>
  </r>
  <r>
    <x v="2014"/>
    <x v="15"/>
    <x v="1"/>
    <n v="33.6"/>
    <x v="863"/>
    <x v="73"/>
    <d v="2025-03-16T00:00:00"/>
    <x v="1"/>
    <x v="0"/>
    <x v="2"/>
    <s v="California"/>
    <s v="Los Angeles County"/>
    <x v="3"/>
    <x v="10"/>
    <x v="1"/>
  </r>
  <r>
    <x v="2015"/>
    <x v="6"/>
    <x v="2"/>
    <n v="100.7"/>
    <x v="1542"/>
    <x v="73"/>
    <d v="2025-03-16T00:00:00"/>
    <x v="0"/>
    <x v="1"/>
    <x v="0"/>
    <s v="California"/>
    <s v="Los Angeles County"/>
    <x v="3"/>
    <x v="10"/>
    <x v="0"/>
  </r>
  <r>
    <x v="2016"/>
    <x v="4"/>
    <x v="1"/>
    <n v="49.3"/>
    <x v="1543"/>
    <x v="74"/>
    <d v="2025-03-18T00:00:00"/>
    <x v="2"/>
    <x v="4"/>
    <x v="2"/>
    <s v="California"/>
    <s v="Los Angeles County"/>
    <x v="1"/>
    <x v="11"/>
    <x v="2"/>
  </r>
  <r>
    <x v="2017"/>
    <x v="2"/>
    <x v="13"/>
    <n v="97"/>
    <x v="1544"/>
    <x v="74"/>
    <d v="2025-03-19T00:00:00"/>
    <x v="1"/>
    <x v="2"/>
    <x v="2"/>
    <s v="California"/>
    <s v="Los Angeles County"/>
    <x v="2"/>
    <x v="11"/>
    <x v="1"/>
  </r>
  <r>
    <x v="2018"/>
    <x v="0"/>
    <x v="13"/>
    <n v="25.2"/>
    <x v="277"/>
    <x v="74"/>
    <d v="2025-03-19T00:00:00"/>
    <x v="2"/>
    <x v="4"/>
    <x v="2"/>
    <s v="California"/>
    <s v="Los Angeles County"/>
    <x v="2"/>
    <x v="11"/>
    <x v="2"/>
  </r>
  <r>
    <x v="2019"/>
    <x v="0"/>
    <x v="5"/>
    <n v="12.2"/>
    <x v="1545"/>
    <x v="74"/>
    <d v="2025-03-17T00:00:00"/>
    <x v="0"/>
    <x v="0"/>
    <x v="1"/>
    <s v="California"/>
    <s v="Los Angeles County"/>
    <x v="3"/>
    <x v="11"/>
    <x v="0"/>
  </r>
  <r>
    <x v="2020"/>
    <x v="8"/>
    <x v="3"/>
    <n v="38.799999999999997"/>
    <x v="1546"/>
    <x v="74"/>
    <d v="2025-03-18T00:00:00"/>
    <x v="2"/>
    <x v="1"/>
    <x v="1"/>
    <s v="California"/>
    <s v="Riverside County"/>
    <x v="1"/>
    <x v="11"/>
    <x v="2"/>
  </r>
  <r>
    <x v="2021"/>
    <x v="2"/>
    <x v="12"/>
    <n v="53.2"/>
    <x v="1547"/>
    <x v="74"/>
    <d v="2025-03-17T00:00:00"/>
    <x v="1"/>
    <x v="0"/>
    <x v="2"/>
    <s v="California"/>
    <s v="San Diego County"/>
    <x v="3"/>
    <x v="11"/>
    <x v="1"/>
  </r>
  <r>
    <x v="2022"/>
    <x v="6"/>
    <x v="3"/>
    <n v="151"/>
    <x v="1548"/>
    <x v="74"/>
    <d v="2025-03-17T00:00:00"/>
    <x v="3"/>
    <x v="1"/>
    <x v="1"/>
    <s v="California"/>
    <s v="San Diego County"/>
    <x v="3"/>
    <x v="11"/>
    <x v="3"/>
  </r>
  <r>
    <x v="2023"/>
    <x v="1"/>
    <x v="1"/>
    <n v="37.1"/>
    <x v="1314"/>
    <x v="74"/>
    <d v="2025-03-17T00:00:00"/>
    <x v="2"/>
    <x v="4"/>
    <x v="0"/>
    <s v="California"/>
    <s v="San Diego County"/>
    <x v="3"/>
    <x v="11"/>
    <x v="2"/>
  </r>
  <r>
    <x v="2024"/>
    <x v="5"/>
    <x v="1"/>
    <n v="38.9"/>
    <x v="482"/>
    <x v="74"/>
    <d v="2025-03-17T00:00:00"/>
    <x v="1"/>
    <x v="4"/>
    <x v="0"/>
    <s v="California"/>
    <s v="San Diego County"/>
    <x v="3"/>
    <x v="11"/>
    <x v="1"/>
  </r>
  <r>
    <x v="2025"/>
    <x v="10"/>
    <x v="1"/>
    <n v="35.200000000000003"/>
    <x v="1549"/>
    <x v="74"/>
    <d v="2025-03-17T00:00:00"/>
    <x v="1"/>
    <x v="0"/>
    <x v="2"/>
    <s v="California"/>
    <s v="San Francisco"/>
    <x v="3"/>
    <x v="11"/>
    <x v="1"/>
  </r>
  <r>
    <x v="2026"/>
    <x v="0"/>
    <x v="1"/>
    <n v="22.3"/>
    <x v="225"/>
    <x v="74"/>
    <d v="2025-03-18T00:00:00"/>
    <x v="2"/>
    <x v="1"/>
    <x v="0"/>
    <s v="California"/>
    <s v="San Mateo County"/>
    <x v="1"/>
    <x v="11"/>
    <x v="2"/>
  </r>
  <r>
    <x v="2027"/>
    <x v="9"/>
    <x v="0"/>
    <n v="43.3"/>
    <x v="1286"/>
    <x v="74"/>
    <d v="2025-03-19T00:00:00"/>
    <x v="2"/>
    <x v="0"/>
    <x v="2"/>
    <s v="California"/>
    <s v="Santa Clara County"/>
    <x v="2"/>
    <x v="11"/>
    <x v="2"/>
  </r>
  <r>
    <x v="2028"/>
    <x v="6"/>
    <x v="13"/>
    <n v="75.900000000000006"/>
    <x v="1550"/>
    <x v="74"/>
    <d v="2025-03-22T00:00:00"/>
    <x v="1"/>
    <x v="0"/>
    <x v="0"/>
    <s v="California"/>
    <s v="Santa Clara County"/>
    <x v="4"/>
    <x v="11"/>
    <x v="1"/>
  </r>
  <r>
    <x v="2029"/>
    <x v="6"/>
    <x v="2"/>
    <n v="78.7"/>
    <x v="1551"/>
    <x v="74"/>
    <d v="2025-03-20T00:00:00"/>
    <x v="2"/>
    <x v="2"/>
    <x v="1"/>
    <s v="California"/>
    <s v="Santa Clara County"/>
    <x v="5"/>
    <x v="11"/>
    <x v="2"/>
  </r>
  <r>
    <x v="2030"/>
    <x v="1"/>
    <x v="0"/>
    <n v="66.3"/>
    <x v="1124"/>
    <x v="74"/>
    <d v="2025-03-20T00:00:00"/>
    <x v="2"/>
    <x v="0"/>
    <x v="2"/>
    <s v="California"/>
    <s v="Stanislaus County"/>
    <x v="5"/>
    <x v="11"/>
    <x v="2"/>
  </r>
  <r>
    <x v="2031"/>
    <x v="8"/>
    <x v="1"/>
    <n v="33.6"/>
    <x v="863"/>
    <x v="74"/>
    <d v="2025-03-16T00:00:00"/>
    <x v="1"/>
    <x v="0"/>
    <x v="1"/>
    <s v="California"/>
    <s v="Stanislaus County"/>
    <x v="7"/>
    <x v="11"/>
    <x v="1"/>
  </r>
  <r>
    <x v="2032"/>
    <x v="2"/>
    <x v="3"/>
    <n v="61.4"/>
    <x v="1552"/>
    <x v="74"/>
    <d v="2025-03-17T00:00:00"/>
    <x v="1"/>
    <x v="4"/>
    <x v="0"/>
    <s v="California"/>
    <s v="Stanislaus County"/>
    <x v="3"/>
    <x v="11"/>
    <x v="1"/>
  </r>
  <r>
    <x v="2033"/>
    <x v="8"/>
    <x v="1"/>
    <n v="17.5"/>
    <x v="1553"/>
    <x v="74"/>
    <d v="2025-03-19T00:00:00"/>
    <x v="2"/>
    <x v="0"/>
    <x v="0"/>
    <s v="California"/>
    <s v="Alameda County"/>
    <x v="2"/>
    <x v="11"/>
    <x v="2"/>
  </r>
  <r>
    <x v="2034"/>
    <x v="8"/>
    <x v="1"/>
    <n v="32.5"/>
    <x v="891"/>
    <x v="74"/>
    <d v="2025-03-19T00:00:00"/>
    <x v="2"/>
    <x v="1"/>
    <x v="0"/>
    <s v="California"/>
    <s v="Alameda County"/>
    <x v="2"/>
    <x v="11"/>
    <x v="2"/>
  </r>
  <r>
    <x v="2035"/>
    <x v="4"/>
    <x v="0"/>
    <n v="34.6"/>
    <x v="169"/>
    <x v="74"/>
    <d v="2025-03-17T00:00:00"/>
    <x v="2"/>
    <x v="4"/>
    <x v="0"/>
    <s v="California"/>
    <s v="Alameda County"/>
    <x v="3"/>
    <x v="11"/>
    <x v="2"/>
  </r>
  <r>
    <x v="2036"/>
    <x v="2"/>
    <x v="0"/>
    <n v="75.900000000000006"/>
    <x v="1554"/>
    <x v="74"/>
    <d v="2025-03-16T00:00:00"/>
    <x v="1"/>
    <x v="1"/>
    <x v="2"/>
    <s v="California"/>
    <s v="Alameda County"/>
    <x v="7"/>
    <x v="11"/>
    <x v="1"/>
  </r>
  <r>
    <x v="2037"/>
    <x v="1"/>
    <x v="2"/>
    <n v="42.1"/>
    <x v="1555"/>
    <x v="74"/>
    <d v="2025-03-19T00:00:00"/>
    <x v="1"/>
    <x v="1"/>
    <x v="1"/>
    <s v="California"/>
    <s v="Alameda County"/>
    <x v="2"/>
    <x v="11"/>
    <x v="1"/>
  </r>
  <r>
    <x v="2038"/>
    <x v="7"/>
    <x v="2"/>
    <n v="65.3"/>
    <x v="243"/>
    <x v="74"/>
    <d v="2025-03-23T00:00:00"/>
    <x v="1"/>
    <x v="0"/>
    <x v="0"/>
    <s v="California"/>
    <s v="Contra Costa County"/>
    <x v="6"/>
    <x v="11"/>
    <x v="1"/>
  </r>
  <r>
    <x v="2039"/>
    <x v="15"/>
    <x v="0"/>
    <n v="20.6"/>
    <x v="1500"/>
    <x v="74"/>
    <d v="2025-03-19T00:00:00"/>
    <x v="1"/>
    <x v="3"/>
    <x v="0"/>
    <s v="California"/>
    <s v="El Dorado County"/>
    <x v="2"/>
    <x v="11"/>
    <x v="1"/>
  </r>
  <r>
    <x v="2040"/>
    <x v="8"/>
    <x v="3"/>
    <n v="16.5"/>
    <x v="100"/>
    <x v="74"/>
    <d v="2025-03-17T00:00:00"/>
    <x v="1"/>
    <x v="1"/>
    <x v="1"/>
    <s v="California"/>
    <s v="Fresno County"/>
    <x v="3"/>
    <x v="11"/>
    <x v="1"/>
  </r>
  <r>
    <x v="2041"/>
    <x v="16"/>
    <x v="7"/>
    <n v="36.200000000000003"/>
    <x v="1556"/>
    <x v="74"/>
    <d v="2025-03-18T00:00:00"/>
    <x v="1"/>
    <x v="0"/>
    <x v="2"/>
    <s v="California"/>
    <s v="Fresno County"/>
    <x v="1"/>
    <x v="11"/>
    <x v="1"/>
  </r>
  <r>
    <x v="2042"/>
    <x v="6"/>
    <x v="0"/>
    <n v="53.2"/>
    <x v="1557"/>
    <x v="74"/>
    <d v="2025-03-17T00:00:00"/>
    <x v="2"/>
    <x v="0"/>
    <x v="1"/>
    <s v="California"/>
    <s v="Kern County"/>
    <x v="3"/>
    <x v="11"/>
    <x v="2"/>
  </r>
  <r>
    <x v="2043"/>
    <x v="2"/>
    <x v="21"/>
    <n v="176"/>
    <x v="1558"/>
    <x v="74"/>
    <d v="2025-03-17T00:00:00"/>
    <x v="2"/>
    <x v="0"/>
    <x v="1"/>
    <s v="California"/>
    <s v="Los Angeles County"/>
    <x v="3"/>
    <x v="11"/>
    <x v="2"/>
  </r>
  <r>
    <x v="2044"/>
    <x v="1"/>
    <x v="0"/>
    <n v="52.4"/>
    <x v="1559"/>
    <x v="74"/>
    <d v="2025-03-17T00:00:00"/>
    <x v="1"/>
    <x v="1"/>
    <x v="0"/>
    <s v="California"/>
    <s v="Los Angeles County"/>
    <x v="3"/>
    <x v="11"/>
    <x v="1"/>
  </r>
  <r>
    <x v="2045"/>
    <x v="10"/>
    <x v="2"/>
    <n v="48.2"/>
    <x v="1435"/>
    <x v="74"/>
    <d v="2025-03-17T00:00:00"/>
    <x v="2"/>
    <x v="1"/>
    <x v="2"/>
    <s v="California"/>
    <s v="Los Angeles County"/>
    <x v="3"/>
    <x v="11"/>
    <x v="2"/>
  </r>
  <r>
    <x v="2046"/>
    <x v="15"/>
    <x v="0"/>
    <n v="51.6"/>
    <x v="937"/>
    <x v="74"/>
    <d v="2025-03-20T00:00:00"/>
    <x v="2"/>
    <x v="2"/>
    <x v="1"/>
    <s v="California"/>
    <s v="Los Angeles County"/>
    <x v="5"/>
    <x v="11"/>
    <x v="2"/>
  </r>
  <r>
    <x v="2047"/>
    <x v="0"/>
    <x v="12"/>
    <n v="33.700000000000003"/>
    <x v="1093"/>
    <x v="75"/>
    <d v="2025-03-18T00:00:00"/>
    <x v="1"/>
    <x v="0"/>
    <x v="0"/>
    <s v="California"/>
    <s v="Los Angeles County"/>
    <x v="3"/>
    <x v="11"/>
    <x v="1"/>
  </r>
  <r>
    <x v="2048"/>
    <x v="4"/>
    <x v="7"/>
    <n v="36.299999999999997"/>
    <x v="1560"/>
    <x v="75"/>
    <d v="2025-03-19T00:00:00"/>
    <x v="2"/>
    <x v="4"/>
    <x v="1"/>
    <s v="California"/>
    <s v="Los Angeles County"/>
    <x v="1"/>
    <x v="11"/>
    <x v="2"/>
  </r>
  <r>
    <x v="2049"/>
    <x v="8"/>
    <x v="0"/>
    <n v="23.4"/>
    <x v="1561"/>
    <x v="75"/>
    <d v="2025-03-22T00:00:00"/>
    <x v="2"/>
    <x v="1"/>
    <x v="2"/>
    <s v="California"/>
    <s v="Los Angeles County"/>
    <x v="0"/>
    <x v="11"/>
    <x v="2"/>
  </r>
  <r>
    <x v="2050"/>
    <x v="15"/>
    <x v="8"/>
    <n v="56.6"/>
    <x v="1562"/>
    <x v="75"/>
    <d v="2025-03-19T00:00:00"/>
    <x v="2"/>
    <x v="1"/>
    <x v="0"/>
    <s v="California"/>
    <s v="Los Angeles County"/>
    <x v="1"/>
    <x v="11"/>
    <x v="2"/>
  </r>
  <r>
    <x v="2051"/>
    <x v="15"/>
    <x v="1"/>
    <n v="26.8"/>
    <x v="1563"/>
    <x v="75"/>
    <d v="2025-03-18T00:00:00"/>
    <x v="1"/>
    <x v="0"/>
    <x v="0"/>
    <s v="California"/>
    <s v="Nevada County"/>
    <x v="3"/>
    <x v="11"/>
    <x v="1"/>
  </r>
  <r>
    <x v="2052"/>
    <x v="0"/>
    <x v="2"/>
    <n v="11.3"/>
    <x v="1564"/>
    <x v="75"/>
    <d v="2025-03-19T00:00:00"/>
    <x v="1"/>
    <x v="2"/>
    <x v="0"/>
    <s v="California"/>
    <s v="Orange County"/>
    <x v="1"/>
    <x v="11"/>
    <x v="1"/>
  </r>
  <r>
    <x v="2053"/>
    <x v="6"/>
    <x v="2"/>
    <n v="60.1"/>
    <x v="1565"/>
    <x v="75"/>
    <d v="2025-03-20T00:00:00"/>
    <x v="2"/>
    <x v="0"/>
    <x v="0"/>
    <s v="California"/>
    <s v="San Bernardino County"/>
    <x v="2"/>
    <x v="11"/>
    <x v="2"/>
  </r>
  <r>
    <x v="2054"/>
    <x v="0"/>
    <x v="5"/>
    <n v="27.7"/>
    <x v="1566"/>
    <x v="75"/>
    <d v="2025-03-22T00:00:00"/>
    <x v="2"/>
    <x v="0"/>
    <x v="0"/>
    <s v="California"/>
    <s v="San Diego County"/>
    <x v="0"/>
    <x v="11"/>
    <x v="2"/>
  </r>
  <r>
    <x v="2055"/>
    <x v="15"/>
    <x v="0"/>
    <n v="71.400000000000006"/>
    <x v="660"/>
    <x v="75"/>
    <d v="2025-03-20T00:00:00"/>
    <x v="1"/>
    <x v="0"/>
    <x v="2"/>
    <s v="California"/>
    <s v="San Diego County"/>
    <x v="2"/>
    <x v="11"/>
    <x v="1"/>
  </r>
  <r>
    <x v="2056"/>
    <x v="2"/>
    <x v="1"/>
    <n v="66.7"/>
    <x v="1567"/>
    <x v="75"/>
    <d v="2025-03-18T00:00:00"/>
    <x v="2"/>
    <x v="0"/>
    <x v="2"/>
    <s v="California"/>
    <s v="San Diego County"/>
    <x v="3"/>
    <x v="11"/>
    <x v="2"/>
  </r>
  <r>
    <x v="2057"/>
    <x v="13"/>
    <x v="9"/>
    <n v="39.1"/>
    <x v="1568"/>
    <x v="75"/>
    <d v="2025-03-18T00:00:00"/>
    <x v="2"/>
    <x v="0"/>
    <x v="0"/>
    <s v="California"/>
    <s v="San Diego County"/>
    <x v="3"/>
    <x v="11"/>
    <x v="2"/>
  </r>
  <r>
    <x v="2058"/>
    <x v="8"/>
    <x v="12"/>
    <n v="24.9"/>
    <x v="1569"/>
    <x v="75"/>
    <d v="2025-03-22T00:00:00"/>
    <x v="1"/>
    <x v="1"/>
    <x v="2"/>
    <s v="California"/>
    <s v="San Diego County"/>
    <x v="0"/>
    <x v="11"/>
    <x v="1"/>
  </r>
  <r>
    <x v="2059"/>
    <x v="5"/>
    <x v="9"/>
    <n v="29.2"/>
    <x v="1570"/>
    <x v="75"/>
    <d v="2025-03-18T00:00:00"/>
    <x v="1"/>
    <x v="0"/>
    <x v="2"/>
    <s v="California"/>
    <s v="San Francisco"/>
    <x v="3"/>
    <x v="11"/>
    <x v="1"/>
  </r>
  <r>
    <x v="2060"/>
    <x v="13"/>
    <x v="21"/>
    <n v="28.3"/>
    <x v="1571"/>
    <x v="75"/>
    <d v="2025-03-19T00:00:00"/>
    <x v="2"/>
    <x v="1"/>
    <x v="0"/>
    <s v="California"/>
    <s v="Santa Clara County"/>
    <x v="1"/>
    <x v="11"/>
    <x v="2"/>
  </r>
  <r>
    <x v="2061"/>
    <x v="9"/>
    <x v="2"/>
    <n v="37.799999999999997"/>
    <x v="1413"/>
    <x v="75"/>
    <d v="2025-03-18T00:00:00"/>
    <x v="2"/>
    <x v="0"/>
    <x v="1"/>
    <s v="California"/>
    <s v="Santa Clara County"/>
    <x v="3"/>
    <x v="11"/>
    <x v="2"/>
  </r>
  <r>
    <x v="2062"/>
    <x v="14"/>
    <x v="3"/>
    <n v="28.1"/>
    <x v="1572"/>
    <x v="75"/>
    <d v="2025-03-23T00:00:00"/>
    <x v="2"/>
    <x v="2"/>
    <x v="0"/>
    <s v="California"/>
    <s v="Santa Clara County"/>
    <x v="4"/>
    <x v="11"/>
    <x v="2"/>
  </r>
  <r>
    <x v="2063"/>
    <x v="1"/>
    <x v="2"/>
    <n v="59.7"/>
    <x v="1573"/>
    <x v="75"/>
    <d v="2025-03-19T00:00:00"/>
    <x v="2"/>
    <x v="2"/>
    <x v="0"/>
    <s v="California"/>
    <s v="Santa Clara County"/>
    <x v="1"/>
    <x v="11"/>
    <x v="2"/>
  </r>
  <r>
    <x v="2064"/>
    <x v="16"/>
    <x v="0"/>
    <n v="71.900000000000006"/>
    <x v="1574"/>
    <x v="75"/>
    <d v="2025-03-18T00:00:00"/>
    <x v="1"/>
    <x v="1"/>
    <x v="1"/>
    <s v="California"/>
    <s v="Santa Clara County"/>
    <x v="3"/>
    <x v="11"/>
    <x v="1"/>
  </r>
  <r>
    <x v="2065"/>
    <x v="1"/>
    <x v="1"/>
    <n v="56.9"/>
    <x v="1575"/>
    <x v="75"/>
    <d v="2025-03-18T00:00:00"/>
    <x v="1"/>
    <x v="2"/>
    <x v="0"/>
    <s v="California"/>
    <s v="Ventura County"/>
    <x v="3"/>
    <x v="11"/>
    <x v="1"/>
  </r>
  <r>
    <x v="2066"/>
    <x v="8"/>
    <x v="1"/>
    <n v="15.8"/>
    <x v="35"/>
    <x v="75"/>
    <d v="2025-03-20T00:00:00"/>
    <x v="2"/>
    <x v="2"/>
    <x v="1"/>
    <s v="California"/>
    <s v="Contra Costa County"/>
    <x v="2"/>
    <x v="11"/>
    <x v="2"/>
  </r>
  <r>
    <x v="2067"/>
    <x v="11"/>
    <x v="12"/>
    <n v="61.7"/>
    <x v="1576"/>
    <x v="75"/>
    <d v="2025-03-19T00:00:00"/>
    <x v="2"/>
    <x v="2"/>
    <x v="0"/>
    <s v="California"/>
    <s v="Kern County"/>
    <x v="1"/>
    <x v="11"/>
    <x v="2"/>
  </r>
  <r>
    <x v="2068"/>
    <x v="2"/>
    <x v="7"/>
    <n v="105.2"/>
    <x v="1577"/>
    <x v="75"/>
    <d v="2025-03-19T00:00:00"/>
    <x v="1"/>
    <x v="1"/>
    <x v="4"/>
    <s v="California"/>
    <s v="Los Angeles County"/>
    <x v="1"/>
    <x v="11"/>
    <x v="1"/>
  </r>
  <r>
    <x v="2069"/>
    <x v="0"/>
    <x v="1"/>
    <n v="17"/>
    <x v="1222"/>
    <x v="75"/>
    <d v="2025-03-19T00:00:00"/>
    <x v="2"/>
    <x v="2"/>
    <x v="0"/>
    <s v="California"/>
    <s v="Los Angeles County"/>
    <x v="1"/>
    <x v="11"/>
    <x v="2"/>
  </r>
  <r>
    <x v="2070"/>
    <x v="6"/>
    <x v="2"/>
    <n v="84.1"/>
    <x v="1578"/>
    <x v="75"/>
    <d v="2025-03-18T00:00:00"/>
    <x v="1"/>
    <x v="2"/>
    <x v="0"/>
    <s v="California"/>
    <s v="Los Angeles County"/>
    <x v="3"/>
    <x v="11"/>
    <x v="1"/>
  </r>
  <r>
    <x v="2071"/>
    <x v="3"/>
    <x v="12"/>
    <n v="59.5"/>
    <x v="1248"/>
    <x v="75"/>
    <d v="2025-03-22T00:00:00"/>
    <x v="1"/>
    <x v="0"/>
    <x v="2"/>
    <s v="California"/>
    <s v="Los Angeles County"/>
    <x v="0"/>
    <x v="11"/>
    <x v="1"/>
  </r>
  <r>
    <x v="2072"/>
    <x v="8"/>
    <x v="1"/>
    <n v="57.5"/>
    <x v="1579"/>
    <x v="75"/>
    <d v="2025-03-19T00:00:00"/>
    <x v="1"/>
    <x v="1"/>
    <x v="2"/>
    <s v="California"/>
    <s v="Los Angeles County"/>
    <x v="1"/>
    <x v="11"/>
    <x v="1"/>
  </r>
  <r>
    <x v="2073"/>
    <x v="8"/>
    <x v="0"/>
    <n v="34.299999999999997"/>
    <x v="1580"/>
    <x v="75"/>
    <d v="2025-03-18T00:00:00"/>
    <x v="2"/>
    <x v="4"/>
    <x v="2"/>
    <s v="California"/>
    <s v="Los Angeles County"/>
    <x v="3"/>
    <x v="11"/>
    <x v="2"/>
  </r>
  <r>
    <x v="2074"/>
    <x v="5"/>
    <x v="1"/>
    <n v="27.8"/>
    <x v="1581"/>
    <x v="76"/>
    <d v="2025-03-20T00:00:00"/>
    <x v="2"/>
    <x v="0"/>
    <x v="0"/>
    <s v="California"/>
    <s v="Los Angeles County"/>
    <x v="1"/>
    <x v="11"/>
    <x v="2"/>
  </r>
  <r>
    <x v="2075"/>
    <x v="12"/>
    <x v="1"/>
    <n v="85"/>
    <x v="393"/>
    <x v="76"/>
    <d v="2025-03-18T00:00:00"/>
    <x v="1"/>
    <x v="2"/>
    <x v="2"/>
    <s v="California"/>
    <s v="Los Angeles County"/>
    <x v="7"/>
    <x v="11"/>
    <x v="1"/>
  </r>
  <r>
    <x v="2076"/>
    <x v="6"/>
    <x v="1"/>
    <n v="95"/>
    <x v="1582"/>
    <x v="76"/>
    <d v="2025-03-20T00:00:00"/>
    <x v="2"/>
    <x v="0"/>
    <x v="0"/>
    <s v="California"/>
    <s v="Los Angeles County"/>
    <x v="1"/>
    <x v="11"/>
    <x v="2"/>
  </r>
  <r>
    <x v="2077"/>
    <x v="16"/>
    <x v="1"/>
    <n v="32"/>
    <x v="34"/>
    <x v="76"/>
    <d v="2025-03-20T00:00:00"/>
    <x v="1"/>
    <x v="0"/>
    <x v="1"/>
    <s v="California"/>
    <s v="Los Angeles County"/>
    <x v="1"/>
    <x v="11"/>
    <x v="1"/>
  </r>
  <r>
    <x v="2078"/>
    <x v="2"/>
    <x v="1"/>
    <n v="65.2"/>
    <x v="1583"/>
    <x v="76"/>
    <d v="2025-03-19T00:00:00"/>
    <x v="2"/>
    <x v="1"/>
    <x v="0"/>
    <s v="California"/>
    <s v="Los Angeles County"/>
    <x v="3"/>
    <x v="11"/>
    <x v="2"/>
  </r>
  <r>
    <x v="2079"/>
    <x v="17"/>
    <x v="12"/>
    <n v="22"/>
    <x v="1155"/>
    <x v="76"/>
    <d v="2025-03-19T00:00:00"/>
    <x v="1"/>
    <x v="1"/>
    <x v="2"/>
    <s v="California"/>
    <s v="Los Angeles County"/>
    <x v="3"/>
    <x v="11"/>
    <x v="1"/>
  </r>
  <r>
    <x v="2080"/>
    <x v="15"/>
    <x v="2"/>
    <n v="69.400000000000006"/>
    <x v="140"/>
    <x v="76"/>
    <d v="2025-03-21T00:00:00"/>
    <x v="1"/>
    <x v="1"/>
    <x v="2"/>
    <s v="California"/>
    <s v="Los Angeles County"/>
    <x v="2"/>
    <x v="11"/>
    <x v="1"/>
  </r>
  <r>
    <x v="2081"/>
    <x v="10"/>
    <x v="13"/>
    <n v="31.5"/>
    <x v="620"/>
    <x v="76"/>
    <d v="2025-03-20T00:00:00"/>
    <x v="2"/>
    <x v="0"/>
    <x v="2"/>
    <s v="California"/>
    <s v="Los Angeles County"/>
    <x v="1"/>
    <x v="11"/>
    <x v="2"/>
  </r>
  <r>
    <x v="2082"/>
    <x v="6"/>
    <x v="0"/>
    <n v="45.8"/>
    <x v="494"/>
    <x v="76"/>
    <d v="2025-03-22T00:00:00"/>
    <x v="3"/>
    <x v="0"/>
    <x v="0"/>
    <s v="California"/>
    <s v="Los Angeles County"/>
    <x v="5"/>
    <x v="11"/>
    <x v="3"/>
  </r>
  <r>
    <x v="2083"/>
    <x v="19"/>
    <x v="12"/>
    <n v="12.8"/>
    <x v="180"/>
    <x v="76"/>
    <d v="2025-03-25T00:00:00"/>
    <x v="2"/>
    <x v="1"/>
    <x v="1"/>
    <s v="California"/>
    <s v="Placer County"/>
    <x v="6"/>
    <x v="11"/>
    <x v="2"/>
  </r>
  <r>
    <x v="2084"/>
    <x v="5"/>
    <x v="2"/>
    <n v="115.3"/>
    <x v="1584"/>
    <x v="76"/>
    <d v="2025-03-19T00:00:00"/>
    <x v="2"/>
    <x v="2"/>
    <x v="2"/>
    <s v="California"/>
    <s v="Sacramento County"/>
    <x v="3"/>
    <x v="11"/>
    <x v="2"/>
  </r>
  <r>
    <x v="2085"/>
    <x v="5"/>
    <x v="1"/>
    <n v="85"/>
    <x v="393"/>
    <x v="76"/>
    <d v="2025-03-20T00:00:00"/>
    <x v="2"/>
    <x v="1"/>
    <x v="0"/>
    <s v="California"/>
    <s v="San Bernardino County"/>
    <x v="1"/>
    <x v="11"/>
    <x v="2"/>
  </r>
  <r>
    <x v="2086"/>
    <x v="8"/>
    <x v="2"/>
    <n v="56.6"/>
    <x v="1026"/>
    <x v="76"/>
    <d v="2025-03-19T00:00:00"/>
    <x v="2"/>
    <x v="1"/>
    <x v="2"/>
    <s v="California"/>
    <s v="San Bernardino County"/>
    <x v="3"/>
    <x v="11"/>
    <x v="2"/>
  </r>
  <r>
    <x v="2087"/>
    <x v="15"/>
    <x v="6"/>
    <n v="46.3"/>
    <x v="1585"/>
    <x v="76"/>
    <d v="2025-03-21T00:00:00"/>
    <x v="1"/>
    <x v="0"/>
    <x v="0"/>
    <s v="California"/>
    <s v="San Bernardino County"/>
    <x v="2"/>
    <x v="11"/>
    <x v="1"/>
  </r>
  <r>
    <x v="2088"/>
    <x v="14"/>
    <x v="12"/>
    <n v="23"/>
    <x v="988"/>
    <x v="76"/>
    <d v="2025-03-22T00:00:00"/>
    <x v="1"/>
    <x v="3"/>
    <x v="2"/>
    <s v="California"/>
    <s v="San Bernardino County"/>
    <x v="5"/>
    <x v="11"/>
    <x v="1"/>
  </r>
  <r>
    <x v="2089"/>
    <x v="8"/>
    <x v="13"/>
    <n v="42.1"/>
    <x v="1586"/>
    <x v="76"/>
    <d v="2025-03-20T00:00:00"/>
    <x v="1"/>
    <x v="4"/>
    <x v="0"/>
    <s v="California"/>
    <s v="San Diego County"/>
    <x v="1"/>
    <x v="11"/>
    <x v="1"/>
  </r>
  <r>
    <x v="2090"/>
    <x v="5"/>
    <x v="3"/>
    <n v="57.4"/>
    <x v="1587"/>
    <x v="76"/>
    <d v="2025-03-22T00:00:00"/>
    <x v="2"/>
    <x v="1"/>
    <x v="4"/>
    <s v="California"/>
    <s v="San Diego County"/>
    <x v="5"/>
    <x v="11"/>
    <x v="2"/>
  </r>
  <r>
    <x v="2091"/>
    <x v="0"/>
    <x v="13"/>
    <n v="13.2"/>
    <x v="1113"/>
    <x v="76"/>
    <d v="2025-03-22T00:00:00"/>
    <x v="1"/>
    <x v="2"/>
    <x v="0"/>
    <s v="California"/>
    <s v="San Diego County"/>
    <x v="5"/>
    <x v="11"/>
    <x v="1"/>
  </r>
  <r>
    <x v="2092"/>
    <x v="6"/>
    <x v="2"/>
    <n v="52.3"/>
    <x v="1588"/>
    <x v="76"/>
    <d v="2025-03-19T00:00:00"/>
    <x v="1"/>
    <x v="1"/>
    <x v="0"/>
    <s v="California"/>
    <s v="San Diego County"/>
    <x v="3"/>
    <x v="11"/>
    <x v="1"/>
  </r>
  <r>
    <x v="2093"/>
    <x v="8"/>
    <x v="1"/>
    <n v="15.7"/>
    <x v="1323"/>
    <x v="76"/>
    <d v="2025-03-21T00:00:00"/>
    <x v="1"/>
    <x v="1"/>
    <x v="2"/>
    <s v="California"/>
    <s v="San Diego County"/>
    <x v="2"/>
    <x v="11"/>
    <x v="1"/>
  </r>
  <r>
    <x v="2094"/>
    <x v="7"/>
    <x v="2"/>
    <n v="35"/>
    <x v="211"/>
    <x v="76"/>
    <d v="2025-03-21T00:00:00"/>
    <x v="2"/>
    <x v="1"/>
    <x v="2"/>
    <s v="California"/>
    <s v="San Mateo County"/>
    <x v="2"/>
    <x v="11"/>
    <x v="2"/>
  </r>
  <r>
    <x v="2095"/>
    <x v="4"/>
    <x v="2"/>
    <n v="26.6"/>
    <x v="1589"/>
    <x v="76"/>
    <d v="2025-03-18T00:00:00"/>
    <x v="1"/>
    <x v="1"/>
    <x v="2"/>
    <s v="California"/>
    <s v="Santa Clara County"/>
    <x v="7"/>
    <x v="11"/>
    <x v="1"/>
  </r>
  <r>
    <x v="2096"/>
    <x v="4"/>
    <x v="8"/>
    <n v="47.9"/>
    <x v="1590"/>
    <x v="77"/>
    <d v="2025-03-20T00:00:00"/>
    <x v="2"/>
    <x v="3"/>
    <x v="2"/>
    <s v="California"/>
    <s v="Tulare County"/>
    <x v="3"/>
    <x v="11"/>
    <x v="2"/>
  </r>
  <r>
    <x v="2097"/>
    <x v="5"/>
    <x v="0"/>
    <n v="80.099999999999994"/>
    <x v="1133"/>
    <x v="77"/>
    <d v="2025-03-20T00:00:00"/>
    <x v="1"/>
    <x v="2"/>
    <x v="0"/>
    <s v="California"/>
    <s v="Alameda County"/>
    <x v="3"/>
    <x v="11"/>
    <x v="1"/>
  </r>
  <r>
    <x v="2098"/>
    <x v="6"/>
    <x v="9"/>
    <n v="50.4"/>
    <x v="816"/>
    <x v="77"/>
    <d v="2025-03-20T00:00:00"/>
    <x v="1"/>
    <x v="1"/>
    <x v="2"/>
    <s v="California"/>
    <s v="Alameda County"/>
    <x v="3"/>
    <x v="11"/>
    <x v="1"/>
  </r>
  <r>
    <x v="2099"/>
    <x v="10"/>
    <x v="3"/>
    <n v="43.3"/>
    <x v="1591"/>
    <x v="77"/>
    <d v="2025-03-20T00:00:00"/>
    <x v="1"/>
    <x v="2"/>
    <x v="0"/>
    <s v="California"/>
    <s v="Alameda County"/>
    <x v="3"/>
    <x v="11"/>
    <x v="1"/>
  </r>
  <r>
    <x v="2100"/>
    <x v="10"/>
    <x v="12"/>
    <n v="57.5"/>
    <x v="984"/>
    <x v="77"/>
    <d v="2025-03-20T00:00:00"/>
    <x v="2"/>
    <x v="1"/>
    <x v="2"/>
    <s v="California"/>
    <s v="Contra Costa County"/>
    <x v="3"/>
    <x v="11"/>
    <x v="2"/>
  </r>
  <r>
    <x v="2101"/>
    <x v="9"/>
    <x v="15"/>
    <n v="24.8"/>
    <x v="1592"/>
    <x v="77"/>
    <d v="2025-03-20T00:00:00"/>
    <x v="1"/>
    <x v="0"/>
    <x v="0"/>
    <s v="California"/>
    <s v="Del Norte County"/>
    <x v="3"/>
    <x v="11"/>
    <x v="1"/>
  </r>
  <r>
    <x v="2102"/>
    <x v="2"/>
    <x v="11"/>
    <n v="85.7"/>
    <x v="1593"/>
    <x v="77"/>
    <d v="2025-03-20T00:00:00"/>
    <x v="2"/>
    <x v="0"/>
    <x v="0"/>
    <s v="California"/>
    <s v="El Dorado County"/>
    <x v="3"/>
    <x v="11"/>
    <x v="2"/>
  </r>
  <r>
    <x v="2103"/>
    <x v="7"/>
    <x v="0"/>
    <n v="47.1"/>
    <x v="392"/>
    <x v="77"/>
    <d v="2025-03-21T00:00:00"/>
    <x v="2"/>
    <x v="0"/>
    <x v="0"/>
    <s v="California"/>
    <s v="Fresno County"/>
    <x v="1"/>
    <x v="11"/>
    <x v="2"/>
  </r>
  <r>
    <x v="2104"/>
    <x v="5"/>
    <x v="7"/>
    <n v="83.2"/>
    <x v="1594"/>
    <x v="77"/>
    <d v="2025-03-23T00:00:00"/>
    <x v="2"/>
    <x v="0"/>
    <x v="0"/>
    <s v="California"/>
    <s v="Imperial County"/>
    <x v="5"/>
    <x v="11"/>
    <x v="2"/>
  </r>
  <r>
    <x v="2105"/>
    <x v="2"/>
    <x v="2"/>
    <n v="157"/>
    <x v="1595"/>
    <x v="77"/>
    <d v="2025-03-21T00:00:00"/>
    <x v="2"/>
    <x v="0"/>
    <x v="2"/>
    <s v="California"/>
    <s v="Kern County"/>
    <x v="1"/>
    <x v="11"/>
    <x v="2"/>
  </r>
  <r>
    <x v="2106"/>
    <x v="16"/>
    <x v="12"/>
    <n v="33.700000000000003"/>
    <x v="1093"/>
    <x v="77"/>
    <d v="2025-03-20T00:00:00"/>
    <x v="1"/>
    <x v="2"/>
    <x v="2"/>
    <s v="California"/>
    <s v="Kern County"/>
    <x v="3"/>
    <x v="11"/>
    <x v="1"/>
  </r>
  <r>
    <x v="2107"/>
    <x v="2"/>
    <x v="2"/>
    <n v="60.8"/>
    <x v="1596"/>
    <x v="77"/>
    <d v="2025-03-23T00:00:00"/>
    <x v="2"/>
    <x v="1"/>
    <x v="1"/>
    <s v="California"/>
    <s v="Los Angeles County"/>
    <x v="5"/>
    <x v="11"/>
    <x v="2"/>
  </r>
  <r>
    <x v="2108"/>
    <x v="7"/>
    <x v="0"/>
    <n v="57.6"/>
    <x v="636"/>
    <x v="77"/>
    <d v="2025-03-20T00:00:00"/>
    <x v="1"/>
    <x v="1"/>
    <x v="4"/>
    <s v="California"/>
    <s v="Los Angeles County"/>
    <x v="3"/>
    <x v="11"/>
    <x v="1"/>
  </r>
  <r>
    <x v="2109"/>
    <x v="10"/>
    <x v="0"/>
    <n v="32"/>
    <x v="109"/>
    <x v="77"/>
    <d v="2025-03-21T00:00:00"/>
    <x v="1"/>
    <x v="0"/>
    <x v="0"/>
    <s v="California"/>
    <s v="Los Angeles County"/>
    <x v="1"/>
    <x v="11"/>
    <x v="1"/>
  </r>
  <r>
    <x v="2110"/>
    <x v="10"/>
    <x v="12"/>
    <n v="23.5"/>
    <x v="255"/>
    <x v="77"/>
    <d v="2025-03-20T00:00:00"/>
    <x v="2"/>
    <x v="0"/>
    <x v="2"/>
    <s v="California"/>
    <s v="Los Angeles County"/>
    <x v="3"/>
    <x v="11"/>
    <x v="2"/>
  </r>
  <r>
    <x v="2111"/>
    <x v="12"/>
    <x v="2"/>
    <n v="44.8"/>
    <x v="1597"/>
    <x v="77"/>
    <d v="2025-03-20T00:00:00"/>
    <x v="3"/>
    <x v="4"/>
    <x v="0"/>
    <s v="California"/>
    <s v="Los Angeles County"/>
    <x v="3"/>
    <x v="11"/>
    <x v="3"/>
  </r>
  <r>
    <x v="2112"/>
    <x v="0"/>
    <x v="8"/>
    <n v="11.7"/>
    <x v="64"/>
    <x v="77"/>
    <d v="2025-03-20T00:00:00"/>
    <x v="1"/>
    <x v="2"/>
    <x v="2"/>
    <s v="California"/>
    <s v="Los Angeles County"/>
    <x v="3"/>
    <x v="11"/>
    <x v="1"/>
  </r>
  <r>
    <x v="2113"/>
    <x v="7"/>
    <x v="1"/>
    <n v="38.799999999999997"/>
    <x v="1598"/>
    <x v="77"/>
    <d v="2025-03-22T00:00:00"/>
    <x v="2"/>
    <x v="2"/>
    <x v="0"/>
    <s v="California"/>
    <s v="Los Angeles County"/>
    <x v="2"/>
    <x v="11"/>
    <x v="2"/>
  </r>
  <r>
    <x v="2114"/>
    <x v="5"/>
    <x v="21"/>
    <n v="86.9"/>
    <x v="1599"/>
    <x v="77"/>
    <d v="2025-03-24T00:00:00"/>
    <x v="2"/>
    <x v="1"/>
    <x v="0"/>
    <s v="California"/>
    <s v="Los Angeles County"/>
    <x v="0"/>
    <x v="11"/>
    <x v="2"/>
  </r>
  <r>
    <x v="2115"/>
    <x v="8"/>
    <x v="0"/>
    <n v="18.3"/>
    <x v="1600"/>
    <x v="77"/>
    <d v="2025-03-20T00:00:00"/>
    <x v="2"/>
    <x v="0"/>
    <x v="0"/>
    <s v="California"/>
    <s v="Los Angeles County"/>
    <x v="3"/>
    <x v="11"/>
    <x v="2"/>
  </r>
  <r>
    <x v="2116"/>
    <x v="5"/>
    <x v="0"/>
    <n v="47.5"/>
    <x v="1601"/>
    <x v="77"/>
    <d v="2025-03-23T00:00:00"/>
    <x v="1"/>
    <x v="4"/>
    <x v="2"/>
    <s v="California"/>
    <s v="Los Angeles County"/>
    <x v="5"/>
    <x v="11"/>
    <x v="1"/>
  </r>
  <r>
    <x v="2117"/>
    <x v="1"/>
    <x v="1"/>
    <n v="78.599999999999994"/>
    <x v="507"/>
    <x v="77"/>
    <d v="2025-03-20T00:00:00"/>
    <x v="1"/>
    <x v="2"/>
    <x v="2"/>
    <s v="California"/>
    <s v="Los Angeles County"/>
    <x v="3"/>
    <x v="11"/>
    <x v="1"/>
  </r>
  <r>
    <x v="2118"/>
    <x v="6"/>
    <x v="12"/>
    <n v="87.3"/>
    <x v="1602"/>
    <x v="77"/>
    <d v="2025-03-20T00:00:00"/>
    <x v="1"/>
    <x v="0"/>
    <x v="0"/>
    <s v="California"/>
    <s v="Los Angeles County"/>
    <x v="3"/>
    <x v="11"/>
    <x v="1"/>
  </r>
  <r>
    <x v="2119"/>
    <x v="9"/>
    <x v="1"/>
    <n v="63.2"/>
    <x v="628"/>
    <x v="77"/>
    <d v="2025-03-19T00:00:00"/>
    <x v="1"/>
    <x v="4"/>
    <x v="1"/>
    <s v="California"/>
    <s v="Los Angeles County"/>
    <x v="7"/>
    <x v="11"/>
    <x v="1"/>
  </r>
  <r>
    <x v="2120"/>
    <x v="5"/>
    <x v="9"/>
    <n v="33.700000000000003"/>
    <x v="1603"/>
    <x v="77"/>
    <d v="2025-03-20T00:00:00"/>
    <x v="2"/>
    <x v="0"/>
    <x v="0"/>
    <s v="California"/>
    <s v="Los Angeles County"/>
    <x v="3"/>
    <x v="11"/>
    <x v="2"/>
  </r>
  <r>
    <x v="2121"/>
    <x v="2"/>
    <x v="2"/>
    <n v="107.4"/>
    <x v="1604"/>
    <x v="77"/>
    <d v="2025-04-01T00:00:00"/>
    <x v="2"/>
    <x v="1"/>
    <x v="2"/>
    <s v="California"/>
    <s v="Los Angeles County"/>
    <x v="10"/>
    <x v="11"/>
    <x v="2"/>
  </r>
  <r>
    <x v="2122"/>
    <x v="4"/>
    <x v="12"/>
    <n v="22.2"/>
    <x v="1605"/>
    <x v="77"/>
    <d v="2025-03-20T00:00:00"/>
    <x v="0"/>
    <x v="1"/>
    <x v="2"/>
    <s v="California"/>
    <s v="Merced County"/>
    <x v="3"/>
    <x v="11"/>
    <x v="0"/>
  </r>
  <r>
    <x v="2123"/>
    <x v="18"/>
    <x v="2"/>
    <n v="52.8"/>
    <x v="1329"/>
    <x v="77"/>
    <d v="2025-03-20T00:00:00"/>
    <x v="1"/>
    <x v="3"/>
    <x v="2"/>
    <s v="California"/>
    <s v="Merced County"/>
    <x v="3"/>
    <x v="11"/>
    <x v="1"/>
  </r>
  <r>
    <x v="2124"/>
    <x v="8"/>
    <x v="2"/>
    <n v="41.5"/>
    <x v="376"/>
    <x v="77"/>
    <d v="2025-03-22T00:00:00"/>
    <x v="2"/>
    <x v="0"/>
    <x v="0"/>
    <s v="California"/>
    <s v="Orange County"/>
    <x v="2"/>
    <x v="11"/>
    <x v="2"/>
  </r>
  <r>
    <x v="2125"/>
    <x v="12"/>
    <x v="8"/>
    <n v="103.5"/>
    <x v="1606"/>
    <x v="77"/>
    <d v="2025-03-22T00:00:00"/>
    <x v="2"/>
    <x v="0"/>
    <x v="2"/>
    <s v="California"/>
    <s v="Riverside County"/>
    <x v="2"/>
    <x v="11"/>
    <x v="2"/>
  </r>
  <r>
    <x v="2126"/>
    <x v="4"/>
    <x v="21"/>
    <n v="37.5"/>
    <x v="1469"/>
    <x v="77"/>
    <d v="2025-03-19T00:00:00"/>
    <x v="2"/>
    <x v="1"/>
    <x v="2"/>
    <s v="California"/>
    <s v="Sacramento County"/>
    <x v="7"/>
    <x v="11"/>
    <x v="2"/>
  </r>
  <r>
    <x v="2127"/>
    <x v="15"/>
    <x v="8"/>
    <n v="44.4"/>
    <x v="1607"/>
    <x v="77"/>
    <d v="2025-03-25T00:00:00"/>
    <x v="2"/>
    <x v="3"/>
    <x v="2"/>
    <s v="California"/>
    <s v="San Bernardino County"/>
    <x v="4"/>
    <x v="11"/>
    <x v="2"/>
  </r>
  <r>
    <x v="2128"/>
    <x v="8"/>
    <x v="2"/>
    <n v="26.2"/>
    <x v="1608"/>
    <x v="77"/>
    <d v="2025-03-20T00:00:00"/>
    <x v="1"/>
    <x v="0"/>
    <x v="0"/>
    <s v="California"/>
    <s v="San Diego County"/>
    <x v="3"/>
    <x v="11"/>
    <x v="1"/>
  </r>
  <r>
    <x v="2129"/>
    <x v="1"/>
    <x v="3"/>
    <n v="32.200000000000003"/>
    <x v="1009"/>
    <x v="77"/>
    <d v="2025-03-20T00:00:00"/>
    <x v="2"/>
    <x v="1"/>
    <x v="2"/>
    <s v="California"/>
    <s v="San Diego County"/>
    <x v="3"/>
    <x v="11"/>
    <x v="2"/>
  </r>
  <r>
    <x v="2130"/>
    <x v="8"/>
    <x v="0"/>
    <n v="17.399999999999999"/>
    <x v="1609"/>
    <x v="77"/>
    <d v="2025-03-23T00:00:00"/>
    <x v="0"/>
    <x v="2"/>
    <x v="1"/>
    <s v="California"/>
    <s v="San Diego County"/>
    <x v="5"/>
    <x v="11"/>
    <x v="0"/>
  </r>
  <r>
    <x v="2131"/>
    <x v="8"/>
    <x v="13"/>
    <n v="72.3"/>
    <x v="1610"/>
    <x v="77"/>
    <d v="2025-03-22T00:00:00"/>
    <x v="2"/>
    <x v="0"/>
    <x v="0"/>
    <s v="California"/>
    <s v="San Diego County"/>
    <x v="2"/>
    <x v="11"/>
    <x v="2"/>
  </r>
  <r>
    <x v="2132"/>
    <x v="8"/>
    <x v="5"/>
    <n v="24.3"/>
    <x v="1611"/>
    <x v="77"/>
    <d v="2025-03-20T00:00:00"/>
    <x v="1"/>
    <x v="0"/>
    <x v="0"/>
    <s v="California"/>
    <s v="San Diego County"/>
    <x v="3"/>
    <x v="11"/>
    <x v="1"/>
  </r>
  <r>
    <x v="2133"/>
    <x v="13"/>
    <x v="2"/>
    <n v="49.1"/>
    <x v="824"/>
    <x v="77"/>
    <d v="2025-03-25T00:00:00"/>
    <x v="1"/>
    <x v="2"/>
    <x v="4"/>
    <s v="California"/>
    <s v="San Diego County"/>
    <x v="4"/>
    <x v="11"/>
    <x v="1"/>
  </r>
  <r>
    <x v="2134"/>
    <x v="2"/>
    <x v="7"/>
    <n v="234.7"/>
    <x v="1612"/>
    <x v="77"/>
    <d v="2025-03-20T00:00:00"/>
    <x v="1"/>
    <x v="3"/>
    <x v="1"/>
    <s v="California"/>
    <s v="San Diego County"/>
    <x v="3"/>
    <x v="11"/>
    <x v="1"/>
  </r>
  <r>
    <x v="2135"/>
    <x v="3"/>
    <x v="9"/>
    <n v="76.099999999999994"/>
    <x v="1613"/>
    <x v="77"/>
    <d v="2025-03-21T00:00:00"/>
    <x v="1"/>
    <x v="1"/>
    <x v="1"/>
    <s v="California"/>
    <s v="San Francisco"/>
    <x v="1"/>
    <x v="11"/>
    <x v="1"/>
  </r>
  <r>
    <x v="2136"/>
    <x v="1"/>
    <x v="2"/>
    <n v="93.9"/>
    <x v="1614"/>
    <x v="77"/>
    <d v="2025-03-20T00:00:00"/>
    <x v="1"/>
    <x v="1"/>
    <x v="4"/>
    <s v="California"/>
    <s v="Santa Clara County"/>
    <x v="3"/>
    <x v="11"/>
    <x v="1"/>
  </r>
  <r>
    <x v="2137"/>
    <x v="2"/>
    <x v="12"/>
    <n v="187"/>
    <x v="1615"/>
    <x v="78"/>
    <d v="2025-03-23T00:00:00"/>
    <x v="1"/>
    <x v="0"/>
    <x v="0"/>
    <s v="California"/>
    <s v="Santa Clara County"/>
    <x v="2"/>
    <x v="11"/>
    <x v="1"/>
  </r>
  <r>
    <x v="2138"/>
    <x v="8"/>
    <x v="1"/>
    <n v="18"/>
    <x v="53"/>
    <x v="78"/>
    <d v="2025-03-21T00:00:00"/>
    <x v="2"/>
    <x v="1"/>
    <x v="2"/>
    <s v="California"/>
    <s v="Shasta County"/>
    <x v="3"/>
    <x v="11"/>
    <x v="2"/>
  </r>
  <r>
    <x v="2139"/>
    <x v="4"/>
    <x v="0"/>
    <n v="24.4"/>
    <x v="1616"/>
    <x v="78"/>
    <d v="2025-03-21T00:00:00"/>
    <x v="2"/>
    <x v="4"/>
    <x v="2"/>
    <s v="California"/>
    <s v="Alameda County"/>
    <x v="3"/>
    <x v="11"/>
    <x v="2"/>
  </r>
  <r>
    <x v="2140"/>
    <x v="10"/>
    <x v="1"/>
    <n v="38.799999999999997"/>
    <x v="1598"/>
    <x v="78"/>
    <d v="2025-03-21T00:00:00"/>
    <x v="1"/>
    <x v="4"/>
    <x v="1"/>
    <s v="California"/>
    <s v="Los Angeles County"/>
    <x v="3"/>
    <x v="11"/>
    <x v="1"/>
  </r>
  <r>
    <x v="2141"/>
    <x v="3"/>
    <x v="0"/>
    <n v="59.7"/>
    <x v="1201"/>
    <x v="78"/>
    <d v="2025-03-23T00:00:00"/>
    <x v="1"/>
    <x v="3"/>
    <x v="0"/>
    <s v="California"/>
    <s v="Los Angeles County"/>
    <x v="2"/>
    <x v="11"/>
    <x v="1"/>
  </r>
  <r>
    <x v="2142"/>
    <x v="7"/>
    <x v="0"/>
    <n v="31.2"/>
    <x v="406"/>
    <x v="78"/>
    <d v="2025-03-21T00:00:00"/>
    <x v="1"/>
    <x v="1"/>
    <x v="2"/>
    <s v="California"/>
    <s v="Los Angeles County"/>
    <x v="3"/>
    <x v="11"/>
    <x v="1"/>
  </r>
  <r>
    <x v="2143"/>
    <x v="0"/>
    <x v="0"/>
    <n v="16.8"/>
    <x v="749"/>
    <x v="78"/>
    <d v="2025-03-21T00:00:00"/>
    <x v="2"/>
    <x v="2"/>
    <x v="1"/>
    <s v="California"/>
    <s v="Los Angeles County"/>
    <x v="3"/>
    <x v="11"/>
    <x v="2"/>
  </r>
  <r>
    <x v="2144"/>
    <x v="8"/>
    <x v="0"/>
    <n v="46"/>
    <x v="716"/>
    <x v="78"/>
    <d v="2025-03-21T00:00:00"/>
    <x v="1"/>
    <x v="0"/>
    <x v="0"/>
    <s v="California"/>
    <s v="Los Angeles County"/>
    <x v="3"/>
    <x v="11"/>
    <x v="1"/>
  </r>
  <r>
    <x v="2145"/>
    <x v="9"/>
    <x v="8"/>
    <n v="42.2"/>
    <x v="1617"/>
    <x v="78"/>
    <d v="2025-03-23T00:00:00"/>
    <x v="2"/>
    <x v="3"/>
    <x v="2"/>
    <s v="California"/>
    <s v="Los Angeles County"/>
    <x v="2"/>
    <x v="11"/>
    <x v="2"/>
  </r>
  <r>
    <x v="2146"/>
    <x v="1"/>
    <x v="2"/>
    <n v="71.5"/>
    <x v="523"/>
    <x v="78"/>
    <d v="2025-04-03T00:00:00"/>
    <x v="2"/>
    <x v="0"/>
    <x v="0"/>
    <s v="California"/>
    <s v="Los Angeles County"/>
    <x v="12"/>
    <x v="11"/>
    <x v="2"/>
  </r>
  <r>
    <x v="2147"/>
    <x v="1"/>
    <x v="1"/>
    <n v="76.599999999999994"/>
    <x v="1618"/>
    <x v="78"/>
    <d v="2025-03-20T00:00:00"/>
    <x v="1"/>
    <x v="0"/>
    <x v="2"/>
    <s v="California"/>
    <s v="Los Angeles County"/>
    <x v="7"/>
    <x v="11"/>
    <x v="1"/>
  </r>
  <r>
    <x v="2148"/>
    <x v="12"/>
    <x v="1"/>
    <n v="87.3"/>
    <x v="1619"/>
    <x v="78"/>
    <d v="2025-03-28T00:00:00"/>
    <x v="2"/>
    <x v="3"/>
    <x v="2"/>
    <s v="California"/>
    <s v="Los Angeles County"/>
    <x v="9"/>
    <x v="11"/>
    <x v="2"/>
  </r>
  <r>
    <x v="2149"/>
    <x v="1"/>
    <x v="0"/>
    <n v="63"/>
    <x v="1620"/>
    <x v="78"/>
    <d v="2025-03-23T00:00:00"/>
    <x v="1"/>
    <x v="3"/>
    <x v="0"/>
    <s v="California"/>
    <s v="Los Angeles County"/>
    <x v="2"/>
    <x v="11"/>
    <x v="1"/>
  </r>
  <r>
    <x v="2150"/>
    <x v="8"/>
    <x v="1"/>
    <n v="41.7"/>
    <x v="925"/>
    <x v="78"/>
    <d v="2025-03-21T00:00:00"/>
    <x v="2"/>
    <x v="4"/>
    <x v="1"/>
    <s v="California"/>
    <s v="Marin County"/>
    <x v="3"/>
    <x v="11"/>
    <x v="2"/>
  </r>
  <r>
    <x v="2151"/>
    <x v="6"/>
    <x v="1"/>
    <n v="76.099999999999994"/>
    <x v="1621"/>
    <x v="78"/>
    <d v="2025-03-20T00:00:00"/>
    <x v="2"/>
    <x v="4"/>
    <x v="2"/>
    <s v="California"/>
    <s v="Napa County"/>
    <x v="7"/>
    <x v="11"/>
    <x v="2"/>
  </r>
  <r>
    <x v="2152"/>
    <x v="13"/>
    <x v="1"/>
    <n v="28.5"/>
    <x v="933"/>
    <x v="78"/>
    <d v="2025-03-21T00:00:00"/>
    <x v="2"/>
    <x v="0"/>
    <x v="2"/>
    <s v="California"/>
    <s v="Nevada County"/>
    <x v="3"/>
    <x v="11"/>
    <x v="2"/>
  </r>
  <r>
    <x v="2153"/>
    <x v="0"/>
    <x v="12"/>
    <n v="32.1"/>
    <x v="58"/>
    <x v="78"/>
    <d v="2025-03-21T00:00:00"/>
    <x v="2"/>
    <x v="1"/>
    <x v="2"/>
    <s v="California"/>
    <s v="Orange County"/>
    <x v="3"/>
    <x v="11"/>
    <x v="2"/>
  </r>
  <r>
    <x v="2154"/>
    <x v="4"/>
    <x v="2"/>
    <n v="39"/>
    <x v="1622"/>
    <x v="78"/>
    <d v="2025-03-23T00:00:00"/>
    <x v="1"/>
    <x v="1"/>
    <x v="2"/>
    <s v="California"/>
    <s v="Orange County"/>
    <x v="2"/>
    <x v="11"/>
    <x v="1"/>
  </r>
  <r>
    <x v="2155"/>
    <x v="6"/>
    <x v="0"/>
    <n v="78.5"/>
    <x v="1623"/>
    <x v="78"/>
    <d v="2025-03-21T00:00:00"/>
    <x v="1"/>
    <x v="1"/>
    <x v="0"/>
    <s v="California"/>
    <s v="Sacramento County"/>
    <x v="3"/>
    <x v="11"/>
    <x v="1"/>
  </r>
  <r>
    <x v="2156"/>
    <x v="4"/>
    <x v="9"/>
    <n v="49.7"/>
    <x v="1624"/>
    <x v="78"/>
    <d v="2025-03-22T00:00:00"/>
    <x v="2"/>
    <x v="0"/>
    <x v="0"/>
    <s v="California"/>
    <s v="Sacramento County"/>
    <x v="1"/>
    <x v="11"/>
    <x v="2"/>
  </r>
  <r>
    <x v="2157"/>
    <x v="1"/>
    <x v="12"/>
    <n v="68.400000000000006"/>
    <x v="1625"/>
    <x v="78"/>
    <d v="2025-03-21T00:00:00"/>
    <x v="2"/>
    <x v="2"/>
    <x v="2"/>
    <s v="California"/>
    <s v="San Bernardino County"/>
    <x v="3"/>
    <x v="11"/>
    <x v="2"/>
  </r>
  <r>
    <x v="2158"/>
    <x v="3"/>
    <x v="1"/>
    <n v="72.900000000000006"/>
    <x v="1626"/>
    <x v="78"/>
    <d v="2025-03-23T00:00:00"/>
    <x v="0"/>
    <x v="0"/>
    <x v="2"/>
    <s v="California"/>
    <s v="San Bernardino County"/>
    <x v="2"/>
    <x v="11"/>
    <x v="0"/>
  </r>
  <r>
    <x v="2159"/>
    <x v="5"/>
    <x v="15"/>
    <n v="30.3"/>
    <x v="1627"/>
    <x v="78"/>
    <d v="2025-03-21T00:00:00"/>
    <x v="1"/>
    <x v="4"/>
    <x v="0"/>
    <s v="California"/>
    <s v="San Bernardino County"/>
    <x v="3"/>
    <x v="11"/>
    <x v="1"/>
  </r>
  <r>
    <x v="2160"/>
    <x v="6"/>
    <x v="5"/>
    <n v="57.9"/>
    <x v="1628"/>
    <x v="78"/>
    <d v="2025-03-21T00:00:00"/>
    <x v="2"/>
    <x v="0"/>
    <x v="0"/>
    <s v="California"/>
    <s v="San Diego County"/>
    <x v="3"/>
    <x v="11"/>
    <x v="2"/>
  </r>
  <r>
    <x v="2161"/>
    <x v="1"/>
    <x v="0"/>
    <n v="96.7"/>
    <x v="1629"/>
    <x v="78"/>
    <d v="2025-03-21T00:00:00"/>
    <x v="1"/>
    <x v="0"/>
    <x v="0"/>
    <s v="California"/>
    <s v="San Diego County"/>
    <x v="3"/>
    <x v="11"/>
    <x v="1"/>
  </r>
  <r>
    <x v="2162"/>
    <x v="8"/>
    <x v="4"/>
    <n v="27.6"/>
    <x v="1630"/>
    <x v="78"/>
    <d v="2025-03-22T00:00:00"/>
    <x v="1"/>
    <x v="2"/>
    <x v="2"/>
    <s v="California"/>
    <s v="San Diego County"/>
    <x v="1"/>
    <x v="11"/>
    <x v="1"/>
  </r>
  <r>
    <x v="2163"/>
    <x v="6"/>
    <x v="12"/>
    <n v="64.7"/>
    <x v="536"/>
    <x v="78"/>
    <d v="2025-03-20T00:00:00"/>
    <x v="1"/>
    <x v="3"/>
    <x v="2"/>
    <s v="California"/>
    <s v="San Diego County"/>
    <x v="7"/>
    <x v="11"/>
    <x v="1"/>
  </r>
  <r>
    <x v="2164"/>
    <x v="10"/>
    <x v="13"/>
    <n v="30.5"/>
    <x v="1143"/>
    <x v="78"/>
    <d v="2025-03-21T00:00:00"/>
    <x v="1"/>
    <x v="4"/>
    <x v="0"/>
    <s v="California"/>
    <s v="San Diego County"/>
    <x v="3"/>
    <x v="11"/>
    <x v="1"/>
  </r>
  <r>
    <x v="2165"/>
    <x v="6"/>
    <x v="47"/>
    <n v="106"/>
    <x v="1631"/>
    <x v="79"/>
    <d v="2025-03-23T00:00:00"/>
    <x v="1"/>
    <x v="4"/>
    <x v="2"/>
    <s v="California"/>
    <s v="San Diego County"/>
    <x v="1"/>
    <x v="11"/>
    <x v="1"/>
  </r>
  <r>
    <x v="2166"/>
    <x v="12"/>
    <x v="9"/>
    <n v="76.8"/>
    <x v="1632"/>
    <x v="79"/>
    <d v="2025-03-27T00:00:00"/>
    <x v="0"/>
    <x v="1"/>
    <x v="1"/>
    <s v="California"/>
    <s v="Sonoma County"/>
    <x v="4"/>
    <x v="11"/>
    <x v="0"/>
  </r>
  <r>
    <x v="2167"/>
    <x v="6"/>
    <x v="1"/>
    <n v="80.400000000000006"/>
    <x v="1530"/>
    <x v="79"/>
    <d v="2025-03-22T00:00:00"/>
    <x v="2"/>
    <x v="2"/>
    <x v="0"/>
    <s v="California"/>
    <s v="Ventura County"/>
    <x v="3"/>
    <x v="11"/>
    <x v="2"/>
  </r>
  <r>
    <x v="2168"/>
    <x v="6"/>
    <x v="12"/>
    <n v="69.099999999999994"/>
    <x v="1633"/>
    <x v="79"/>
    <d v="2025-03-22T00:00:00"/>
    <x v="1"/>
    <x v="1"/>
    <x v="2"/>
    <s v="California"/>
    <s v="Alameda County"/>
    <x v="3"/>
    <x v="11"/>
    <x v="1"/>
  </r>
  <r>
    <x v="2169"/>
    <x v="18"/>
    <x v="1"/>
    <n v="76.400000000000006"/>
    <x v="1634"/>
    <x v="79"/>
    <d v="2025-03-21T00:00:00"/>
    <x v="1"/>
    <x v="3"/>
    <x v="0"/>
    <s v="California"/>
    <s v="Alameda County"/>
    <x v="7"/>
    <x v="11"/>
    <x v="1"/>
  </r>
  <r>
    <x v="2170"/>
    <x v="2"/>
    <x v="1"/>
    <n v="61.3"/>
    <x v="384"/>
    <x v="79"/>
    <d v="2025-03-22T00:00:00"/>
    <x v="2"/>
    <x v="1"/>
    <x v="1"/>
    <s v="California"/>
    <s v="Alameda County"/>
    <x v="3"/>
    <x v="11"/>
    <x v="2"/>
  </r>
  <r>
    <x v="2171"/>
    <x v="7"/>
    <x v="0"/>
    <n v="58"/>
    <x v="1635"/>
    <x v="79"/>
    <d v="2025-03-22T00:00:00"/>
    <x v="1"/>
    <x v="3"/>
    <x v="1"/>
    <s v="California"/>
    <s v="Contra Costa County"/>
    <x v="3"/>
    <x v="11"/>
    <x v="1"/>
  </r>
  <r>
    <x v="2172"/>
    <x v="2"/>
    <x v="8"/>
    <n v="102.3"/>
    <x v="1636"/>
    <x v="79"/>
    <d v="2025-03-23T00:00:00"/>
    <x v="1"/>
    <x v="2"/>
    <x v="0"/>
    <s v="California"/>
    <s v="El Dorado County"/>
    <x v="1"/>
    <x v="11"/>
    <x v="1"/>
  </r>
  <r>
    <x v="2173"/>
    <x v="19"/>
    <x v="1"/>
    <n v="13.8"/>
    <x v="1637"/>
    <x v="79"/>
    <d v="2025-03-22T00:00:00"/>
    <x v="2"/>
    <x v="4"/>
    <x v="2"/>
    <s v="California"/>
    <s v="Fresno County"/>
    <x v="3"/>
    <x v="11"/>
    <x v="2"/>
  </r>
  <r>
    <x v="2174"/>
    <x v="8"/>
    <x v="2"/>
    <n v="33.299999999999997"/>
    <x v="1638"/>
    <x v="79"/>
    <d v="2025-03-24T00:00:00"/>
    <x v="2"/>
    <x v="2"/>
    <x v="0"/>
    <s v="California"/>
    <s v="Kern County"/>
    <x v="2"/>
    <x v="11"/>
    <x v="2"/>
  </r>
  <r>
    <x v="2175"/>
    <x v="10"/>
    <x v="0"/>
    <n v="27.4"/>
    <x v="1639"/>
    <x v="79"/>
    <d v="2025-03-24T00:00:00"/>
    <x v="1"/>
    <x v="0"/>
    <x v="2"/>
    <s v="California"/>
    <s v="Kern County"/>
    <x v="2"/>
    <x v="11"/>
    <x v="1"/>
  </r>
  <r>
    <x v="2176"/>
    <x v="14"/>
    <x v="1"/>
    <n v="25.6"/>
    <x v="180"/>
    <x v="79"/>
    <d v="2025-03-22T00:00:00"/>
    <x v="2"/>
    <x v="1"/>
    <x v="1"/>
    <s v="California"/>
    <s v="Los Angeles County"/>
    <x v="3"/>
    <x v="11"/>
    <x v="2"/>
  </r>
  <r>
    <x v="2177"/>
    <x v="13"/>
    <x v="0"/>
    <n v="58.4"/>
    <x v="305"/>
    <x v="79"/>
    <d v="2025-03-22T00:00:00"/>
    <x v="2"/>
    <x v="2"/>
    <x v="2"/>
    <s v="California"/>
    <s v="Los Angeles County"/>
    <x v="3"/>
    <x v="11"/>
    <x v="2"/>
  </r>
  <r>
    <x v="2178"/>
    <x v="11"/>
    <x v="17"/>
    <n v="27"/>
    <x v="906"/>
    <x v="79"/>
    <d v="2025-03-22T00:00:00"/>
    <x v="2"/>
    <x v="4"/>
    <x v="0"/>
    <s v="California"/>
    <s v="Los Angeles County"/>
    <x v="3"/>
    <x v="11"/>
    <x v="2"/>
  </r>
  <r>
    <x v="2179"/>
    <x v="0"/>
    <x v="12"/>
    <n v="14.2"/>
    <x v="1640"/>
    <x v="79"/>
    <d v="2025-03-22T00:00:00"/>
    <x v="1"/>
    <x v="0"/>
    <x v="2"/>
    <s v="California"/>
    <s v="Los Angeles County"/>
    <x v="3"/>
    <x v="11"/>
    <x v="1"/>
  </r>
  <r>
    <x v="2180"/>
    <x v="7"/>
    <x v="1"/>
    <n v="68"/>
    <x v="1641"/>
    <x v="79"/>
    <d v="2025-03-31T00:00:00"/>
    <x v="1"/>
    <x v="2"/>
    <x v="1"/>
    <s v="California"/>
    <s v="Los Angeles County"/>
    <x v="14"/>
    <x v="11"/>
    <x v="1"/>
  </r>
  <r>
    <x v="2181"/>
    <x v="8"/>
    <x v="0"/>
    <n v="30.7"/>
    <x v="1642"/>
    <x v="79"/>
    <d v="2025-03-22T00:00:00"/>
    <x v="1"/>
    <x v="0"/>
    <x v="0"/>
    <s v="California"/>
    <s v="Los Angeles County"/>
    <x v="3"/>
    <x v="11"/>
    <x v="1"/>
  </r>
  <r>
    <x v="2182"/>
    <x v="17"/>
    <x v="15"/>
    <n v="51.6"/>
    <x v="1643"/>
    <x v="79"/>
    <d v="2025-03-24T00:00:00"/>
    <x v="3"/>
    <x v="1"/>
    <x v="2"/>
    <s v="California"/>
    <s v="Los Angeles County"/>
    <x v="2"/>
    <x v="11"/>
    <x v="3"/>
  </r>
  <r>
    <x v="2183"/>
    <x v="8"/>
    <x v="2"/>
    <n v="20.6"/>
    <x v="957"/>
    <x v="79"/>
    <d v="2025-03-25T00:00:00"/>
    <x v="2"/>
    <x v="4"/>
    <x v="2"/>
    <s v="California"/>
    <s v="Los Angeles County"/>
    <x v="5"/>
    <x v="11"/>
    <x v="2"/>
  </r>
  <r>
    <x v="2184"/>
    <x v="8"/>
    <x v="0"/>
    <n v="24.8"/>
    <x v="1644"/>
    <x v="79"/>
    <d v="2025-03-22T00:00:00"/>
    <x v="1"/>
    <x v="4"/>
    <x v="0"/>
    <s v="California"/>
    <s v="Los Angeles County"/>
    <x v="3"/>
    <x v="11"/>
    <x v="1"/>
  </r>
  <r>
    <x v="2185"/>
    <x v="0"/>
    <x v="3"/>
    <n v="11.2"/>
    <x v="1645"/>
    <x v="79"/>
    <d v="2025-03-24T00:00:00"/>
    <x v="1"/>
    <x v="1"/>
    <x v="0"/>
    <s v="California"/>
    <s v="Los Angeles County"/>
    <x v="2"/>
    <x v="11"/>
    <x v="1"/>
  </r>
  <r>
    <x v="2186"/>
    <x v="11"/>
    <x v="1"/>
    <n v="51.2"/>
    <x v="298"/>
    <x v="79"/>
    <d v="2025-03-22T00:00:00"/>
    <x v="2"/>
    <x v="1"/>
    <x v="2"/>
    <s v="California"/>
    <s v="Los Angeles County"/>
    <x v="3"/>
    <x v="11"/>
    <x v="2"/>
  </r>
  <r>
    <x v="2187"/>
    <x v="7"/>
    <x v="13"/>
    <n v="90.5"/>
    <x v="1646"/>
    <x v="79"/>
    <d v="2025-03-22T00:00:00"/>
    <x v="2"/>
    <x v="1"/>
    <x v="4"/>
    <s v="California"/>
    <s v="Los Angeles County"/>
    <x v="3"/>
    <x v="11"/>
    <x v="2"/>
  </r>
  <r>
    <x v="2188"/>
    <x v="1"/>
    <x v="1"/>
    <n v="42.4"/>
    <x v="1647"/>
    <x v="79"/>
    <d v="2025-03-22T00:00:00"/>
    <x v="1"/>
    <x v="1"/>
    <x v="2"/>
    <s v="California"/>
    <s v="Nevada County"/>
    <x v="3"/>
    <x v="11"/>
    <x v="1"/>
  </r>
  <r>
    <x v="2189"/>
    <x v="1"/>
    <x v="1"/>
    <n v="38.200000000000003"/>
    <x v="1648"/>
    <x v="79"/>
    <d v="2025-03-22T00:00:00"/>
    <x v="1"/>
    <x v="0"/>
    <x v="0"/>
    <s v="California"/>
    <s v="Placer County"/>
    <x v="3"/>
    <x v="11"/>
    <x v="1"/>
  </r>
  <r>
    <x v="2190"/>
    <x v="2"/>
    <x v="11"/>
    <n v="121.3"/>
    <x v="1649"/>
    <x v="79"/>
    <d v="2025-03-26T00:00:00"/>
    <x v="1"/>
    <x v="0"/>
    <x v="0"/>
    <s v="California"/>
    <s v="Sacramento County"/>
    <x v="0"/>
    <x v="11"/>
    <x v="1"/>
  </r>
  <r>
    <x v="2191"/>
    <x v="6"/>
    <x v="1"/>
    <n v="46.9"/>
    <x v="1650"/>
    <x v="79"/>
    <d v="2025-03-28T00:00:00"/>
    <x v="1"/>
    <x v="0"/>
    <x v="0"/>
    <s v="California"/>
    <s v="San Diego County"/>
    <x v="6"/>
    <x v="11"/>
    <x v="1"/>
  </r>
  <r>
    <x v="2192"/>
    <x v="10"/>
    <x v="0"/>
    <n v="55.3"/>
    <x v="6"/>
    <x v="79"/>
    <d v="2025-03-23T00:00:00"/>
    <x v="1"/>
    <x v="0"/>
    <x v="0"/>
    <s v="California"/>
    <s v="San Diego County"/>
    <x v="1"/>
    <x v="11"/>
    <x v="1"/>
  </r>
  <r>
    <x v="2193"/>
    <x v="2"/>
    <x v="2"/>
    <n v="70.599999999999994"/>
    <x v="1651"/>
    <x v="80"/>
    <d v="2025-03-22T00:00:00"/>
    <x v="2"/>
    <x v="0"/>
    <x v="1"/>
    <s v="California"/>
    <s v="San Diego County"/>
    <x v="7"/>
    <x v="11"/>
    <x v="2"/>
  </r>
  <r>
    <x v="2194"/>
    <x v="14"/>
    <x v="12"/>
    <n v="26.1"/>
    <x v="1652"/>
    <x v="80"/>
    <d v="2025-03-24T00:00:00"/>
    <x v="1"/>
    <x v="0"/>
    <x v="0"/>
    <s v="California"/>
    <s v="San Diego County"/>
    <x v="1"/>
    <x v="11"/>
    <x v="1"/>
  </r>
  <r>
    <x v="2195"/>
    <x v="9"/>
    <x v="5"/>
    <n v="34.5"/>
    <x v="1653"/>
    <x v="80"/>
    <d v="2025-03-26T00:00:00"/>
    <x v="1"/>
    <x v="2"/>
    <x v="0"/>
    <s v="California"/>
    <s v="San Francisco"/>
    <x v="5"/>
    <x v="11"/>
    <x v="1"/>
  </r>
  <r>
    <x v="2196"/>
    <x v="1"/>
    <x v="1"/>
    <n v="64.2"/>
    <x v="58"/>
    <x v="80"/>
    <d v="2025-03-23T00:00:00"/>
    <x v="2"/>
    <x v="0"/>
    <x v="1"/>
    <s v="California"/>
    <s v="San Francisco"/>
    <x v="3"/>
    <x v="11"/>
    <x v="2"/>
  </r>
  <r>
    <x v="2197"/>
    <x v="2"/>
    <x v="12"/>
    <n v="145.69999999999999"/>
    <x v="1654"/>
    <x v="80"/>
    <d v="2025-03-23T00:00:00"/>
    <x v="2"/>
    <x v="0"/>
    <x v="4"/>
    <s v="California"/>
    <s v="San Francisco"/>
    <x v="3"/>
    <x v="11"/>
    <x v="2"/>
  </r>
  <r>
    <x v="2198"/>
    <x v="12"/>
    <x v="1"/>
    <n v="78.5"/>
    <x v="1655"/>
    <x v="80"/>
    <d v="2025-03-23T00:00:00"/>
    <x v="1"/>
    <x v="2"/>
    <x v="0"/>
    <s v="California"/>
    <s v="San Joaquin County"/>
    <x v="3"/>
    <x v="11"/>
    <x v="1"/>
  </r>
  <r>
    <x v="2199"/>
    <x v="1"/>
    <x v="0"/>
    <n v="34.200000000000003"/>
    <x v="1656"/>
    <x v="80"/>
    <d v="2025-03-24T00:00:00"/>
    <x v="1"/>
    <x v="0"/>
    <x v="0"/>
    <s v="California"/>
    <s v="San Mateo County"/>
    <x v="1"/>
    <x v="11"/>
    <x v="1"/>
  </r>
  <r>
    <x v="2200"/>
    <x v="19"/>
    <x v="0"/>
    <n v="26.2"/>
    <x v="1102"/>
    <x v="80"/>
    <d v="2025-03-23T00:00:00"/>
    <x v="1"/>
    <x v="2"/>
    <x v="0"/>
    <s v="California"/>
    <s v="San Mateo County"/>
    <x v="3"/>
    <x v="11"/>
    <x v="1"/>
  </r>
  <r>
    <x v="2201"/>
    <x v="6"/>
    <x v="12"/>
    <n v="53.2"/>
    <x v="1547"/>
    <x v="80"/>
    <d v="2025-03-23T00:00:00"/>
    <x v="1"/>
    <x v="1"/>
    <x v="1"/>
    <s v="California"/>
    <s v="Santa Clara County"/>
    <x v="3"/>
    <x v="11"/>
    <x v="1"/>
  </r>
  <r>
    <x v="2202"/>
    <x v="1"/>
    <x v="0"/>
    <n v="35.4"/>
    <x v="1657"/>
    <x v="80"/>
    <d v="2025-03-26T00:00:00"/>
    <x v="1"/>
    <x v="1"/>
    <x v="4"/>
    <s v="California"/>
    <s v="Sonoma County"/>
    <x v="5"/>
    <x v="11"/>
    <x v="1"/>
  </r>
  <r>
    <x v="2203"/>
    <x v="14"/>
    <x v="1"/>
    <n v="21.3"/>
    <x v="440"/>
    <x v="80"/>
    <d v="2025-03-23T00:00:00"/>
    <x v="1"/>
    <x v="2"/>
    <x v="0"/>
    <s v="California"/>
    <s v="Tulare County"/>
    <x v="3"/>
    <x v="11"/>
    <x v="1"/>
  </r>
  <r>
    <x v="2204"/>
    <x v="8"/>
    <x v="12"/>
    <n v="32.9"/>
    <x v="1423"/>
    <x v="80"/>
    <d v="2025-03-25T00:00:00"/>
    <x v="2"/>
    <x v="4"/>
    <x v="2"/>
    <s v="California"/>
    <s v="Alameda County"/>
    <x v="2"/>
    <x v="11"/>
    <x v="2"/>
  </r>
  <r>
    <x v="2205"/>
    <x v="5"/>
    <x v="20"/>
    <n v="85.5"/>
    <x v="1658"/>
    <x v="80"/>
    <d v="2025-03-24T00:00:00"/>
    <x v="2"/>
    <x v="3"/>
    <x v="1"/>
    <s v="California"/>
    <s v="Alameda County"/>
    <x v="1"/>
    <x v="11"/>
    <x v="2"/>
  </r>
  <r>
    <x v="2206"/>
    <x v="4"/>
    <x v="0"/>
    <n v="26.8"/>
    <x v="63"/>
    <x v="80"/>
    <d v="2025-03-23T00:00:00"/>
    <x v="2"/>
    <x v="0"/>
    <x v="1"/>
    <s v="California"/>
    <s v="Fresno County"/>
    <x v="3"/>
    <x v="11"/>
    <x v="2"/>
  </r>
  <r>
    <x v="2207"/>
    <x v="9"/>
    <x v="18"/>
    <n v="31.7"/>
    <x v="1659"/>
    <x v="80"/>
    <d v="2025-03-22T00:00:00"/>
    <x v="2"/>
    <x v="3"/>
    <x v="0"/>
    <s v="California"/>
    <s v="Fresno County"/>
    <x v="7"/>
    <x v="11"/>
    <x v="2"/>
  </r>
  <r>
    <x v="2208"/>
    <x v="1"/>
    <x v="1"/>
    <n v="78.3"/>
    <x v="1660"/>
    <x v="80"/>
    <d v="2025-03-24T00:00:00"/>
    <x v="2"/>
    <x v="1"/>
    <x v="1"/>
    <s v="California"/>
    <s v="Los Angeles County"/>
    <x v="1"/>
    <x v="11"/>
    <x v="2"/>
  </r>
  <r>
    <x v="2209"/>
    <x v="6"/>
    <x v="0"/>
    <n v="43.9"/>
    <x v="1661"/>
    <x v="80"/>
    <d v="2025-03-23T00:00:00"/>
    <x v="1"/>
    <x v="0"/>
    <x v="0"/>
    <s v="California"/>
    <s v="Los Angeles County"/>
    <x v="3"/>
    <x v="11"/>
    <x v="1"/>
  </r>
  <r>
    <x v="2210"/>
    <x v="18"/>
    <x v="2"/>
    <n v="84"/>
    <x v="816"/>
    <x v="80"/>
    <d v="2025-03-24T00:00:00"/>
    <x v="0"/>
    <x v="3"/>
    <x v="2"/>
    <s v="California"/>
    <s v="Los Angeles County"/>
    <x v="1"/>
    <x v="11"/>
    <x v="0"/>
  </r>
  <r>
    <x v="2211"/>
    <x v="0"/>
    <x v="2"/>
    <n v="11.4"/>
    <x v="1656"/>
    <x v="80"/>
    <d v="2025-03-23T00:00:00"/>
    <x v="1"/>
    <x v="4"/>
    <x v="0"/>
    <s v="California"/>
    <s v="Los Angeles County"/>
    <x v="3"/>
    <x v="11"/>
    <x v="1"/>
  </r>
  <r>
    <x v="2212"/>
    <x v="12"/>
    <x v="8"/>
    <n v="47.5"/>
    <x v="1662"/>
    <x v="80"/>
    <d v="2025-03-30T00:00:00"/>
    <x v="2"/>
    <x v="0"/>
    <x v="0"/>
    <s v="California"/>
    <s v="Los Angeles County"/>
    <x v="9"/>
    <x v="11"/>
    <x v="2"/>
  </r>
  <r>
    <x v="2213"/>
    <x v="9"/>
    <x v="5"/>
    <n v="50.5"/>
    <x v="1663"/>
    <x v="80"/>
    <d v="2025-03-24T00:00:00"/>
    <x v="1"/>
    <x v="2"/>
    <x v="0"/>
    <s v="California"/>
    <s v="Los Angeles County"/>
    <x v="1"/>
    <x v="11"/>
    <x v="1"/>
  </r>
  <r>
    <x v="2214"/>
    <x v="15"/>
    <x v="0"/>
    <n v="36.299999999999997"/>
    <x v="1277"/>
    <x v="80"/>
    <d v="2025-03-25T00:00:00"/>
    <x v="3"/>
    <x v="0"/>
    <x v="1"/>
    <s v="California"/>
    <s v="San Diego County"/>
    <x v="2"/>
    <x v="11"/>
    <x v="3"/>
  </r>
  <r>
    <x v="2215"/>
    <x v="8"/>
    <x v="1"/>
    <n v="35.4"/>
    <x v="1664"/>
    <x v="80"/>
    <d v="2025-03-23T00:00:00"/>
    <x v="2"/>
    <x v="0"/>
    <x v="0"/>
    <s v="California"/>
    <s v="San Francisco"/>
    <x v="3"/>
    <x v="11"/>
    <x v="2"/>
  </r>
  <r>
    <x v="2216"/>
    <x v="1"/>
    <x v="2"/>
    <n v="45.9"/>
    <x v="223"/>
    <x v="81"/>
    <d v="2025-03-24T00:00:00"/>
    <x v="1"/>
    <x v="3"/>
    <x v="0"/>
    <s v="California"/>
    <s v="San Mateo County"/>
    <x v="3"/>
    <x v="12"/>
    <x v="1"/>
  </r>
  <r>
    <x v="2217"/>
    <x v="6"/>
    <x v="7"/>
    <n v="41.2"/>
    <x v="1665"/>
    <x v="81"/>
    <d v="2025-03-27T00:00:00"/>
    <x v="1"/>
    <x v="0"/>
    <x v="0"/>
    <s v="California"/>
    <s v="Santa Clara County"/>
    <x v="5"/>
    <x v="12"/>
    <x v="1"/>
  </r>
  <r>
    <x v="2218"/>
    <x v="17"/>
    <x v="1"/>
    <n v="45.1"/>
    <x v="244"/>
    <x v="81"/>
    <d v="2025-03-24T00:00:00"/>
    <x v="1"/>
    <x v="1"/>
    <x v="1"/>
    <s v="California"/>
    <s v="Alameda County"/>
    <x v="3"/>
    <x v="12"/>
    <x v="1"/>
  </r>
  <r>
    <x v="2219"/>
    <x v="6"/>
    <x v="7"/>
    <n v="63.6"/>
    <x v="1666"/>
    <x v="81"/>
    <d v="2025-03-23T00:00:00"/>
    <x v="1"/>
    <x v="2"/>
    <x v="0"/>
    <s v="California"/>
    <s v="Contra Costa County"/>
    <x v="7"/>
    <x v="12"/>
    <x v="1"/>
  </r>
  <r>
    <x v="2220"/>
    <x v="8"/>
    <x v="0"/>
    <n v="70.5"/>
    <x v="1012"/>
    <x v="81"/>
    <d v="2025-03-24T00:00:00"/>
    <x v="1"/>
    <x v="0"/>
    <x v="0"/>
    <s v="California"/>
    <s v="Los Angeles County"/>
    <x v="3"/>
    <x v="12"/>
    <x v="1"/>
  </r>
  <r>
    <x v="2221"/>
    <x v="6"/>
    <x v="0"/>
    <n v="41.3"/>
    <x v="1667"/>
    <x v="81"/>
    <d v="2025-03-23T00:00:00"/>
    <x v="1"/>
    <x v="4"/>
    <x v="0"/>
    <s v="California"/>
    <s v="Los Angeles County"/>
    <x v="7"/>
    <x v="12"/>
    <x v="1"/>
  </r>
  <r>
    <x v="2222"/>
    <x v="4"/>
    <x v="0"/>
    <n v="35.299999999999997"/>
    <x v="1668"/>
    <x v="81"/>
    <d v="2025-03-26T00:00:00"/>
    <x v="2"/>
    <x v="4"/>
    <x v="2"/>
    <s v="California"/>
    <s v="Los Angeles County"/>
    <x v="2"/>
    <x v="12"/>
    <x v="2"/>
  </r>
  <r>
    <x v="2223"/>
    <x v="8"/>
    <x v="9"/>
    <n v="34.700000000000003"/>
    <x v="1669"/>
    <x v="81"/>
    <d v="2025-03-24T00:00:00"/>
    <x v="2"/>
    <x v="0"/>
    <x v="2"/>
    <s v="California"/>
    <s v="Los Angeles County"/>
    <x v="3"/>
    <x v="12"/>
    <x v="2"/>
  </r>
  <r>
    <x v="2224"/>
    <x v="8"/>
    <x v="2"/>
    <n v="26.1"/>
    <x v="1670"/>
    <x v="81"/>
    <d v="2025-03-24T00:00:00"/>
    <x v="2"/>
    <x v="0"/>
    <x v="0"/>
    <s v="California"/>
    <s v="Los Angeles County"/>
    <x v="3"/>
    <x v="12"/>
    <x v="2"/>
  </r>
  <r>
    <x v="2225"/>
    <x v="9"/>
    <x v="9"/>
    <n v="22.6"/>
    <x v="548"/>
    <x v="81"/>
    <d v="2025-03-23T00:00:00"/>
    <x v="2"/>
    <x v="1"/>
    <x v="2"/>
    <s v="California"/>
    <s v="Los Angeles County"/>
    <x v="7"/>
    <x v="12"/>
    <x v="2"/>
  </r>
  <r>
    <x v="2226"/>
    <x v="2"/>
    <x v="1"/>
    <n v="154.4"/>
    <x v="1671"/>
    <x v="81"/>
    <d v="2025-03-26T00:00:00"/>
    <x v="1"/>
    <x v="1"/>
    <x v="1"/>
    <s v="California"/>
    <s v="Los Angeles County"/>
    <x v="2"/>
    <x v="12"/>
    <x v="1"/>
  </r>
  <r>
    <x v="2227"/>
    <x v="8"/>
    <x v="1"/>
    <n v="18.399999999999999"/>
    <x v="791"/>
    <x v="81"/>
    <d v="2025-03-24T00:00:00"/>
    <x v="1"/>
    <x v="0"/>
    <x v="0"/>
    <s v="California"/>
    <s v="Los Angeles County"/>
    <x v="3"/>
    <x v="12"/>
    <x v="1"/>
  </r>
  <r>
    <x v="2228"/>
    <x v="14"/>
    <x v="0"/>
    <n v="25"/>
    <x v="1672"/>
    <x v="81"/>
    <d v="2025-03-26T00:00:00"/>
    <x v="2"/>
    <x v="0"/>
    <x v="0"/>
    <s v="California"/>
    <s v="Los Angeles County"/>
    <x v="2"/>
    <x v="12"/>
    <x v="2"/>
  </r>
  <r>
    <x v="2229"/>
    <x v="2"/>
    <x v="13"/>
    <n v="105.6"/>
    <x v="1673"/>
    <x v="81"/>
    <d v="2025-03-23T00:00:00"/>
    <x v="2"/>
    <x v="0"/>
    <x v="0"/>
    <s v="California"/>
    <s v="Los Angeles County"/>
    <x v="7"/>
    <x v="12"/>
    <x v="2"/>
  </r>
  <r>
    <x v="2230"/>
    <x v="18"/>
    <x v="8"/>
    <n v="59.6"/>
    <x v="1674"/>
    <x v="81"/>
    <d v="2025-03-23T00:00:00"/>
    <x v="2"/>
    <x v="0"/>
    <x v="2"/>
    <s v="California"/>
    <s v="Riverside County"/>
    <x v="7"/>
    <x v="12"/>
    <x v="2"/>
  </r>
  <r>
    <x v="2231"/>
    <x v="15"/>
    <x v="2"/>
    <n v="75.400000000000006"/>
    <x v="1675"/>
    <x v="81"/>
    <d v="2025-03-28T00:00:00"/>
    <x v="1"/>
    <x v="0"/>
    <x v="1"/>
    <s v="California"/>
    <s v="San Bernardino County"/>
    <x v="0"/>
    <x v="12"/>
    <x v="1"/>
  </r>
  <r>
    <x v="2232"/>
    <x v="7"/>
    <x v="0"/>
    <n v="104.4"/>
    <x v="1652"/>
    <x v="81"/>
    <d v="2025-03-24T00:00:00"/>
    <x v="2"/>
    <x v="0"/>
    <x v="0"/>
    <s v="California"/>
    <s v="San Diego County"/>
    <x v="3"/>
    <x v="12"/>
    <x v="2"/>
  </r>
  <r>
    <x v="2233"/>
    <x v="2"/>
    <x v="7"/>
    <n v="208.2"/>
    <x v="1676"/>
    <x v="81"/>
    <d v="2025-03-24T00:00:00"/>
    <x v="1"/>
    <x v="0"/>
    <x v="2"/>
    <s v="California"/>
    <s v="San Diego County"/>
    <x v="3"/>
    <x v="12"/>
    <x v="1"/>
  </r>
  <r>
    <x v="2234"/>
    <x v="6"/>
    <x v="1"/>
    <n v="45"/>
    <x v="645"/>
    <x v="81"/>
    <d v="2025-03-26T00:00:00"/>
    <x v="2"/>
    <x v="0"/>
    <x v="0"/>
    <s v="California"/>
    <s v="Santa Barbara County"/>
    <x v="2"/>
    <x v="12"/>
    <x v="2"/>
  </r>
  <r>
    <x v="2235"/>
    <x v="15"/>
    <x v="1"/>
    <n v="20.3"/>
    <x v="1352"/>
    <x v="82"/>
    <d v="2025-03-26T00:00:00"/>
    <x v="0"/>
    <x v="1"/>
    <x v="0"/>
    <s v="California"/>
    <s v="Santa Clara County"/>
    <x v="1"/>
    <x v="12"/>
    <x v="0"/>
  </r>
  <r>
    <x v="2236"/>
    <x v="2"/>
    <x v="2"/>
    <n v="94.4"/>
    <x v="1677"/>
    <x v="82"/>
    <d v="2025-03-25T00:00:00"/>
    <x v="2"/>
    <x v="0"/>
    <x v="2"/>
    <s v="California"/>
    <s v="Santa Clara County"/>
    <x v="3"/>
    <x v="12"/>
    <x v="2"/>
  </r>
  <r>
    <x v="2237"/>
    <x v="9"/>
    <x v="0"/>
    <n v="49"/>
    <x v="268"/>
    <x v="82"/>
    <d v="2025-03-26T00:00:00"/>
    <x v="2"/>
    <x v="0"/>
    <x v="2"/>
    <s v="California"/>
    <s v="Tulare County"/>
    <x v="1"/>
    <x v="12"/>
    <x v="2"/>
  </r>
  <r>
    <x v="2238"/>
    <x v="4"/>
    <x v="1"/>
    <n v="27.2"/>
    <x v="630"/>
    <x v="82"/>
    <d v="2025-03-26T00:00:00"/>
    <x v="1"/>
    <x v="0"/>
    <x v="2"/>
    <s v="California"/>
    <s v="Contra Costa County"/>
    <x v="1"/>
    <x v="12"/>
    <x v="1"/>
  </r>
  <r>
    <x v="2239"/>
    <x v="2"/>
    <x v="13"/>
    <n v="72.599999999999994"/>
    <x v="349"/>
    <x v="82"/>
    <d v="2025-03-25T00:00:00"/>
    <x v="2"/>
    <x v="0"/>
    <x v="2"/>
    <s v="California"/>
    <s v="Fresno County"/>
    <x v="3"/>
    <x v="12"/>
    <x v="2"/>
  </r>
  <r>
    <x v="2240"/>
    <x v="15"/>
    <x v="12"/>
    <n v="62.4"/>
    <x v="1267"/>
    <x v="82"/>
    <d v="2025-03-25T00:00:00"/>
    <x v="2"/>
    <x v="0"/>
    <x v="0"/>
    <s v="California"/>
    <s v="Los Angeles County"/>
    <x v="3"/>
    <x v="12"/>
    <x v="2"/>
  </r>
  <r>
    <x v="2241"/>
    <x v="8"/>
    <x v="2"/>
    <n v="19.100000000000001"/>
    <x v="1281"/>
    <x v="82"/>
    <d v="2025-03-26T00:00:00"/>
    <x v="1"/>
    <x v="0"/>
    <x v="1"/>
    <s v="California"/>
    <s v="Los Angeles County"/>
    <x v="1"/>
    <x v="12"/>
    <x v="1"/>
  </r>
  <r>
    <x v="2242"/>
    <x v="10"/>
    <x v="0"/>
    <n v="29.6"/>
    <x v="1678"/>
    <x v="82"/>
    <d v="2025-03-28T00:00:00"/>
    <x v="1"/>
    <x v="0"/>
    <x v="4"/>
    <s v="California"/>
    <s v="Los Angeles County"/>
    <x v="5"/>
    <x v="12"/>
    <x v="1"/>
  </r>
  <r>
    <x v="2243"/>
    <x v="8"/>
    <x v="1"/>
    <n v="18.899999999999999"/>
    <x v="463"/>
    <x v="82"/>
    <d v="2025-03-26T00:00:00"/>
    <x v="2"/>
    <x v="4"/>
    <x v="2"/>
    <s v="California"/>
    <s v="Los Angeles County"/>
    <x v="1"/>
    <x v="12"/>
    <x v="2"/>
  </r>
  <r>
    <x v="2244"/>
    <x v="10"/>
    <x v="9"/>
    <n v="41.4"/>
    <x v="461"/>
    <x v="82"/>
    <d v="2025-03-25T00:00:00"/>
    <x v="1"/>
    <x v="3"/>
    <x v="0"/>
    <s v="California"/>
    <s v="Los Angeles County"/>
    <x v="3"/>
    <x v="12"/>
    <x v="1"/>
  </r>
  <r>
    <x v="2245"/>
    <x v="2"/>
    <x v="0"/>
    <n v="118.4"/>
    <x v="1250"/>
    <x v="82"/>
    <d v="2025-03-25T00:00:00"/>
    <x v="2"/>
    <x v="0"/>
    <x v="2"/>
    <s v="California"/>
    <s v="Los Angeles County"/>
    <x v="3"/>
    <x v="12"/>
    <x v="2"/>
  </r>
  <r>
    <x v="2246"/>
    <x v="2"/>
    <x v="1"/>
    <n v="125.3"/>
    <x v="1679"/>
    <x v="82"/>
    <d v="2025-03-27T00:00:00"/>
    <x v="2"/>
    <x v="0"/>
    <x v="2"/>
    <s v="California"/>
    <s v="Los Angeles County"/>
    <x v="2"/>
    <x v="12"/>
    <x v="2"/>
  </r>
  <r>
    <x v="2247"/>
    <x v="3"/>
    <x v="1"/>
    <n v="85.8"/>
    <x v="1512"/>
    <x v="82"/>
    <d v="2025-03-25T00:00:00"/>
    <x v="2"/>
    <x v="1"/>
    <x v="4"/>
    <s v="California"/>
    <s v="Los Angeles County"/>
    <x v="3"/>
    <x v="12"/>
    <x v="2"/>
  </r>
  <r>
    <x v="2248"/>
    <x v="6"/>
    <x v="0"/>
    <n v="44.2"/>
    <x v="573"/>
    <x v="82"/>
    <d v="2025-03-27T00:00:00"/>
    <x v="1"/>
    <x v="1"/>
    <x v="0"/>
    <s v="California"/>
    <s v="Los Angeles County"/>
    <x v="2"/>
    <x v="12"/>
    <x v="1"/>
  </r>
  <r>
    <x v="2249"/>
    <x v="5"/>
    <x v="12"/>
    <n v="74.099999999999994"/>
    <x v="764"/>
    <x v="82"/>
    <d v="2025-03-26T00:00:00"/>
    <x v="2"/>
    <x v="0"/>
    <x v="0"/>
    <s v="California"/>
    <s v="Los Angeles County"/>
    <x v="1"/>
    <x v="12"/>
    <x v="2"/>
  </r>
  <r>
    <x v="2250"/>
    <x v="8"/>
    <x v="0"/>
    <n v="33.799999999999997"/>
    <x v="1680"/>
    <x v="82"/>
    <d v="2025-03-25T00:00:00"/>
    <x v="2"/>
    <x v="2"/>
    <x v="2"/>
    <s v="California"/>
    <s v="Merced County"/>
    <x v="3"/>
    <x v="12"/>
    <x v="2"/>
  </r>
  <r>
    <x v="2251"/>
    <x v="1"/>
    <x v="1"/>
    <n v="39.1"/>
    <x v="1148"/>
    <x v="82"/>
    <d v="2025-03-25T00:00:00"/>
    <x v="1"/>
    <x v="0"/>
    <x v="1"/>
    <s v="California"/>
    <s v="Merced County"/>
    <x v="3"/>
    <x v="12"/>
    <x v="1"/>
  </r>
  <r>
    <x v="2252"/>
    <x v="0"/>
    <x v="0"/>
    <n v="37.200000000000003"/>
    <x v="804"/>
    <x v="82"/>
    <d v="2025-03-25T00:00:00"/>
    <x v="1"/>
    <x v="0"/>
    <x v="1"/>
    <s v="California"/>
    <s v="Napa County"/>
    <x v="3"/>
    <x v="12"/>
    <x v="1"/>
  </r>
  <r>
    <x v="2253"/>
    <x v="15"/>
    <x v="2"/>
    <n v="33.9"/>
    <x v="1681"/>
    <x v="82"/>
    <d v="2025-03-26T00:00:00"/>
    <x v="1"/>
    <x v="2"/>
    <x v="0"/>
    <s v="California"/>
    <s v="Sacramento County"/>
    <x v="1"/>
    <x v="12"/>
    <x v="1"/>
  </r>
  <r>
    <x v="2254"/>
    <x v="7"/>
    <x v="20"/>
    <n v="73.3"/>
    <x v="1682"/>
    <x v="82"/>
    <d v="2025-03-27T00:00:00"/>
    <x v="2"/>
    <x v="2"/>
    <x v="1"/>
    <s v="California"/>
    <s v="San Diego County"/>
    <x v="2"/>
    <x v="12"/>
    <x v="2"/>
  </r>
  <r>
    <x v="2255"/>
    <x v="8"/>
    <x v="12"/>
    <n v="35"/>
    <x v="1683"/>
    <x v="82"/>
    <d v="2025-03-26T00:00:00"/>
    <x v="2"/>
    <x v="1"/>
    <x v="0"/>
    <s v="California"/>
    <s v="San Diego County"/>
    <x v="1"/>
    <x v="12"/>
    <x v="2"/>
  </r>
  <r>
    <x v="2256"/>
    <x v="0"/>
    <x v="2"/>
    <n v="22.2"/>
    <x v="815"/>
    <x v="82"/>
    <d v="2025-03-25T00:00:00"/>
    <x v="1"/>
    <x v="1"/>
    <x v="0"/>
    <s v="California"/>
    <s v="San Francisco"/>
    <x v="3"/>
    <x v="12"/>
    <x v="1"/>
  </r>
  <r>
    <x v="2257"/>
    <x v="10"/>
    <x v="0"/>
    <n v="32.4"/>
    <x v="1684"/>
    <x v="82"/>
    <d v="2025-03-25T00:00:00"/>
    <x v="2"/>
    <x v="0"/>
    <x v="0"/>
    <s v="California"/>
    <s v="Santa Clara County"/>
    <x v="3"/>
    <x v="12"/>
    <x v="2"/>
  </r>
  <r>
    <x v="2258"/>
    <x v="5"/>
    <x v="2"/>
    <n v="88.4"/>
    <x v="1685"/>
    <x v="83"/>
    <d v="2025-03-27T00:00:00"/>
    <x v="2"/>
    <x v="1"/>
    <x v="1"/>
    <s v="California"/>
    <s v="Santa Clara County"/>
    <x v="1"/>
    <x v="12"/>
    <x v="2"/>
  </r>
  <r>
    <x v="2259"/>
    <x v="5"/>
    <x v="27"/>
    <n v="30.5"/>
    <x v="865"/>
    <x v="83"/>
    <d v="2025-03-26T00:00:00"/>
    <x v="2"/>
    <x v="2"/>
    <x v="0"/>
    <s v="California"/>
    <s v="Santa Clara County"/>
    <x v="3"/>
    <x v="12"/>
    <x v="2"/>
  </r>
  <r>
    <x v="2260"/>
    <x v="1"/>
    <x v="13"/>
    <n v="38.1"/>
    <x v="1686"/>
    <x v="83"/>
    <d v="2025-03-27T00:00:00"/>
    <x v="2"/>
    <x v="0"/>
    <x v="1"/>
    <s v="California"/>
    <s v="Santa Clara County"/>
    <x v="1"/>
    <x v="12"/>
    <x v="2"/>
  </r>
  <r>
    <x v="2261"/>
    <x v="10"/>
    <x v="9"/>
    <n v="37.6"/>
    <x v="885"/>
    <x v="83"/>
    <d v="2025-03-29T00:00:00"/>
    <x v="1"/>
    <x v="0"/>
    <x v="0"/>
    <s v="California"/>
    <s v="Santa Clara County"/>
    <x v="5"/>
    <x v="12"/>
    <x v="1"/>
  </r>
  <r>
    <x v="2262"/>
    <x v="15"/>
    <x v="1"/>
    <n v="31.4"/>
    <x v="143"/>
    <x v="83"/>
    <d v="2025-03-26T00:00:00"/>
    <x v="1"/>
    <x v="0"/>
    <x v="2"/>
    <s v="California"/>
    <s v="Santa Clara County"/>
    <x v="3"/>
    <x v="12"/>
    <x v="1"/>
  </r>
  <r>
    <x v="2263"/>
    <x v="6"/>
    <x v="1"/>
    <n v="61.5"/>
    <x v="1287"/>
    <x v="83"/>
    <d v="2025-03-26T00:00:00"/>
    <x v="1"/>
    <x v="3"/>
    <x v="0"/>
    <s v="California"/>
    <s v="Sutter County"/>
    <x v="3"/>
    <x v="12"/>
    <x v="1"/>
  </r>
  <r>
    <x v="2264"/>
    <x v="6"/>
    <x v="0"/>
    <n v="72.599999999999994"/>
    <x v="1325"/>
    <x v="83"/>
    <d v="2025-03-26T00:00:00"/>
    <x v="1"/>
    <x v="0"/>
    <x v="1"/>
    <s v="California"/>
    <s v="Alameda County"/>
    <x v="3"/>
    <x v="12"/>
    <x v="1"/>
  </r>
  <r>
    <x v="2265"/>
    <x v="9"/>
    <x v="2"/>
    <n v="26.9"/>
    <x v="1687"/>
    <x v="83"/>
    <d v="2025-03-30T00:00:00"/>
    <x v="3"/>
    <x v="4"/>
    <x v="1"/>
    <s v="California"/>
    <s v="Amador County"/>
    <x v="0"/>
    <x v="12"/>
    <x v="3"/>
  </r>
  <r>
    <x v="2266"/>
    <x v="17"/>
    <x v="4"/>
    <n v="29.4"/>
    <x v="1688"/>
    <x v="83"/>
    <d v="2025-03-26T00:00:00"/>
    <x v="2"/>
    <x v="1"/>
    <x v="0"/>
    <s v="California"/>
    <s v="Butte County"/>
    <x v="3"/>
    <x v="12"/>
    <x v="2"/>
  </r>
  <r>
    <x v="2267"/>
    <x v="17"/>
    <x v="1"/>
    <n v="42.1"/>
    <x v="903"/>
    <x v="83"/>
    <d v="2025-03-26T00:00:00"/>
    <x v="2"/>
    <x v="3"/>
    <x v="1"/>
    <s v="California"/>
    <s v="Contra Costa County"/>
    <x v="3"/>
    <x v="12"/>
    <x v="2"/>
  </r>
  <r>
    <x v="2268"/>
    <x v="5"/>
    <x v="0"/>
    <n v="40.5"/>
    <x v="1117"/>
    <x v="83"/>
    <d v="2025-03-26T00:00:00"/>
    <x v="2"/>
    <x v="2"/>
    <x v="1"/>
    <s v="California"/>
    <s v="Contra Costa County"/>
    <x v="3"/>
    <x v="12"/>
    <x v="2"/>
  </r>
  <r>
    <x v="2269"/>
    <x v="2"/>
    <x v="12"/>
    <n v="182.3"/>
    <x v="1689"/>
    <x v="83"/>
    <d v="2025-03-26T00:00:00"/>
    <x v="2"/>
    <x v="1"/>
    <x v="0"/>
    <s v="California"/>
    <s v="Contra Costa County"/>
    <x v="3"/>
    <x v="12"/>
    <x v="2"/>
  </r>
  <r>
    <x v="2270"/>
    <x v="2"/>
    <x v="9"/>
    <n v="157"/>
    <x v="1690"/>
    <x v="83"/>
    <d v="2025-03-28T00:00:00"/>
    <x v="2"/>
    <x v="1"/>
    <x v="2"/>
    <s v="California"/>
    <s v="Fresno County"/>
    <x v="2"/>
    <x v="12"/>
    <x v="2"/>
  </r>
  <r>
    <x v="2271"/>
    <x v="17"/>
    <x v="9"/>
    <n v="45.2"/>
    <x v="326"/>
    <x v="83"/>
    <d v="2025-03-28T00:00:00"/>
    <x v="2"/>
    <x v="1"/>
    <x v="0"/>
    <s v="California"/>
    <s v="Kern County"/>
    <x v="2"/>
    <x v="12"/>
    <x v="2"/>
  </r>
  <r>
    <x v="2272"/>
    <x v="15"/>
    <x v="12"/>
    <n v="27.4"/>
    <x v="1239"/>
    <x v="83"/>
    <d v="2025-03-27T00:00:00"/>
    <x v="2"/>
    <x v="0"/>
    <x v="0"/>
    <s v="California"/>
    <s v="Los Angeles County"/>
    <x v="1"/>
    <x v="12"/>
    <x v="2"/>
  </r>
  <r>
    <x v="2273"/>
    <x v="5"/>
    <x v="9"/>
    <n v="34.1"/>
    <x v="1691"/>
    <x v="83"/>
    <d v="2025-03-27T00:00:00"/>
    <x v="1"/>
    <x v="0"/>
    <x v="2"/>
    <s v="California"/>
    <s v="Los Angeles County"/>
    <x v="1"/>
    <x v="12"/>
    <x v="1"/>
  </r>
  <r>
    <x v="2274"/>
    <x v="0"/>
    <x v="1"/>
    <n v="26"/>
    <x v="1692"/>
    <x v="83"/>
    <d v="2025-03-27T00:00:00"/>
    <x v="1"/>
    <x v="2"/>
    <x v="1"/>
    <s v="California"/>
    <s v="Los Angeles County"/>
    <x v="1"/>
    <x v="12"/>
    <x v="1"/>
  </r>
  <r>
    <x v="2275"/>
    <x v="8"/>
    <x v="3"/>
    <n v="19.399999999999999"/>
    <x v="1693"/>
    <x v="83"/>
    <d v="2025-03-27T00:00:00"/>
    <x v="0"/>
    <x v="1"/>
    <x v="1"/>
    <s v="California"/>
    <s v="Los Angeles County"/>
    <x v="1"/>
    <x v="12"/>
    <x v="0"/>
  </r>
  <r>
    <x v="2276"/>
    <x v="16"/>
    <x v="2"/>
    <n v="30.3"/>
    <x v="407"/>
    <x v="83"/>
    <d v="2025-03-28T00:00:00"/>
    <x v="2"/>
    <x v="1"/>
    <x v="2"/>
    <s v="California"/>
    <s v="Los Angeles County"/>
    <x v="2"/>
    <x v="12"/>
    <x v="2"/>
  </r>
  <r>
    <x v="2277"/>
    <x v="2"/>
    <x v="2"/>
    <n v="101.4"/>
    <x v="1694"/>
    <x v="83"/>
    <d v="2025-03-26T00:00:00"/>
    <x v="1"/>
    <x v="0"/>
    <x v="0"/>
    <s v="California"/>
    <s v="Los Angeles County"/>
    <x v="3"/>
    <x v="12"/>
    <x v="1"/>
  </r>
  <r>
    <x v="2278"/>
    <x v="3"/>
    <x v="9"/>
    <n v="55.5"/>
    <x v="819"/>
    <x v="83"/>
    <d v="2025-03-28T00:00:00"/>
    <x v="1"/>
    <x v="1"/>
    <x v="0"/>
    <s v="California"/>
    <s v="Merced County"/>
    <x v="2"/>
    <x v="12"/>
    <x v="1"/>
  </r>
  <r>
    <x v="2279"/>
    <x v="8"/>
    <x v="0"/>
    <n v="23.1"/>
    <x v="1695"/>
    <x v="83"/>
    <d v="2025-03-26T00:00:00"/>
    <x v="1"/>
    <x v="0"/>
    <x v="0"/>
    <s v="California"/>
    <s v="Orange County"/>
    <x v="3"/>
    <x v="12"/>
    <x v="1"/>
  </r>
  <r>
    <x v="2280"/>
    <x v="18"/>
    <x v="1"/>
    <n v="38.9"/>
    <x v="482"/>
    <x v="83"/>
    <d v="2025-03-26T00:00:00"/>
    <x v="1"/>
    <x v="2"/>
    <x v="0"/>
    <s v="California"/>
    <s v="Orange County"/>
    <x v="3"/>
    <x v="12"/>
    <x v="1"/>
  </r>
  <r>
    <x v="2281"/>
    <x v="6"/>
    <x v="11"/>
    <n v="116.3"/>
    <x v="1696"/>
    <x v="83"/>
    <d v="2025-03-29T00:00:00"/>
    <x v="2"/>
    <x v="0"/>
    <x v="0"/>
    <s v="California"/>
    <s v="Placer County"/>
    <x v="5"/>
    <x v="12"/>
    <x v="2"/>
  </r>
  <r>
    <x v="2282"/>
    <x v="16"/>
    <x v="11"/>
    <n v="64.099999999999994"/>
    <x v="1697"/>
    <x v="83"/>
    <d v="2025-03-25T00:00:00"/>
    <x v="2"/>
    <x v="0"/>
    <x v="2"/>
    <s v="California"/>
    <s v="Sacramento County"/>
    <x v="7"/>
    <x v="12"/>
    <x v="2"/>
  </r>
  <r>
    <x v="2283"/>
    <x v="2"/>
    <x v="13"/>
    <n v="109.2"/>
    <x v="1698"/>
    <x v="83"/>
    <d v="2025-03-27T00:00:00"/>
    <x v="1"/>
    <x v="0"/>
    <x v="1"/>
    <s v="California"/>
    <s v="San Diego County"/>
    <x v="1"/>
    <x v="12"/>
    <x v="1"/>
  </r>
  <r>
    <x v="2284"/>
    <x v="10"/>
    <x v="9"/>
    <n v="23.2"/>
    <x v="1699"/>
    <x v="84"/>
    <d v="2025-03-27T00:00:00"/>
    <x v="1"/>
    <x v="0"/>
    <x v="1"/>
    <s v="California"/>
    <s v="San Diego County"/>
    <x v="3"/>
    <x v="12"/>
    <x v="1"/>
  </r>
  <r>
    <x v="2285"/>
    <x v="18"/>
    <x v="13"/>
    <n v="81.2"/>
    <x v="1700"/>
    <x v="84"/>
    <d v="2025-03-28T00:00:00"/>
    <x v="1"/>
    <x v="2"/>
    <x v="2"/>
    <s v="California"/>
    <s v="San Diego County"/>
    <x v="1"/>
    <x v="12"/>
    <x v="1"/>
  </r>
  <r>
    <x v="2286"/>
    <x v="1"/>
    <x v="21"/>
    <n v="35.700000000000003"/>
    <x v="1701"/>
    <x v="84"/>
    <d v="2025-03-27T00:00:00"/>
    <x v="1"/>
    <x v="3"/>
    <x v="0"/>
    <s v="California"/>
    <s v="San Diego County"/>
    <x v="3"/>
    <x v="12"/>
    <x v="1"/>
  </r>
  <r>
    <x v="2287"/>
    <x v="7"/>
    <x v="1"/>
    <n v="44.5"/>
    <x v="1702"/>
    <x v="84"/>
    <d v="2025-03-29T00:00:00"/>
    <x v="1"/>
    <x v="4"/>
    <x v="0"/>
    <s v="California"/>
    <s v="San Mateo County"/>
    <x v="2"/>
    <x v="12"/>
    <x v="1"/>
  </r>
  <r>
    <x v="2288"/>
    <x v="1"/>
    <x v="9"/>
    <n v="32"/>
    <x v="444"/>
    <x v="84"/>
    <d v="2025-03-28T00:00:00"/>
    <x v="3"/>
    <x v="1"/>
    <x v="1"/>
    <s v="California"/>
    <s v="San Mateo County"/>
    <x v="1"/>
    <x v="12"/>
    <x v="3"/>
  </r>
  <r>
    <x v="2289"/>
    <x v="8"/>
    <x v="0"/>
    <n v="25.7"/>
    <x v="1703"/>
    <x v="84"/>
    <d v="2025-03-27T00:00:00"/>
    <x v="1"/>
    <x v="0"/>
    <x v="0"/>
    <s v="California"/>
    <s v="Santa Barbara County"/>
    <x v="3"/>
    <x v="12"/>
    <x v="1"/>
  </r>
  <r>
    <x v="2290"/>
    <x v="16"/>
    <x v="2"/>
    <n v="65.599999999999994"/>
    <x v="487"/>
    <x v="84"/>
    <d v="2025-04-01T00:00:00"/>
    <x v="1"/>
    <x v="0"/>
    <x v="0"/>
    <s v="California"/>
    <s v="Santa Clara County"/>
    <x v="4"/>
    <x v="12"/>
    <x v="1"/>
  </r>
  <r>
    <x v="2291"/>
    <x v="1"/>
    <x v="12"/>
    <n v="52.1"/>
    <x v="1704"/>
    <x v="84"/>
    <d v="2025-03-27T00:00:00"/>
    <x v="2"/>
    <x v="0"/>
    <x v="2"/>
    <s v="California"/>
    <s v="Santa Clara County"/>
    <x v="3"/>
    <x v="12"/>
    <x v="2"/>
  </r>
  <r>
    <x v="2292"/>
    <x v="8"/>
    <x v="0"/>
    <n v="31"/>
    <x v="1705"/>
    <x v="84"/>
    <d v="2025-03-27T00:00:00"/>
    <x v="1"/>
    <x v="0"/>
    <x v="1"/>
    <s v="California"/>
    <s v="Stanislaus County"/>
    <x v="3"/>
    <x v="12"/>
    <x v="1"/>
  </r>
  <r>
    <x v="2293"/>
    <x v="8"/>
    <x v="0"/>
    <n v="32"/>
    <x v="109"/>
    <x v="84"/>
    <d v="2025-03-28T00:00:00"/>
    <x v="3"/>
    <x v="3"/>
    <x v="1"/>
    <s v="California"/>
    <s v="Sutter County"/>
    <x v="1"/>
    <x v="12"/>
    <x v="3"/>
  </r>
  <r>
    <x v="2294"/>
    <x v="16"/>
    <x v="12"/>
    <n v="58.3"/>
    <x v="1706"/>
    <x v="84"/>
    <d v="2025-03-30T00:00:00"/>
    <x v="1"/>
    <x v="1"/>
    <x v="4"/>
    <s v="California"/>
    <s v="Tulare County"/>
    <x v="5"/>
    <x v="12"/>
    <x v="1"/>
  </r>
  <r>
    <x v="2295"/>
    <x v="8"/>
    <x v="2"/>
    <n v="31"/>
    <x v="1707"/>
    <x v="84"/>
    <d v="2025-03-28T00:00:00"/>
    <x v="2"/>
    <x v="2"/>
    <x v="4"/>
    <s v="California"/>
    <s v="Ventura County"/>
    <x v="1"/>
    <x v="12"/>
    <x v="2"/>
  </r>
  <r>
    <x v="2296"/>
    <x v="3"/>
    <x v="0"/>
    <n v="40.299999999999997"/>
    <x v="518"/>
    <x v="84"/>
    <d v="2025-03-27T00:00:00"/>
    <x v="1"/>
    <x v="1"/>
    <x v="2"/>
    <s v="California"/>
    <s v="Colusa County"/>
    <x v="3"/>
    <x v="12"/>
    <x v="1"/>
  </r>
  <r>
    <x v="2297"/>
    <x v="6"/>
    <x v="2"/>
    <n v="47.3"/>
    <x v="1708"/>
    <x v="84"/>
    <d v="2025-03-28T00:00:00"/>
    <x v="1"/>
    <x v="4"/>
    <x v="2"/>
    <s v="California"/>
    <s v="Fresno County"/>
    <x v="1"/>
    <x v="12"/>
    <x v="1"/>
  </r>
  <r>
    <x v="2298"/>
    <x v="2"/>
    <x v="0"/>
    <n v="82.8"/>
    <x v="1182"/>
    <x v="84"/>
    <d v="2025-03-27T00:00:00"/>
    <x v="1"/>
    <x v="0"/>
    <x v="0"/>
    <s v="California"/>
    <s v="Fresno County"/>
    <x v="3"/>
    <x v="12"/>
    <x v="1"/>
  </r>
  <r>
    <x v="2299"/>
    <x v="8"/>
    <x v="0"/>
    <n v="18.5"/>
    <x v="1709"/>
    <x v="84"/>
    <d v="2025-04-09T00:00:00"/>
    <x v="2"/>
    <x v="0"/>
    <x v="0"/>
    <s v="California"/>
    <s v="Humboldt County"/>
    <x v="12"/>
    <x v="12"/>
    <x v="2"/>
  </r>
  <r>
    <x v="2300"/>
    <x v="3"/>
    <x v="1"/>
    <n v="60.4"/>
    <x v="1710"/>
    <x v="84"/>
    <d v="2025-03-27T00:00:00"/>
    <x v="1"/>
    <x v="2"/>
    <x v="0"/>
    <s v="California"/>
    <s v="Kern County"/>
    <x v="3"/>
    <x v="12"/>
    <x v="1"/>
  </r>
  <r>
    <x v="2301"/>
    <x v="6"/>
    <x v="9"/>
    <n v="80.2"/>
    <x v="1711"/>
    <x v="84"/>
    <d v="2025-04-02T00:00:00"/>
    <x v="1"/>
    <x v="1"/>
    <x v="1"/>
    <s v="California"/>
    <s v="Lake County"/>
    <x v="6"/>
    <x v="12"/>
    <x v="1"/>
  </r>
  <r>
    <x v="2302"/>
    <x v="4"/>
    <x v="0"/>
    <n v="41.5"/>
    <x v="1712"/>
    <x v="84"/>
    <d v="2025-03-28T00:00:00"/>
    <x v="1"/>
    <x v="2"/>
    <x v="0"/>
    <s v="California"/>
    <s v="Los Angeles County"/>
    <x v="1"/>
    <x v="12"/>
    <x v="1"/>
  </r>
  <r>
    <x v="2303"/>
    <x v="2"/>
    <x v="1"/>
    <n v="83.9"/>
    <x v="1713"/>
    <x v="84"/>
    <d v="2025-03-29T00:00:00"/>
    <x v="2"/>
    <x v="0"/>
    <x v="0"/>
    <s v="California"/>
    <s v="Los Angeles County"/>
    <x v="2"/>
    <x v="12"/>
    <x v="2"/>
  </r>
  <r>
    <x v="2304"/>
    <x v="8"/>
    <x v="1"/>
    <n v="16.7"/>
    <x v="1417"/>
    <x v="84"/>
    <d v="2025-03-30T00:00:00"/>
    <x v="2"/>
    <x v="0"/>
    <x v="1"/>
    <s v="California"/>
    <s v="Los Angeles County"/>
    <x v="5"/>
    <x v="12"/>
    <x v="2"/>
  </r>
  <r>
    <x v="2305"/>
    <x v="9"/>
    <x v="1"/>
    <n v="72.900000000000006"/>
    <x v="1626"/>
    <x v="84"/>
    <d v="2025-03-27T00:00:00"/>
    <x v="1"/>
    <x v="2"/>
    <x v="1"/>
    <s v="California"/>
    <s v="Los Angeles County"/>
    <x v="3"/>
    <x v="12"/>
    <x v="1"/>
  </r>
  <r>
    <x v="2306"/>
    <x v="5"/>
    <x v="1"/>
    <n v="50.2"/>
    <x v="862"/>
    <x v="84"/>
    <d v="2025-03-28T00:00:00"/>
    <x v="2"/>
    <x v="1"/>
    <x v="2"/>
    <s v="California"/>
    <s v="Los Angeles County"/>
    <x v="1"/>
    <x v="12"/>
    <x v="2"/>
  </r>
  <r>
    <x v="2307"/>
    <x v="3"/>
    <x v="1"/>
    <n v="34.200000000000003"/>
    <x v="1714"/>
    <x v="84"/>
    <d v="2025-04-05T00:00:00"/>
    <x v="0"/>
    <x v="1"/>
    <x v="0"/>
    <s v="California"/>
    <s v="Los Angeles County"/>
    <x v="14"/>
    <x v="12"/>
    <x v="0"/>
  </r>
  <r>
    <x v="2308"/>
    <x v="5"/>
    <x v="1"/>
    <n v="107.9"/>
    <x v="1715"/>
    <x v="84"/>
    <d v="2025-03-26T00:00:00"/>
    <x v="1"/>
    <x v="1"/>
    <x v="4"/>
    <s v="California"/>
    <s v="Los Angeles County"/>
    <x v="7"/>
    <x v="12"/>
    <x v="1"/>
  </r>
  <r>
    <x v="2309"/>
    <x v="0"/>
    <x v="2"/>
    <n v="17.5"/>
    <x v="413"/>
    <x v="84"/>
    <d v="2025-03-28T00:00:00"/>
    <x v="1"/>
    <x v="4"/>
    <x v="0"/>
    <s v="California"/>
    <s v="Los Angeles County"/>
    <x v="1"/>
    <x v="12"/>
    <x v="1"/>
  </r>
  <r>
    <x v="2310"/>
    <x v="13"/>
    <x v="20"/>
    <n v="44.7"/>
    <x v="1716"/>
    <x v="84"/>
    <d v="2025-03-27T00:00:00"/>
    <x v="1"/>
    <x v="0"/>
    <x v="1"/>
    <s v="California"/>
    <s v="Los Angeles County"/>
    <x v="3"/>
    <x v="12"/>
    <x v="1"/>
  </r>
  <r>
    <x v="2311"/>
    <x v="12"/>
    <x v="13"/>
    <n v="92.7"/>
    <x v="1717"/>
    <x v="84"/>
    <d v="2025-03-28T00:00:00"/>
    <x v="2"/>
    <x v="2"/>
    <x v="1"/>
    <s v="California"/>
    <s v="Los Angeles County"/>
    <x v="1"/>
    <x v="12"/>
    <x v="2"/>
  </r>
  <r>
    <x v="2312"/>
    <x v="7"/>
    <x v="2"/>
    <n v="48.8"/>
    <x v="1718"/>
    <x v="84"/>
    <d v="2025-03-28T00:00:00"/>
    <x v="2"/>
    <x v="2"/>
    <x v="0"/>
    <s v="California"/>
    <s v="Los Angeles County"/>
    <x v="1"/>
    <x v="12"/>
    <x v="2"/>
  </r>
  <r>
    <x v="2313"/>
    <x v="4"/>
    <x v="27"/>
    <n v="21.3"/>
    <x v="1153"/>
    <x v="84"/>
    <d v="2025-03-30T00:00:00"/>
    <x v="2"/>
    <x v="3"/>
    <x v="3"/>
    <s v="California"/>
    <s v="Los Angeles County"/>
    <x v="5"/>
    <x v="12"/>
    <x v="2"/>
  </r>
  <r>
    <x v="2314"/>
    <x v="16"/>
    <x v="0"/>
    <n v="52.5"/>
    <x v="413"/>
    <x v="84"/>
    <d v="2025-03-27T00:00:00"/>
    <x v="2"/>
    <x v="0"/>
    <x v="0"/>
    <s v="California"/>
    <s v="Los Angeles County"/>
    <x v="3"/>
    <x v="12"/>
    <x v="2"/>
  </r>
  <r>
    <x v="2315"/>
    <x v="1"/>
    <x v="1"/>
    <n v="92.4"/>
    <x v="827"/>
    <x v="84"/>
    <d v="2025-04-01T00:00:00"/>
    <x v="2"/>
    <x v="0"/>
    <x v="2"/>
    <s v="California"/>
    <s v="Los Angeles County"/>
    <x v="4"/>
    <x v="12"/>
    <x v="2"/>
  </r>
  <r>
    <x v="2316"/>
    <x v="4"/>
    <x v="5"/>
    <n v="58.3"/>
    <x v="1719"/>
    <x v="84"/>
    <d v="2025-03-28T00:00:00"/>
    <x v="1"/>
    <x v="1"/>
    <x v="2"/>
    <s v="California"/>
    <s v="Los Angeles County"/>
    <x v="1"/>
    <x v="12"/>
    <x v="1"/>
  </r>
  <r>
    <x v="2317"/>
    <x v="6"/>
    <x v="44"/>
    <n v="152.6"/>
    <x v="1720"/>
    <x v="85"/>
    <d v="2025-03-29T00:00:00"/>
    <x v="0"/>
    <x v="0"/>
    <x v="0"/>
    <s v="California"/>
    <s v="Los Angeles County"/>
    <x v="1"/>
    <x v="12"/>
    <x v="0"/>
  </r>
  <r>
    <x v="2318"/>
    <x v="8"/>
    <x v="1"/>
    <n v="26"/>
    <x v="1692"/>
    <x v="85"/>
    <d v="2025-03-27T00:00:00"/>
    <x v="0"/>
    <x v="0"/>
    <x v="1"/>
    <s v="California"/>
    <s v="Los Angeles County"/>
    <x v="7"/>
    <x v="12"/>
    <x v="0"/>
  </r>
  <r>
    <x v="2319"/>
    <x v="1"/>
    <x v="12"/>
    <n v="33.1"/>
    <x v="979"/>
    <x v="85"/>
    <d v="2025-03-27T00:00:00"/>
    <x v="1"/>
    <x v="2"/>
    <x v="4"/>
    <s v="California"/>
    <s v="Placer County"/>
    <x v="7"/>
    <x v="12"/>
    <x v="1"/>
  </r>
  <r>
    <x v="2320"/>
    <x v="18"/>
    <x v="0"/>
    <n v="51.4"/>
    <x v="1045"/>
    <x v="85"/>
    <d v="2025-03-29T00:00:00"/>
    <x v="2"/>
    <x v="1"/>
    <x v="1"/>
    <s v="California"/>
    <s v="Placer County"/>
    <x v="1"/>
    <x v="12"/>
    <x v="2"/>
  </r>
  <r>
    <x v="2321"/>
    <x v="8"/>
    <x v="1"/>
    <n v="30.2"/>
    <x v="266"/>
    <x v="85"/>
    <d v="2025-03-28T00:00:00"/>
    <x v="2"/>
    <x v="2"/>
    <x v="2"/>
    <s v="California"/>
    <s v="Sacramento County"/>
    <x v="3"/>
    <x v="12"/>
    <x v="2"/>
  </r>
  <r>
    <x v="2322"/>
    <x v="2"/>
    <x v="13"/>
    <n v="97"/>
    <x v="1544"/>
    <x v="85"/>
    <d v="2025-03-31T00:00:00"/>
    <x v="2"/>
    <x v="0"/>
    <x v="2"/>
    <s v="California"/>
    <s v="San Bernardino County"/>
    <x v="5"/>
    <x v="12"/>
    <x v="2"/>
  </r>
  <r>
    <x v="2323"/>
    <x v="2"/>
    <x v="0"/>
    <n v="76.900000000000006"/>
    <x v="1721"/>
    <x v="85"/>
    <d v="2025-03-28T00:00:00"/>
    <x v="1"/>
    <x v="1"/>
    <x v="2"/>
    <s v="California"/>
    <s v="San Diego County"/>
    <x v="3"/>
    <x v="12"/>
    <x v="1"/>
  </r>
  <r>
    <x v="2324"/>
    <x v="7"/>
    <x v="13"/>
    <n v="36.1"/>
    <x v="1722"/>
    <x v="85"/>
    <d v="2025-03-31T00:00:00"/>
    <x v="2"/>
    <x v="0"/>
    <x v="0"/>
    <s v="California"/>
    <s v="San Diego County"/>
    <x v="5"/>
    <x v="12"/>
    <x v="2"/>
  </r>
  <r>
    <x v="2325"/>
    <x v="1"/>
    <x v="3"/>
    <n v="34.4"/>
    <x v="1723"/>
    <x v="85"/>
    <d v="2025-03-27T00:00:00"/>
    <x v="2"/>
    <x v="2"/>
    <x v="1"/>
    <s v="California"/>
    <s v="Santa Clara County"/>
    <x v="7"/>
    <x v="12"/>
    <x v="2"/>
  </r>
  <r>
    <x v="2326"/>
    <x v="1"/>
    <x v="31"/>
    <n v="53.4"/>
    <x v="1724"/>
    <x v="85"/>
    <d v="2025-03-29T00:00:00"/>
    <x v="2"/>
    <x v="1"/>
    <x v="0"/>
    <s v="California"/>
    <s v="Sonoma County"/>
    <x v="1"/>
    <x v="12"/>
    <x v="2"/>
  </r>
  <r>
    <x v="2327"/>
    <x v="2"/>
    <x v="0"/>
    <n v="77.599999999999994"/>
    <x v="1598"/>
    <x v="85"/>
    <d v="2025-03-28T00:00:00"/>
    <x v="2"/>
    <x v="0"/>
    <x v="1"/>
    <s v="California"/>
    <s v="Stanislaus County"/>
    <x v="3"/>
    <x v="12"/>
    <x v="2"/>
  </r>
  <r>
    <x v="2328"/>
    <x v="1"/>
    <x v="2"/>
    <n v="71.7"/>
    <x v="1725"/>
    <x v="85"/>
    <d v="2025-03-30T00:00:00"/>
    <x v="2"/>
    <x v="1"/>
    <x v="0"/>
    <s v="California"/>
    <s v="Stanislaus County"/>
    <x v="2"/>
    <x v="12"/>
    <x v="2"/>
  </r>
  <r>
    <x v="2329"/>
    <x v="3"/>
    <x v="2"/>
    <n v="80.599999999999994"/>
    <x v="1726"/>
    <x v="85"/>
    <d v="2025-03-28T00:00:00"/>
    <x v="1"/>
    <x v="4"/>
    <x v="1"/>
    <s v="California"/>
    <s v="Stanislaus County"/>
    <x v="3"/>
    <x v="12"/>
    <x v="1"/>
  </r>
  <r>
    <x v="2330"/>
    <x v="1"/>
    <x v="20"/>
    <n v="70"/>
    <x v="1727"/>
    <x v="85"/>
    <d v="2025-03-29T00:00:00"/>
    <x v="1"/>
    <x v="0"/>
    <x v="0"/>
    <s v="California"/>
    <s v="Tulare County"/>
    <x v="1"/>
    <x v="12"/>
    <x v="1"/>
  </r>
  <r>
    <x v="2331"/>
    <x v="4"/>
    <x v="13"/>
    <n v="27.3"/>
    <x v="1728"/>
    <x v="85"/>
    <d v="2025-03-29T00:00:00"/>
    <x v="2"/>
    <x v="1"/>
    <x v="1"/>
    <s v="California"/>
    <s v="Fresno County"/>
    <x v="1"/>
    <x v="12"/>
    <x v="2"/>
  </r>
  <r>
    <x v="2332"/>
    <x v="8"/>
    <x v="21"/>
    <n v="37.6"/>
    <x v="1729"/>
    <x v="85"/>
    <d v="2025-03-29T00:00:00"/>
    <x v="1"/>
    <x v="1"/>
    <x v="0"/>
    <s v="California"/>
    <s v="Los Angeles County"/>
    <x v="1"/>
    <x v="12"/>
    <x v="1"/>
  </r>
  <r>
    <x v="2333"/>
    <x v="5"/>
    <x v="2"/>
    <n v="36.6"/>
    <x v="17"/>
    <x v="85"/>
    <d v="2025-03-29T00:00:00"/>
    <x v="2"/>
    <x v="4"/>
    <x v="0"/>
    <s v="California"/>
    <s v="Los Angeles County"/>
    <x v="1"/>
    <x v="12"/>
    <x v="2"/>
  </r>
  <r>
    <x v="2334"/>
    <x v="13"/>
    <x v="0"/>
    <n v="55.2"/>
    <x v="291"/>
    <x v="85"/>
    <d v="2025-03-29T00:00:00"/>
    <x v="1"/>
    <x v="3"/>
    <x v="0"/>
    <s v="California"/>
    <s v="Los Angeles County"/>
    <x v="1"/>
    <x v="12"/>
    <x v="1"/>
  </r>
  <r>
    <x v="2335"/>
    <x v="6"/>
    <x v="9"/>
    <n v="59.9"/>
    <x v="1444"/>
    <x v="85"/>
    <d v="2025-03-29T00:00:00"/>
    <x v="1"/>
    <x v="0"/>
    <x v="0"/>
    <s v="California"/>
    <s v="Los Angeles County"/>
    <x v="1"/>
    <x v="12"/>
    <x v="1"/>
  </r>
  <r>
    <x v="2336"/>
    <x v="6"/>
    <x v="0"/>
    <n v="44"/>
    <x v="945"/>
    <x v="85"/>
    <d v="2025-03-28T00:00:00"/>
    <x v="2"/>
    <x v="2"/>
    <x v="2"/>
    <s v="California"/>
    <s v="Los Angeles County"/>
    <x v="3"/>
    <x v="12"/>
    <x v="2"/>
  </r>
  <r>
    <x v="2337"/>
    <x v="9"/>
    <x v="1"/>
    <n v="68.7"/>
    <x v="1730"/>
    <x v="85"/>
    <d v="2025-03-27T00:00:00"/>
    <x v="1"/>
    <x v="0"/>
    <x v="0"/>
    <s v="California"/>
    <s v="Los Angeles County"/>
    <x v="7"/>
    <x v="12"/>
    <x v="1"/>
  </r>
  <r>
    <x v="2338"/>
    <x v="5"/>
    <x v="1"/>
    <n v="61.6"/>
    <x v="1432"/>
    <x v="85"/>
    <d v="2025-03-31T00:00:00"/>
    <x v="1"/>
    <x v="3"/>
    <x v="1"/>
    <s v="California"/>
    <s v="Los Angeles County"/>
    <x v="5"/>
    <x v="12"/>
    <x v="1"/>
  </r>
  <r>
    <x v="2339"/>
    <x v="7"/>
    <x v="3"/>
    <n v="51.8"/>
    <x v="1731"/>
    <x v="85"/>
    <d v="2025-03-28T00:00:00"/>
    <x v="1"/>
    <x v="0"/>
    <x v="0"/>
    <s v="California"/>
    <s v="Los Angeles County"/>
    <x v="3"/>
    <x v="12"/>
    <x v="1"/>
  </r>
  <r>
    <x v="2340"/>
    <x v="8"/>
    <x v="7"/>
    <n v="46.2"/>
    <x v="1236"/>
    <x v="85"/>
    <d v="2025-03-29T00:00:00"/>
    <x v="1"/>
    <x v="1"/>
    <x v="2"/>
    <s v="California"/>
    <s v="Los Angeles County"/>
    <x v="1"/>
    <x v="12"/>
    <x v="1"/>
  </r>
  <r>
    <x v="2341"/>
    <x v="0"/>
    <x v="1"/>
    <n v="19.399999999999999"/>
    <x v="1732"/>
    <x v="85"/>
    <d v="2025-03-29T00:00:00"/>
    <x v="2"/>
    <x v="1"/>
    <x v="2"/>
    <s v="California"/>
    <s v="Sacramento County"/>
    <x v="1"/>
    <x v="12"/>
    <x v="2"/>
  </r>
  <r>
    <x v="2342"/>
    <x v="11"/>
    <x v="2"/>
    <n v="52.1"/>
    <x v="1733"/>
    <x v="85"/>
    <d v="2025-03-30T00:00:00"/>
    <x v="1"/>
    <x v="3"/>
    <x v="3"/>
    <s v="California"/>
    <s v="Sacramento County"/>
    <x v="2"/>
    <x v="12"/>
    <x v="1"/>
  </r>
  <r>
    <x v="2343"/>
    <x v="6"/>
    <x v="0"/>
    <n v="74.900000000000006"/>
    <x v="1734"/>
    <x v="85"/>
    <d v="2025-03-29T00:00:00"/>
    <x v="3"/>
    <x v="0"/>
    <x v="0"/>
    <s v="California"/>
    <s v="San Bernardino County"/>
    <x v="1"/>
    <x v="12"/>
    <x v="3"/>
  </r>
  <r>
    <x v="2344"/>
    <x v="9"/>
    <x v="3"/>
    <n v="49.6"/>
    <x v="1735"/>
    <x v="85"/>
    <d v="2025-03-30T00:00:00"/>
    <x v="2"/>
    <x v="4"/>
    <x v="0"/>
    <s v="California"/>
    <s v="San Diego County"/>
    <x v="2"/>
    <x v="12"/>
    <x v="2"/>
  </r>
  <r>
    <x v="2345"/>
    <x v="16"/>
    <x v="12"/>
    <n v="82.8"/>
    <x v="1736"/>
    <x v="86"/>
    <d v="2025-03-31T00:00:00"/>
    <x v="2"/>
    <x v="4"/>
    <x v="0"/>
    <s v="California"/>
    <s v="San Diego County"/>
    <x v="2"/>
    <x v="12"/>
    <x v="2"/>
  </r>
  <r>
    <x v="2346"/>
    <x v="2"/>
    <x v="0"/>
    <n v="97.7"/>
    <x v="68"/>
    <x v="86"/>
    <d v="2025-03-29T00:00:00"/>
    <x v="2"/>
    <x v="1"/>
    <x v="0"/>
    <s v="California"/>
    <s v="San Diego County"/>
    <x v="3"/>
    <x v="12"/>
    <x v="2"/>
  </r>
  <r>
    <x v="2347"/>
    <x v="6"/>
    <x v="9"/>
    <n v="83.6"/>
    <x v="378"/>
    <x v="86"/>
    <d v="2025-03-29T00:00:00"/>
    <x v="2"/>
    <x v="4"/>
    <x v="0"/>
    <s v="California"/>
    <s v="San Diego County"/>
    <x v="3"/>
    <x v="12"/>
    <x v="2"/>
  </r>
  <r>
    <x v="2348"/>
    <x v="8"/>
    <x v="9"/>
    <n v="23.5"/>
    <x v="1737"/>
    <x v="86"/>
    <d v="2025-04-01T00:00:00"/>
    <x v="3"/>
    <x v="0"/>
    <x v="0"/>
    <s v="California"/>
    <s v="San Diego County"/>
    <x v="5"/>
    <x v="12"/>
    <x v="3"/>
  </r>
  <r>
    <x v="2349"/>
    <x v="9"/>
    <x v="2"/>
    <n v="44.6"/>
    <x v="981"/>
    <x v="86"/>
    <d v="2025-03-31T00:00:00"/>
    <x v="2"/>
    <x v="4"/>
    <x v="1"/>
    <s v="California"/>
    <s v="San Joaquin County"/>
    <x v="2"/>
    <x v="12"/>
    <x v="2"/>
  </r>
  <r>
    <x v="2350"/>
    <x v="0"/>
    <x v="2"/>
    <n v="20.100000000000001"/>
    <x v="1738"/>
    <x v="86"/>
    <d v="2025-03-30T00:00:00"/>
    <x v="2"/>
    <x v="3"/>
    <x v="4"/>
    <s v="California"/>
    <s v="Santa Clara County"/>
    <x v="1"/>
    <x v="12"/>
    <x v="2"/>
  </r>
  <r>
    <x v="2351"/>
    <x v="2"/>
    <x v="9"/>
    <n v="153.6"/>
    <x v="1739"/>
    <x v="86"/>
    <d v="2025-03-29T00:00:00"/>
    <x v="2"/>
    <x v="1"/>
    <x v="2"/>
    <s v="California"/>
    <s v="Shasta County"/>
    <x v="3"/>
    <x v="12"/>
    <x v="2"/>
  </r>
  <r>
    <x v="2352"/>
    <x v="1"/>
    <x v="1"/>
    <n v="71.8"/>
    <x v="897"/>
    <x v="86"/>
    <d v="2025-04-01T00:00:00"/>
    <x v="2"/>
    <x v="1"/>
    <x v="0"/>
    <s v="California"/>
    <s v="Contra Costa County"/>
    <x v="5"/>
    <x v="12"/>
    <x v="2"/>
  </r>
  <r>
    <x v="2353"/>
    <x v="10"/>
    <x v="0"/>
    <n v="64.7"/>
    <x v="1740"/>
    <x v="86"/>
    <d v="2025-03-30T00:00:00"/>
    <x v="0"/>
    <x v="0"/>
    <x v="1"/>
    <s v="California"/>
    <s v="Contra Costa County"/>
    <x v="1"/>
    <x v="12"/>
    <x v="0"/>
  </r>
  <r>
    <x v="2354"/>
    <x v="9"/>
    <x v="8"/>
    <n v="60.4"/>
    <x v="1741"/>
    <x v="86"/>
    <d v="2025-03-30T00:00:00"/>
    <x v="2"/>
    <x v="3"/>
    <x v="2"/>
    <s v="California"/>
    <s v="Fresno County"/>
    <x v="1"/>
    <x v="12"/>
    <x v="2"/>
  </r>
  <r>
    <x v="2355"/>
    <x v="6"/>
    <x v="12"/>
    <n v="86"/>
    <x v="1213"/>
    <x v="86"/>
    <d v="2025-03-31T00:00:00"/>
    <x v="2"/>
    <x v="2"/>
    <x v="2"/>
    <s v="California"/>
    <s v="Kern County"/>
    <x v="2"/>
    <x v="12"/>
    <x v="2"/>
  </r>
  <r>
    <x v="2356"/>
    <x v="12"/>
    <x v="1"/>
    <n v="42.1"/>
    <x v="903"/>
    <x v="86"/>
    <d v="2025-03-29T00:00:00"/>
    <x v="2"/>
    <x v="4"/>
    <x v="1"/>
    <s v="California"/>
    <s v="Kings County"/>
    <x v="3"/>
    <x v="12"/>
    <x v="2"/>
  </r>
  <r>
    <x v="2357"/>
    <x v="16"/>
    <x v="11"/>
    <n v="51.1"/>
    <x v="1742"/>
    <x v="86"/>
    <d v="2025-03-29T00:00:00"/>
    <x v="1"/>
    <x v="2"/>
    <x v="1"/>
    <s v="California"/>
    <s v="Los Angeles County"/>
    <x v="3"/>
    <x v="12"/>
    <x v="1"/>
  </r>
  <r>
    <x v="2358"/>
    <x v="9"/>
    <x v="12"/>
    <n v="73.8"/>
    <x v="1743"/>
    <x v="86"/>
    <d v="2025-03-29T00:00:00"/>
    <x v="1"/>
    <x v="4"/>
    <x v="0"/>
    <s v="California"/>
    <s v="Los Angeles County"/>
    <x v="3"/>
    <x v="12"/>
    <x v="1"/>
  </r>
  <r>
    <x v="2359"/>
    <x v="8"/>
    <x v="9"/>
    <n v="27"/>
    <x v="340"/>
    <x v="86"/>
    <d v="2025-03-31T00:00:00"/>
    <x v="2"/>
    <x v="2"/>
    <x v="2"/>
    <s v="California"/>
    <s v="Los Angeles County"/>
    <x v="2"/>
    <x v="12"/>
    <x v="2"/>
  </r>
  <r>
    <x v="2360"/>
    <x v="8"/>
    <x v="13"/>
    <n v="60.1"/>
    <x v="116"/>
    <x v="86"/>
    <d v="2025-03-29T00:00:00"/>
    <x v="1"/>
    <x v="3"/>
    <x v="0"/>
    <s v="California"/>
    <s v="Los Angeles County"/>
    <x v="3"/>
    <x v="12"/>
    <x v="1"/>
  </r>
  <r>
    <x v="2361"/>
    <x v="2"/>
    <x v="3"/>
    <n v="94.1"/>
    <x v="1744"/>
    <x v="86"/>
    <d v="2025-03-30T00:00:00"/>
    <x v="2"/>
    <x v="4"/>
    <x v="1"/>
    <s v="California"/>
    <s v="Los Angeles County"/>
    <x v="1"/>
    <x v="12"/>
    <x v="2"/>
  </r>
  <r>
    <x v="2362"/>
    <x v="2"/>
    <x v="1"/>
    <n v="124.1"/>
    <x v="1235"/>
    <x v="86"/>
    <d v="2025-03-28T00:00:00"/>
    <x v="2"/>
    <x v="2"/>
    <x v="3"/>
    <s v="California"/>
    <s v="Marin County"/>
    <x v="7"/>
    <x v="12"/>
    <x v="2"/>
  </r>
  <r>
    <x v="2363"/>
    <x v="8"/>
    <x v="12"/>
    <n v="16.899999999999999"/>
    <x v="821"/>
    <x v="86"/>
    <d v="2025-03-31T00:00:00"/>
    <x v="1"/>
    <x v="3"/>
    <x v="0"/>
    <s v="California"/>
    <s v="Sacramento County"/>
    <x v="2"/>
    <x v="12"/>
    <x v="1"/>
  </r>
  <r>
    <x v="2364"/>
    <x v="1"/>
    <x v="0"/>
    <n v="36.9"/>
    <x v="1745"/>
    <x v="86"/>
    <d v="2025-03-29T00:00:00"/>
    <x v="1"/>
    <x v="0"/>
    <x v="0"/>
    <s v="California"/>
    <s v="Sacramento County"/>
    <x v="3"/>
    <x v="12"/>
    <x v="1"/>
  </r>
  <r>
    <x v="2365"/>
    <x v="9"/>
    <x v="1"/>
    <n v="22.6"/>
    <x v="705"/>
    <x v="86"/>
    <d v="2025-04-10T00:00:00"/>
    <x v="2"/>
    <x v="2"/>
    <x v="1"/>
    <s v="California"/>
    <s v="San Diego County"/>
    <x v="10"/>
    <x v="12"/>
    <x v="2"/>
  </r>
  <r>
    <x v="2366"/>
    <x v="7"/>
    <x v="12"/>
    <n v="35"/>
    <x v="1683"/>
    <x v="86"/>
    <d v="2025-04-02T00:00:00"/>
    <x v="1"/>
    <x v="3"/>
    <x v="1"/>
    <s v="California"/>
    <s v="San Diego County"/>
    <x v="0"/>
    <x v="12"/>
    <x v="1"/>
  </r>
  <r>
    <x v="2367"/>
    <x v="9"/>
    <x v="13"/>
    <n v="63.6"/>
    <x v="1746"/>
    <x v="86"/>
    <d v="2025-04-04T00:00:00"/>
    <x v="0"/>
    <x v="1"/>
    <x v="2"/>
    <s v="California"/>
    <s v="San Diego County"/>
    <x v="6"/>
    <x v="12"/>
    <x v="0"/>
  </r>
  <r>
    <x v="2368"/>
    <x v="15"/>
    <x v="12"/>
    <n v="78.599999999999994"/>
    <x v="1747"/>
    <x v="86"/>
    <d v="2025-03-29T00:00:00"/>
    <x v="1"/>
    <x v="4"/>
    <x v="1"/>
    <s v="California"/>
    <s v="San Diego County"/>
    <x v="3"/>
    <x v="12"/>
    <x v="1"/>
  </r>
  <r>
    <x v="2369"/>
    <x v="3"/>
    <x v="1"/>
    <n v="38.5"/>
    <x v="445"/>
    <x v="86"/>
    <d v="2025-03-29T00:00:00"/>
    <x v="1"/>
    <x v="0"/>
    <x v="2"/>
    <s v="California"/>
    <s v="San Diego County"/>
    <x v="3"/>
    <x v="12"/>
    <x v="1"/>
  </r>
  <r>
    <x v="2370"/>
    <x v="8"/>
    <x v="5"/>
    <n v="71.5"/>
    <x v="1748"/>
    <x v="86"/>
    <d v="2025-03-29T00:00:00"/>
    <x v="2"/>
    <x v="1"/>
    <x v="4"/>
    <s v="California"/>
    <s v="San Diego County"/>
    <x v="3"/>
    <x v="12"/>
    <x v="2"/>
  </r>
  <r>
    <x v="2371"/>
    <x v="6"/>
    <x v="12"/>
    <n v="121.4"/>
    <x v="1749"/>
    <x v="86"/>
    <d v="2025-04-01T00:00:00"/>
    <x v="1"/>
    <x v="1"/>
    <x v="2"/>
    <s v="California"/>
    <s v="San Francisco"/>
    <x v="5"/>
    <x v="12"/>
    <x v="1"/>
  </r>
  <r>
    <x v="2372"/>
    <x v="11"/>
    <x v="0"/>
    <n v="40.200000000000003"/>
    <x v="282"/>
    <x v="86"/>
    <d v="2025-03-31T00:00:00"/>
    <x v="2"/>
    <x v="0"/>
    <x v="2"/>
    <s v="California"/>
    <s v="Santa Clara County"/>
    <x v="2"/>
    <x v="12"/>
    <x v="2"/>
  </r>
  <r>
    <x v="2373"/>
    <x v="5"/>
    <x v="9"/>
    <n v="31.9"/>
    <x v="1750"/>
    <x v="86"/>
    <d v="2025-03-30T00:00:00"/>
    <x v="2"/>
    <x v="2"/>
    <x v="2"/>
    <s v="California"/>
    <s v="Yolo County"/>
    <x v="1"/>
    <x v="12"/>
    <x v="2"/>
  </r>
  <r>
    <x v="2374"/>
    <x v="14"/>
    <x v="9"/>
    <n v="15.8"/>
    <x v="1751"/>
    <x v="87"/>
    <d v="2025-03-30T00:00:00"/>
    <x v="1"/>
    <x v="3"/>
    <x v="2"/>
    <s v="California"/>
    <s v="Alameda County"/>
    <x v="3"/>
    <x v="12"/>
    <x v="1"/>
  </r>
  <r>
    <x v="2375"/>
    <x v="10"/>
    <x v="1"/>
    <n v="25.1"/>
    <x v="486"/>
    <x v="87"/>
    <d v="2025-03-31T00:00:00"/>
    <x v="0"/>
    <x v="1"/>
    <x v="0"/>
    <s v="California"/>
    <s v="Alameda County"/>
    <x v="1"/>
    <x v="12"/>
    <x v="0"/>
  </r>
  <r>
    <x v="2376"/>
    <x v="1"/>
    <x v="44"/>
    <n v="38.1"/>
    <x v="1752"/>
    <x v="87"/>
    <d v="2025-03-30T00:00:00"/>
    <x v="2"/>
    <x v="4"/>
    <x v="0"/>
    <s v="California"/>
    <s v="Contra Costa County"/>
    <x v="3"/>
    <x v="12"/>
    <x v="2"/>
  </r>
  <r>
    <x v="2377"/>
    <x v="3"/>
    <x v="1"/>
    <n v="42.2"/>
    <x v="533"/>
    <x v="87"/>
    <d v="2025-03-31T00:00:00"/>
    <x v="2"/>
    <x v="0"/>
    <x v="2"/>
    <s v="California"/>
    <s v="Contra Costa County"/>
    <x v="1"/>
    <x v="12"/>
    <x v="2"/>
  </r>
  <r>
    <x v="2378"/>
    <x v="0"/>
    <x v="7"/>
    <n v="12.3"/>
    <x v="1287"/>
    <x v="87"/>
    <d v="2025-03-30T00:00:00"/>
    <x v="2"/>
    <x v="4"/>
    <x v="0"/>
    <s v="California"/>
    <s v="Fresno County"/>
    <x v="3"/>
    <x v="12"/>
    <x v="2"/>
  </r>
  <r>
    <x v="2379"/>
    <x v="7"/>
    <x v="0"/>
    <n v="30.2"/>
    <x v="242"/>
    <x v="87"/>
    <d v="2025-03-31T00:00:00"/>
    <x v="2"/>
    <x v="1"/>
    <x v="2"/>
    <s v="California"/>
    <s v="Kings County"/>
    <x v="1"/>
    <x v="12"/>
    <x v="2"/>
  </r>
  <r>
    <x v="2380"/>
    <x v="5"/>
    <x v="2"/>
    <n v="25.3"/>
    <x v="1554"/>
    <x v="87"/>
    <d v="2025-04-01T00:00:00"/>
    <x v="2"/>
    <x v="2"/>
    <x v="0"/>
    <s v="California"/>
    <s v="Los Angeles County"/>
    <x v="2"/>
    <x v="12"/>
    <x v="2"/>
  </r>
  <r>
    <x v="2381"/>
    <x v="8"/>
    <x v="9"/>
    <n v="29.7"/>
    <x v="1753"/>
    <x v="87"/>
    <d v="2025-03-31T00:00:00"/>
    <x v="1"/>
    <x v="3"/>
    <x v="0"/>
    <s v="California"/>
    <s v="Los Angeles County"/>
    <x v="1"/>
    <x v="12"/>
    <x v="1"/>
  </r>
  <r>
    <x v="2382"/>
    <x v="9"/>
    <x v="8"/>
    <n v="32.9"/>
    <x v="1754"/>
    <x v="87"/>
    <d v="2025-03-30T00:00:00"/>
    <x v="0"/>
    <x v="3"/>
    <x v="2"/>
    <s v="California"/>
    <s v="Los Angeles County"/>
    <x v="3"/>
    <x v="12"/>
    <x v="0"/>
  </r>
  <r>
    <x v="2383"/>
    <x v="10"/>
    <x v="1"/>
    <n v="43.6"/>
    <x v="640"/>
    <x v="87"/>
    <d v="2025-03-30T00:00:00"/>
    <x v="1"/>
    <x v="1"/>
    <x v="2"/>
    <s v="California"/>
    <s v="Los Angeles County"/>
    <x v="3"/>
    <x v="12"/>
    <x v="1"/>
  </r>
  <r>
    <x v="2384"/>
    <x v="15"/>
    <x v="12"/>
    <n v="78.400000000000006"/>
    <x v="1755"/>
    <x v="87"/>
    <d v="2025-03-30T00:00:00"/>
    <x v="1"/>
    <x v="2"/>
    <x v="0"/>
    <s v="California"/>
    <s v="Los Angeles County"/>
    <x v="3"/>
    <x v="12"/>
    <x v="1"/>
  </r>
  <r>
    <x v="2385"/>
    <x v="6"/>
    <x v="1"/>
    <n v="56.5"/>
    <x v="548"/>
    <x v="87"/>
    <d v="2025-04-02T00:00:00"/>
    <x v="1"/>
    <x v="1"/>
    <x v="1"/>
    <s v="California"/>
    <s v="Los Angeles County"/>
    <x v="5"/>
    <x v="12"/>
    <x v="1"/>
  </r>
  <r>
    <x v="2386"/>
    <x v="16"/>
    <x v="0"/>
    <n v="36.700000000000003"/>
    <x v="329"/>
    <x v="87"/>
    <d v="2025-03-30T00:00:00"/>
    <x v="2"/>
    <x v="0"/>
    <x v="2"/>
    <s v="California"/>
    <s v="Los Angeles County"/>
    <x v="3"/>
    <x v="12"/>
    <x v="2"/>
  </r>
  <r>
    <x v="2387"/>
    <x v="2"/>
    <x v="12"/>
    <n v="103.6"/>
    <x v="1756"/>
    <x v="87"/>
    <d v="2025-04-09T00:00:00"/>
    <x v="1"/>
    <x v="4"/>
    <x v="2"/>
    <s v="California"/>
    <s v="Los Angeles County"/>
    <x v="11"/>
    <x v="12"/>
    <x v="1"/>
  </r>
  <r>
    <x v="2388"/>
    <x v="8"/>
    <x v="13"/>
    <n v="16.2"/>
    <x v="1757"/>
    <x v="87"/>
    <d v="2025-04-02T00:00:00"/>
    <x v="1"/>
    <x v="1"/>
    <x v="2"/>
    <s v="California"/>
    <s v="Sacramento County"/>
    <x v="5"/>
    <x v="12"/>
    <x v="1"/>
  </r>
  <r>
    <x v="2389"/>
    <x v="8"/>
    <x v="1"/>
    <n v="20.2"/>
    <x v="1400"/>
    <x v="87"/>
    <d v="2025-03-30T00:00:00"/>
    <x v="2"/>
    <x v="0"/>
    <x v="0"/>
    <s v="California"/>
    <s v="Sacramento County"/>
    <x v="3"/>
    <x v="12"/>
    <x v="2"/>
  </r>
  <r>
    <x v="2390"/>
    <x v="11"/>
    <x v="1"/>
    <n v="26.9"/>
    <x v="1758"/>
    <x v="87"/>
    <d v="2025-03-31T00:00:00"/>
    <x v="2"/>
    <x v="2"/>
    <x v="0"/>
    <s v="California"/>
    <s v="Sacramento County"/>
    <x v="1"/>
    <x v="12"/>
    <x v="2"/>
  </r>
  <r>
    <x v="2391"/>
    <x v="1"/>
    <x v="1"/>
    <n v="82.4"/>
    <x v="1759"/>
    <x v="87"/>
    <d v="2025-04-01T00:00:00"/>
    <x v="0"/>
    <x v="0"/>
    <x v="0"/>
    <s v="California"/>
    <s v="San Bernardino County"/>
    <x v="2"/>
    <x v="12"/>
    <x v="0"/>
  </r>
  <r>
    <x v="2392"/>
    <x v="2"/>
    <x v="1"/>
    <n v="117.8"/>
    <x v="1760"/>
    <x v="87"/>
    <d v="2025-03-31T00:00:00"/>
    <x v="1"/>
    <x v="1"/>
    <x v="2"/>
    <s v="California"/>
    <s v="San Diego County"/>
    <x v="1"/>
    <x v="12"/>
    <x v="1"/>
  </r>
  <r>
    <x v="2393"/>
    <x v="11"/>
    <x v="12"/>
    <n v="36.700000000000003"/>
    <x v="1761"/>
    <x v="87"/>
    <d v="2025-03-30T00:00:00"/>
    <x v="1"/>
    <x v="1"/>
    <x v="0"/>
    <s v="California"/>
    <s v="San Diego County"/>
    <x v="3"/>
    <x v="12"/>
    <x v="1"/>
  </r>
  <r>
    <x v="2394"/>
    <x v="17"/>
    <x v="2"/>
    <n v="46.8"/>
    <x v="1762"/>
    <x v="87"/>
    <d v="2025-03-30T00:00:00"/>
    <x v="1"/>
    <x v="4"/>
    <x v="2"/>
    <s v="California"/>
    <s v="Santa Barbara County"/>
    <x v="3"/>
    <x v="12"/>
    <x v="1"/>
  </r>
  <r>
    <x v="2395"/>
    <x v="3"/>
    <x v="0"/>
    <n v="61.4"/>
    <x v="886"/>
    <x v="87"/>
    <d v="2025-03-30T00:00:00"/>
    <x v="1"/>
    <x v="1"/>
    <x v="0"/>
    <s v="California"/>
    <s v="Santa Barbara County"/>
    <x v="3"/>
    <x v="12"/>
    <x v="1"/>
  </r>
  <r>
    <x v="2396"/>
    <x v="15"/>
    <x v="1"/>
    <n v="22.9"/>
    <x v="494"/>
    <x v="87"/>
    <d v="2025-03-30T00:00:00"/>
    <x v="1"/>
    <x v="0"/>
    <x v="0"/>
    <s v="California"/>
    <s v="Santa Clara County"/>
    <x v="3"/>
    <x v="12"/>
    <x v="1"/>
  </r>
  <r>
    <x v="2397"/>
    <x v="10"/>
    <x v="1"/>
    <n v="22.1"/>
    <x v="573"/>
    <x v="87"/>
    <d v="2025-03-30T00:00:00"/>
    <x v="2"/>
    <x v="4"/>
    <x v="0"/>
    <s v="California"/>
    <s v="Santa Clara County"/>
    <x v="3"/>
    <x v="12"/>
    <x v="2"/>
  </r>
  <r>
    <x v="2398"/>
    <x v="12"/>
    <x v="1"/>
    <n v="31"/>
    <x v="85"/>
    <x v="87"/>
    <d v="2025-03-31T00:00:00"/>
    <x v="2"/>
    <x v="2"/>
    <x v="0"/>
    <s v="California"/>
    <s v="Sonoma County"/>
    <x v="1"/>
    <x v="12"/>
    <x v="2"/>
  </r>
  <r>
    <x v="2399"/>
    <x v="18"/>
    <x v="1"/>
    <n v="84.2"/>
    <x v="1763"/>
    <x v="87"/>
    <d v="2025-03-31T00:00:00"/>
    <x v="1"/>
    <x v="2"/>
    <x v="2"/>
    <s v="California"/>
    <s v="Ventura County"/>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3B0F97-9BDD-4C68-B801-96B8B25976FD}" name="PivotTable1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2:E213" firstHeaderRow="0" firstDataRow="1" firstDataCol="0" rowPageCount="2" colPageCount="1"/>
  <pivotFields count="15">
    <pivotField dataField="1" showAll="0">
      <items count="24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t="default"/>
      </items>
    </pivotField>
    <pivotField showAll="0"/>
    <pivotField dataField="1" showAll="0"/>
    <pivotField showAll="0"/>
    <pivotField dataField="1" showAll="0"/>
    <pivotField showAll="0"/>
    <pivotField showAll="0"/>
    <pivotField showAll="0"/>
    <pivotField axis="axisPage" showAll="0">
      <items count="7">
        <item x="0"/>
        <item x="3"/>
        <item x="4"/>
        <item x="2"/>
        <item x="1"/>
        <item x="5"/>
        <item t="default"/>
      </items>
    </pivotField>
    <pivotField dataField="1" showAll="0"/>
    <pivotField showAll="0"/>
    <pivotField showAll="0">
      <items count="60">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x="58"/>
        <item t="default"/>
      </items>
    </pivotField>
    <pivotField dataField="1" showAll="0"/>
    <pivotField showAll="0"/>
    <pivotField axis="axisPage" showAll="0">
      <items count="6">
        <item x="2"/>
        <item x="1"/>
        <item x="3"/>
        <item x="0"/>
        <item x="4"/>
        <item t="default"/>
      </items>
    </pivotField>
  </pivotFields>
  <rowItems count="1">
    <i/>
  </rowItems>
  <colFields count="1">
    <field x="-2"/>
  </colFields>
  <colItems count="5">
    <i>
      <x/>
    </i>
    <i i="1">
      <x v="1"/>
    </i>
    <i i="2">
      <x v="2"/>
    </i>
    <i i="3">
      <x v="3"/>
    </i>
    <i i="4">
      <x v="4"/>
    </i>
  </colItems>
  <pageFields count="2">
    <pageField fld="8" hier="-1"/>
    <pageField fld="14" hier="-1"/>
  </pageField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889553-1972-40FC-94FD-6C1E821DEAB5}"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Q44:R51" firstHeaderRow="1" firstDataRow="1" firstDataCol="1"/>
  <pivotFields count="15">
    <pivotField showAll="0"/>
    <pivotField showAll="0"/>
    <pivotField showAll="0"/>
    <pivotField showAll="0"/>
    <pivotField showAll="0"/>
    <pivotField showAll="0"/>
    <pivotField showAll="0"/>
    <pivotField showAll="0"/>
    <pivotField axis="axisRow" showAll="0">
      <items count="7">
        <item x="0"/>
        <item x="3"/>
        <item x="4"/>
        <item x="2"/>
        <item x="1"/>
        <item x="5"/>
        <item t="default"/>
      </items>
    </pivotField>
    <pivotField showAll="0"/>
    <pivotField showAll="0"/>
    <pivotField dataField="1" showAll="0">
      <items count="60">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x="58"/>
        <item t="default"/>
      </items>
    </pivotField>
    <pivotField showAll="0"/>
    <pivotField showAll="0"/>
    <pivotField showAll="0"/>
  </pivotFields>
  <rowFields count="1">
    <field x="8"/>
  </rowFields>
  <rowItems count="7">
    <i>
      <x/>
    </i>
    <i>
      <x v="1"/>
    </i>
    <i>
      <x v="2"/>
    </i>
    <i>
      <x v="3"/>
    </i>
    <i>
      <x v="4"/>
    </i>
    <i>
      <x v="5"/>
    </i>
    <i t="grand">
      <x/>
    </i>
  </rowItems>
  <colItems count="1">
    <i/>
  </colItems>
  <dataFields count="1">
    <dataField name="Count of County" fld="11" subtotal="count" showDataAs="percentOfTotal" baseField="0" baseItem="0" numFmtId="10"/>
  </dataFields>
  <formats count="1">
    <format dxfId="3">
      <pivotArea collapsedLevelsAreSubtotals="1" fieldPosition="0">
        <references count="1">
          <reference field="8" count="0"/>
        </references>
      </pivotArea>
    </format>
  </formats>
  <chartFormats count="7">
    <chartFormat chart="14" format="28" series="1">
      <pivotArea type="data" outline="0" fieldPosition="0">
        <references count="1">
          <reference field="4294967294" count="1" selected="0">
            <x v="0"/>
          </reference>
        </references>
      </pivotArea>
    </chartFormat>
    <chartFormat chart="14" format="29">
      <pivotArea type="data" outline="0" fieldPosition="0">
        <references count="2">
          <reference field="4294967294" count="1" selected="0">
            <x v="0"/>
          </reference>
          <reference field="8" count="1" selected="0">
            <x v="0"/>
          </reference>
        </references>
      </pivotArea>
    </chartFormat>
    <chartFormat chart="14" format="30">
      <pivotArea type="data" outline="0" fieldPosition="0">
        <references count="2">
          <reference field="4294967294" count="1" selected="0">
            <x v="0"/>
          </reference>
          <reference field="8" count="1" selected="0">
            <x v="1"/>
          </reference>
        </references>
      </pivotArea>
    </chartFormat>
    <chartFormat chart="14" format="31">
      <pivotArea type="data" outline="0" fieldPosition="0">
        <references count="2">
          <reference field="4294967294" count="1" selected="0">
            <x v="0"/>
          </reference>
          <reference field="8" count="1" selected="0">
            <x v="2"/>
          </reference>
        </references>
      </pivotArea>
    </chartFormat>
    <chartFormat chart="14" format="32">
      <pivotArea type="data" outline="0" fieldPosition="0">
        <references count="2">
          <reference field="4294967294" count="1" selected="0">
            <x v="0"/>
          </reference>
          <reference field="8" count="1" selected="0">
            <x v="3"/>
          </reference>
        </references>
      </pivotArea>
    </chartFormat>
    <chartFormat chart="14" format="33">
      <pivotArea type="data" outline="0" fieldPosition="0">
        <references count="2">
          <reference field="4294967294" count="1" selected="0">
            <x v="0"/>
          </reference>
          <reference field="8" count="1" selected="0">
            <x v="4"/>
          </reference>
        </references>
      </pivotArea>
    </chartFormat>
    <chartFormat chart="14" format="34">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3C0624-5FC6-4273-A0BD-7A8E0B99639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D182:J187"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7">
        <item x="0"/>
        <item x="1"/>
        <item x="2"/>
        <item x="3"/>
        <item x="4"/>
        <item x="5"/>
        <item x="6"/>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29" format="20" series="1">
      <pivotArea type="data" outline="0" fieldPosition="0">
        <references count="2">
          <reference field="4294967294" count="1" selected="0">
            <x v="0"/>
          </reference>
          <reference field="9" count="1" selected="0">
            <x v="0"/>
          </reference>
        </references>
      </pivotArea>
    </chartFormat>
    <chartFormat chart="29" format="21" series="1">
      <pivotArea type="data" outline="0" fieldPosition="0">
        <references count="2">
          <reference field="4294967294" count="1" selected="0">
            <x v="0"/>
          </reference>
          <reference field="9" count="1" selected="0">
            <x v="1"/>
          </reference>
        </references>
      </pivotArea>
    </chartFormat>
    <chartFormat chart="29" format="22" series="1">
      <pivotArea type="data" outline="0" fieldPosition="0">
        <references count="2">
          <reference field="4294967294" count="1" selected="0">
            <x v="0"/>
          </reference>
          <reference field="9" count="1" selected="0">
            <x v="2"/>
          </reference>
        </references>
      </pivotArea>
    </chartFormat>
    <chartFormat chart="29" format="23" series="1">
      <pivotArea type="data" outline="0" fieldPosition="0">
        <references count="2">
          <reference field="4294967294" count="1" selected="0">
            <x v="0"/>
          </reference>
          <reference field="9" count="1" selected="0">
            <x v="3"/>
          </reference>
        </references>
      </pivotArea>
    </chartFormat>
    <chartFormat chart="29" format="2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A3A8CC-71BC-40F4-A07F-F9E9089069F3}" name="PivotTable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96:D155" firstHeaderRow="0" firstDataRow="1" firstDataCol="2"/>
  <pivotFields count="15">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2">
        <item x="0"/>
        <item x="1"/>
      </items>
      <extLst>
        <ext xmlns:x14="http://schemas.microsoft.com/office/spreadsheetml/2009/9/main" uri="{2946ED86-A175-432a-8AC1-64E0C546D7DE}">
          <x14:pivotField fillDownLabels="1"/>
        </ext>
      </extLst>
    </pivotField>
    <pivotField axis="axisRow" compact="0" outline="0" subtotalTop="0" showAll="0" defaultSubtota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x="5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x v="1"/>
      <x v="58"/>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6CF19C-E1AC-4EFF-9B86-9AAF5FCF0E11}"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72:J77" firstHeaderRow="1" firstDataRow="1"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4"/>
  </rowFields>
  <rowItems count="5">
    <i>
      <x/>
    </i>
    <i>
      <x v="1"/>
    </i>
    <i>
      <x v="2"/>
    </i>
    <i>
      <x v="3"/>
    </i>
    <i t="grand">
      <x/>
    </i>
  </rowItems>
  <colItems count="1">
    <i/>
  </colItems>
  <dataFields count="1">
    <dataField name="Sum of Quantity" fld="2" baseField="0" baseItem="0"/>
  </dataFields>
  <chartFormats count="1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4" count="1" selected="0">
            <x v="1"/>
          </reference>
        </references>
      </pivotArea>
    </chartFormat>
    <chartFormat chart="4" format="2">
      <pivotArea type="data" outline="0" fieldPosition="0">
        <references count="2">
          <reference field="4294967294" count="1" selected="0">
            <x v="0"/>
          </reference>
          <reference field="14" count="1" selected="0">
            <x v="0"/>
          </reference>
        </references>
      </pivotArea>
    </chartFormat>
    <chartFormat chart="4" format="3">
      <pivotArea type="data" outline="0" fieldPosition="0">
        <references count="2">
          <reference field="4294967294" count="1" selected="0">
            <x v="0"/>
          </reference>
          <reference field="14" count="1" selected="0">
            <x v="3"/>
          </reference>
        </references>
      </pivotArea>
    </chartFormat>
    <chartFormat chart="4" format="4">
      <pivotArea type="data" outline="0" fieldPosition="0">
        <references count="2">
          <reference field="4294967294" count="1" selected="0">
            <x v="0"/>
          </reference>
          <reference field="14"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4" count="1" selected="0">
            <x v="0"/>
          </reference>
        </references>
      </pivotArea>
    </chartFormat>
    <chartFormat chart="9" format="7">
      <pivotArea type="data" outline="0" fieldPosition="0">
        <references count="2">
          <reference field="4294967294" count="1" selected="0">
            <x v="0"/>
          </reference>
          <reference field="14" count="1" selected="0">
            <x v="1"/>
          </reference>
        </references>
      </pivotArea>
    </chartFormat>
    <chartFormat chart="9" format="8">
      <pivotArea type="data" outline="0" fieldPosition="0">
        <references count="2">
          <reference field="4294967294" count="1" selected="0">
            <x v="0"/>
          </reference>
          <reference field="14" count="1" selected="0">
            <x v="2"/>
          </reference>
        </references>
      </pivotArea>
    </chartFormat>
    <chartFormat chart="9" format="9">
      <pivotArea type="data" outline="0" fieldPosition="0">
        <references count="2">
          <reference field="4294967294" count="1" selected="0">
            <x v="0"/>
          </reference>
          <reference field="14" count="1" selected="0">
            <x v="3"/>
          </reference>
        </references>
      </pivotArea>
    </chartFormat>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14" count="1" selected="0">
            <x v="0"/>
          </reference>
        </references>
      </pivotArea>
    </chartFormat>
    <chartFormat chart="20" format="22">
      <pivotArea type="data" outline="0" fieldPosition="0">
        <references count="2">
          <reference field="4294967294" count="1" selected="0">
            <x v="0"/>
          </reference>
          <reference field="14" count="1" selected="0">
            <x v="1"/>
          </reference>
        </references>
      </pivotArea>
    </chartFormat>
    <chartFormat chart="20" format="23">
      <pivotArea type="data" outline="0" fieldPosition="0">
        <references count="2">
          <reference field="4294967294" count="1" selected="0">
            <x v="0"/>
          </reference>
          <reference field="14" count="1" selected="0">
            <x v="2"/>
          </reference>
        </references>
      </pivotArea>
    </chartFormat>
    <chartFormat chart="20" format="2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189F90-83E8-41DD-9635-75919D4935D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F5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9D07D1-A8BB-4444-AB5F-5D7DBCE9916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2:C26"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30" format="32" series="1">
      <pivotArea type="data" outline="0" fieldPosition="0">
        <references count="1">
          <reference field="4294967294" count="1" selected="0">
            <x v="1"/>
          </reference>
        </references>
      </pivotArea>
    </chartFormat>
    <chartFormat chart="30" format="3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F9BD0B-0E9E-4E92-890F-E946C1E9A8C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62:E178"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537D3D-EAB8-46D1-AC47-15A91221F190}"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5">
    <pivotField dataField="1" showAll="0">
      <items count="24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t="default"/>
      </items>
    </pivotField>
    <pivotField showAll="0">
      <items count="22">
        <item x="14"/>
        <item x="10"/>
        <item x="12"/>
        <item x="15"/>
        <item x="4"/>
        <item x="7"/>
        <item x="6"/>
        <item x="19"/>
        <item x="18"/>
        <item x="11"/>
        <item x="17"/>
        <item x="5"/>
        <item x="0"/>
        <item x="2"/>
        <item x="9"/>
        <item x="16"/>
        <item x="1"/>
        <item x="13"/>
        <item x="8"/>
        <item x="3"/>
        <item x="20"/>
        <item t="default"/>
      </items>
    </pivotField>
    <pivotField dataField="1" showAll="0"/>
    <pivotField showAll="0"/>
    <pivotField dataField="1" showAll="0"/>
    <pivotField showAll="0"/>
    <pivotField showAll="0"/>
    <pivotField showAll="0"/>
    <pivotField showAll="0"/>
    <pivotField dataField="1" showAll="0"/>
    <pivotField showAll="0"/>
    <pivotField showAll="0"/>
    <pivotField dataField="1" showAll="0"/>
    <pivotField showAll="0"/>
    <pivotField showAll="0"/>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111245-42DA-4BF3-A7D1-42E6CABE83D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8:F90"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3" format="2"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3"/>
          </reference>
        </references>
      </pivotArea>
    </chartFormat>
    <chartFormat chart="11" format="16" series="1">
      <pivotArea type="data" outline="0" fieldPosition="0">
        <references count="2">
          <reference field="4294967294" count="1" selected="0">
            <x v="0"/>
          </reference>
          <reference field="14" count="1" selected="0">
            <x v="0"/>
          </reference>
        </references>
      </pivotArea>
    </chartFormat>
    <chartFormat chart="11" format="17" series="1">
      <pivotArea type="data" outline="0" fieldPosition="0">
        <references count="2">
          <reference field="4294967294" count="1" selected="0">
            <x v="0"/>
          </reference>
          <reference field="14" count="1" selected="0">
            <x v="1"/>
          </reference>
        </references>
      </pivotArea>
    </chartFormat>
    <chartFormat chart="11" format="18" series="1">
      <pivotArea type="data" outline="0" fieldPosition="0">
        <references count="2">
          <reference field="4294967294" count="1" selected="0">
            <x v="0"/>
          </reference>
          <reference field="14" count="1" selected="0">
            <x v="2"/>
          </reference>
        </references>
      </pivotArea>
    </chartFormat>
    <chartFormat chart="11" format="19"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D70EFC-69BD-4FB5-B665-2E0E21B6E43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5:B63"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axis="axisRow" showAll="0">
      <items count="8">
        <item x="0"/>
        <item x="1"/>
        <item x="2"/>
        <item x="4"/>
        <item x="3"/>
        <item n="6-10" sd="0" x="5"/>
        <item n="More than 10" x="6"/>
        <item t="default"/>
      </items>
    </pivotField>
  </pivotFields>
  <rowFields count="1">
    <field x="17"/>
  </rowFields>
  <rowItems count="8">
    <i>
      <x/>
    </i>
    <i>
      <x v="1"/>
    </i>
    <i>
      <x v="2"/>
    </i>
    <i>
      <x v="3"/>
    </i>
    <i>
      <x v="4"/>
    </i>
    <i>
      <x v="5"/>
    </i>
    <i>
      <x v="6"/>
    </i>
    <i t="grand">
      <x/>
    </i>
  </rowItems>
  <colItems count="1">
    <i/>
  </colItems>
  <dataFields count="1">
    <dataField name="Count of TX ID" fld="0" subtotal="count" baseField="0" baseItem="0"/>
  </dataFields>
  <chartFormats count="1">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7185BCD-A63E-4CDA-8741-3EA63C840784}" sourceName="Order Mode">
  <pivotTables>
    <pivotTable tabId="7" name="PivotTable8"/>
    <pivotTable tabId="7" name="PivotTable11"/>
    <pivotTable tabId="7" name="PivotTable4"/>
    <pivotTable tabId="7" name="PivotTable5"/>
    <pivotTable tabId="7" name="PivotTable6"/>
    <pivotTable tabId="7" name="PivotTable7"/>
    <pivotTable tabId="7" name="PivotTable9"/>
  </pivotTables>
  <data>
    <tabular pivotCacheId="828617823">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BF0E889F-1F10-4871-BDE4-75769F6A9D1F}" sourceName="Gender Value">
  <pivotTables>
    <pivotTable tabId="7" name="PivotTable8"/>
    <pivotTable tabId="7" name="PivotTable11"/>
    <pivotTable tabId="7" name="PivotTable4"/>
    <pivotTable tabId="7" name="PivotTable5"/>
    <pivotTable tabId="7" name="PivotTable6"/>
    <pivotTable tabId="7" name="PivotTable7"/>
    <pivotTable tabId="7" name="PivotTable9"/>
  </pivotTables>
  <data>
    <tabular pivotCacheId="82861782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8E42057F-02D8-4C2B-966B-CC04CBBF3422}" cache="Slicer_Order_Mode" caption="Order Mode" columnCount="2" rowHeight="247650"/>
  <slicer name="Gender Value 1" xr10:uid="{B24C24AB-9EB1-48A3-8A05-C7644177F7D2}" cache="Slicer_Gender_Value" caption="Gender Value"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8"/>
    <tableColumn id="7" xr3:uid="{43BB5DBF-46E1-4185-80C0-4361F55A385C}" name="Ship Date" dataDxfId="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6">
      <calculatedColumnFormula>orders[[#This Row],[Ship Date]]-orders[[#This Row],[Order Date]]</calculatedColumnFormula>
    </tableColumn>
    <tableColumn id="12" xr3:uid="{B071C0DA-87A9-4516-B4D9-4F5B7D3FF44A}" name="Weeknum" dataDxfId="5">
      <calculatedColumnFormula>WEEKNUM(orders[[#This Row],[Order Date]])</calculatedColumnFormula>
    </tableColumn>
    <tableColumn id="13" xr3:uid="{B8EA9E28-7541-4E76-9935-C26438661A18}" name="Gender Value" dataDxfId="4">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373545"/>
      </a:dk2>
      <a:lt2>
        <a:srgbClr val="CEDBE6"/>
      </a:lt2>
      <a:accent1>
        <a:srgbClr val="124163"/>
      </a:accent1>
      <a:accent2>
        <a:srgbClr val="1C6294"/>
      </a:accent2>
      <a:accent3>
        <a:srgbClr val="75B5E4"/>
      </a:accent3>
      <a:accent4>
        <a:srgbClr val="75B5E4"/>
      </a:accent4>
      <a:accent5>
        <a:srgbClr val="194A5D"/>
      </a:accent5>
      <a:accent6>
        <a:srgbClr val="266F8B"/>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P1" sqref="A1:XFD1048576"/>
    </sheetView>
  </sheetViews>
  <sheetFormatPr defaultRowHeight="14.4" x14ac:dyDescent="0.3"/>
  <cols>
    <col min="2" max="2" width="19.109375" customWidth="1"/>
    <col min="3" max="3" width="8.109375" customWidth="1"/>
    <col min="4" max="4" width="9.109375" customWidth="1"/>
    <col min="5" max="5" width="7.44140625" customWidth="1"/>
    <col min="6" max="6" width="10" customWidth="1"/>
    <col min="7" max="7" width="9.44140625" customWidth="1"/>
    <col min="8" max="8" width="15.6640625" customWidth="1"/>
    <col min="9" max="9" width="10.6640625" customWidth="1"/>
    <col min="10" max="10" width="7.77734375" customWidth="1"/>
    <col min="11" max="11" width="8.77734375" customWidth="1"/>
    <col min="12" max="12" width="19.6640625" customWidth="1"/>
    <col min="13" max="13" width="13.33203125" customWidth="1"/>
    <col min="14" max="14" width="9.33203125" customWidth="1"/>
    <col min="15" max="15" width="12.109375"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3F3-1F8B-4343-B30B-E3B4305688C8}">
  <dimension ref="A1:R215"/>
  <sheetViews>
    <sheetView topLeftCell="A206" zoomScaleNormal="100" workbookViewId="0">
      <selection activeCell="A218" sqref="A218"/>
    </sheetView>
  </sheetViews>
  <sheetFormatPr defaultRowHeight="14.4" x14ac:dyDescent="0.3"/>
  <cols>
    <col min="1" max="1" width="19.44140625" bestFit="1" customWidth="1"/>
    <col min="2" max="2" width="15.5546875" bestFit="1" customWidth="1"/>
    <col min="3" max="3" width="5.21875" bestFit="1" customWidth="1"/>
    <col min="4" max="4" width="5.77734375" bestFit="1" customWidth="1"/>
    <col min="5" max="5" width="9.21875" bestFit="1" customWidth="1"/>
    <col min="6" max="6" width="10.77734375" bestFit="1" customWidth="1"/>
    <col min="7" max="7" width="4" bestFit="1" customWidth="1"/>
    <col min="8" max="8" width="5" bestFit="1" customWidth="1"/>
    <col min="9" max="9" width="12.5546875" bestFit="1" customWidth="1"/>
    <col min="10" max="10" width="14.88671875" bestFit="1" customWidth="1"/>
    <col min="11" max="11" width="14.44140625" bestFit="1" customWidth="1"/>
    <col min="12" max="12" width="19.6640625" customWidth="1"/>
    <col min="13" max="13" width="7.33203125" customWidth="1"/>
    <col min="14" max="15" width="4.109375" customWidth="1"/>
    <col min="16" max="16" width="10.109375" customWidth="1"/>
    <col min="17" max="17" width="12.44140625" customWidth="1"/>
    <col min="18" max="18" width="14" customWidth="1"/>
    <col min="19" max="19" width="4.109375" customWidth="1"/>
    <col min="20" max="20" width="13.109375" bestFit="1" customWidth="1"/>
    <col min="21" max="21" width="10.5546875" bestFit="1" customWidth="1"/>
    <col min="22" max="22" width="6.33203125" bestFit="1" customWidth="1"/>
    <col min="23" max="23" width="8.6640625" bestFit="1" customWidth="1"/>
    <col min="24" max="24" width="10.5546875" bestFit="1" customWidth="1"/>
    <col min="25" max="25" width="10.21875" bestFit="1" customWidth="1"/>
    <col min="26" max="26" width="9.109375" bestFit="1" customWidth="1"/>
    <col min="27" max="27" width="8.77734375" bestFit="1" customWidth="1"/>
    <col min="28" max="28" width="7.44140625" bestFit="1" customWidth="1"/>
    <col min="29" max="29" width="12.21875" bestFit="1" customWidth="1"/>
    <col min="30" max="30" width="10.5546875" bestFit="1" customWidth="1"/>
  </cols>
  <sheetData>
    <row r="1" spans="1:5" x14ac:dyDescent="0.3">
      <c r="A1" t="s">
        <v>2503</v>
      </c>
    </row>
    <row r="3" spans="1:5" x14ac:dyDescent="0.3">
      <c r="A3" t="s">
        <v>2508</v>
      </c>
      <c r="B3" t="s">
        <v>2504</v>
      </c>
      <c r="C3" t="s">
        <v>2505</v>
      </c>
      <c r="D3" t="s">
        <v>2509</v>
      </c>
      <c r="E3" t="s">
        <v>2510</v>
      </c>
    </row>
    <row r="4" spans="1:5" x14ac:dyDescent="0.3">
      <c r="A4">
        <v>2400</v>
      </c>
      <c r="B4">
        <v>11997</v>
      </c>
      <c r="C4">
        <v>649019.80000000144</v>
      </c>
      <c r="D4">
        <v>3.9620833333333332</v>
      </c>
      <c r="E4">
        <v>2.3424999999999998</v>
      </c>
    </row>
    <row r="7" spans="1:5" x14ac:dyDescent="0.3">
      <c r="A7" t="s">
        <v>2511</v>
      </c>
      <c r="B7" t="s">
        <v>2</v>
      </c>
      <c r="C7" t="s">
        <v>4</v>
      </c>
      <c r="D7" t="s">
        <v>2512</v>
      </c>
      <c r="E7" t="s">
        <v>2513</v>
      </c>
    </row>
    <row r="8" spans="1:5" x14ac:dyDescent="0.3">
      <c r="A8" t="str">
        <f>TEXT(A4,"#,##")</f>
        <v>2,400</v>
      </c>
      <c r="B8" t="str">
        <f t="shared" ref="B8" si="0">TEXT(B4,"#,##")</f>
        <v>11,997</v>
      </c>
      <c r="C8" t="str">
        <f>TEXT(C4,"$#,##,.0k")</f>
        <v>$649.0k</v>
      </c>
      <c r="D8" t="str">
        <f>TEXT(D4,"0.0")</f>
        <v>4.0</v>
      </c>
      <c r="E8" t="str">
        <f>TEXT(E4,"0.0")</f>
        <v>2.3</v>
      </c>
    </row>
    <row r="12" spans="1:5" x14ac:dyDescent="0.3">
      <c r="A12" s="3" t="s">
        <v>2506</v>
      </c>
      <c r="B12" t="s">
        <v>2504</v>
      </c>
      <c r="C12" t="s">
        <v>2505</v>
      </c>
    </row>
    <row r="13" spans="1:5" x14ac:dyDescent="0.3">
      <c r="A13" s="4">
        <v>1</v>
      </c>
      <c r="B13" s="20">
        <v>546</v>
      </c>
      <c r="C13" s="6">
        <v>32413.300000000003</v>
      </c>
    </row>
    <row r="14" spans="1:5" x14ac:dyDescent="0.3">
      <c r="A14" s="4">
        <v>2</v>
      </c>
      <c r="B14" s="20">
        <v>905</v>
      </c>
      <c r="C14" s="6">
        <v>49562.999999999993</v>
      </c>
    </row>
    <row r="15" spans="1:5" x14ac:dyDescent="0.3">
      <c r="A15" s="4">
        <v>3</v>
      </c>
      <c r="B15" s="20">
        <v>796</v>
      </c>
      <c r="C15" s="6">
        <v>41700.400000000016</v>
      </c>
    </row>
    <row r="16" spans="1:5" x14ac:dyDescent="0.3">
      <c r="A16" s="4">
        <v>4</v>
      </c>
      <c r="B16" s="20">
        <v>913</v>
      </c>
      <c r="C16" s="6">
        <v>46782.599999999984</v>
      </c>
    </row>
    <row r="17" spans="1:3" x14ac:dyDescent="0.3">
      <c r="A17" s="4">
        <v>5</v>
      </c>
      <c r="B17" s="20">
        <v>844</v>
      </c>
      <c r="C17" s="6">
        <v>42676.100000000006</v>
      </c>
    </row>
    <row r="18" spans="1:3" x14ac:dyDescent="0.3">
      <c r="A18" s="4">
        <v>6</v>
      </c>
      <c r="B18" s="20">
        <v>1202</v>
      </c>
      <c r="C18" s="6">
        <v>62910.7</v>
      </c>
    </row>
    <row r="19" spans="1:3" x14ac:dyDescent="0.3">
      <c r="A19" s="4">
        <v>7</v>
      </c>
      <c r="B19" s="20">
        <v>935</v>
      </c>
      <c r="C19" s="6">
        <v>50332.200000000004</v>
      </c>
    </row>
    <row r="20" spans="1:3" x14ac:dyDescent="0.3">
      <c r="A20" s="4">
        <v>8</v>
      </c>
      <c r="B20" s="20">
        <v>1128</v>
      </c>
      <c r="C20" s="6">
        <v>58760.599999999977</v>
      </c>
    </row>
    <row r="21" spans="1:3" x14ac:dyDescent="0.3">
      <c r="A21" s="4">
        <v>9</v>
      </c>
      <c r="B21" s="20">
        <v>1007</v>
      </c>
      <c r="C21" s="6">
        <v>52017.299999999996</v>
      </c>
    </row>
    <row r="22" spans="1:3" x14ac:dyDescent="0.3">
      <c r="A22" s="4">
        <v>10</v>
      </c>
      <c r="B22" s="20">
        <v>1128</v>
      </c>
      <c r="C22" s="6">
        <v>64915.700000000033</v>
      </c>
    </row>
    <row r="23" spans="1:3" x14ac:dyDescent="0.3">
      <c r="A23" s="4">
        <v>11</v>
      </c>
      <c r="B23" s="20">
        <v>861</v>
      </c>
      <c r="C23" s="6">
        <v>45943.80000000001</v>
      </c>
    </row>
    <row r="24" spans="1:3" x14ac:dyDescent="0.3">
      <c r="A24" s="4">
        <v>12</v>
      </c>
      <c r="B24" s="20">
        <v>944</v>
      </c>
      <c r="C24" s="6">
        <v>55077.900000000031</v>
      </c>
    </row>
    <row r="25" spans="1:3" x14ac:dyDescent="0.3">
      <c r="A25" s="4">
        <v>13</v>
      </c>
      <c r="B25" s="20">
        <v>788</v>
      </c>
      <c r="C25" s="6">
        <v>45926.19999999999</v>
      </c>
    </row>
    <row r="26" spans="1:3" x14ac:dyDescent="0.3">
      <c r="A26" s="4" t="s">
        <v>2507</v>
      </c>
      <c r="B26" s="20">
        <v>11997</v>
      </c>
      <c r="C26" s="6">
        <v>649019.79999999993</v>
      </c>
    </row>
    <row r="43" spans="1:18" ht="15" thickBot="1" x14ac:dyDescent="0.35">
      <c r="A43" s="3" t="s">
        <v>2505</v>
      </c>
      <c r="B43" s="3" t="s">
        <v>2514</v>
      </c>
    </row>
    <row r="44" spans="1:18" x14ac:dyDescent="0.3">
      <c r="A44" s="3" t="s">
        <v>2506</v>
      </c>
      <c r="B44" t="s">
        <v>2515</v>
      </c>
      <c r="C44" t="s">
        <v>2516</v>
      </c>
      <c r="D44" t="s">
        <v>2517</v>
      </c>
      <c r="E44" t="s">
        <v>2518</v>
      </c>
      <c r="F44" t="s">
        <v>2507</v>
      </c>
      <c r="I44" s="7"/>
      <c r="J44" s="8" t="str">
        <f>B44</f>
        <v>Female</v>
      </c>
      <c r="K44" s="8" t="str">
        <f t="shared" ref="K44:M45" si="1">C44</f>
        <v>Male</v>
      </c>
      <c r="L44" s="8" t="str">
        <f t="shared" si="1"/>
        <v>Other</v>
      </c>
      <c r="M44" s="9" t="str">
        <f t="shared" si="1"/>
        <v>Unknown</v>
      </c>
      <c r="Q44" s="3" t="s">
        <v>2506</v>
      </c>
      <c r="R44" t="s">
        <v>2525</v>
      </c>
    </row>
    <row r="45" spans="1:18" x14ac:dyDescent="0.3">
      <c r="A45" s="4" t="s">
        <v>18</v>
      </c>
      <c r="B45" s="5">
        <v>0.18961825201634841</v>
      </c>
      <c r="C45" s="5">
        <v>0.12262322351336576</v>
      </c>
      <c r="D45" s="5">
        <v>1.060537752469185E-2</v>
      </c>
      <c r="E45" s="5">
        <v>3.0599220547662797E-2</v>
      </c>
      <c r="F45" s="5">
        <v>0.35344607360206881</v>
      </c>
      <c r="I45" s="10" t="str">
        <f>A45</f>
        <v>App</v>
      </c>
      <c r="J45" s="11">
        <f t="shared" ref="J45" si="2">B45</f>
        <v>0.18961825201634841</v>
      </c>
      <c r="K45" s="11">
        <f t="shared" si="1"/>
        <v>0.12262322351336576</v>
      </c>
      <c r="L45" s="11">
        <f t="shared" si="1"/>
        <v>1.060537752469185E-2</v>
      </c>
      <c r="M45" s="12">
        <f t="shared" si="1"/>
        <v>3.0599220547662797E-2</v>
      </c>
      <c r="Q45" s="4" t="s">
        <v>18</v>
      </c>
      <c r="R45" s="19">
        <v>0.36166666666666669</v>
      </c>
    </row>
    <row r="46" spans="1:18" x14ac:dyDescent="0.3">
      <c r="A46" s="4" t="s">
        <v>51</v>
      </c>
      <c r="B46" s="5">
        <v>5.0283982091147303E-2</v>
      </c>
      <c r="C46" s="5">
        <v>4.3060781812819873E-2</v>
      </c>
      <c r="D46" s="5">
        <v>1.5320025675641944E-3</v>
      </c>
      <c r="E46" s="5">
        <v>1.7794988689097006E-2</v>
      </c>
      <c r="F46" s="5">
        <v>0.11267175516062837</v>
      </c>
      <c r="I46" s="10" t="str">
        <f>A46</f>
        <v>Instagram</v>
      </c>
      <c r="J46" s="11">
        <f t="shared" ref="J46:J49" si="3">B46</f>
        <v>5.0283982091147303E-2</v>
      </c>
      <c r="K46" s="11">
        <f t="shared" ref="K46:K49" si="4">C46</f>
        <v>4.3060781812819873E-2</v>
      </c>
      <c r="L46" s="11">
        <f t="shared" ref="L46:L49" si="5">D46</f>
        <v>1.5320025675641944E-3</v>
      </c>
      <c r="M46" s="12">
        <f t="shared" ref="M46:M49" si="6">E46</f>
        <v>1.7794988689097006E-2</v>
      </c>
      <c r="Q46" s="4" t="s">
        <v>51</v>
      </c>
      <c r="R46" s="19">
        <v>0.10333333333333333</v>
      </c>
    </row>
    <row r="47" spans="1:18" x14ac:dyDescent="0.3">
      <c r="A47" s="4" t="s">
        <v>70</v>
      </c>
      <c r="B47" s="5">
        <v>6.3496059750411282E-2</v>
      </c>
      <c r="C47" s="5">
        <v>4.6071629863988765E-2</v>
      </c>
      <c r="D47" s="5">
        <v>2.306247051322625E-3</v>
      </c>
      <c r="E47" s="5">
        <v>3.8927934093844286E-3</v>
      </c>
      <c r="F47" s="5">
        <v>0.11576673007510711</v>
      </c>
      <c r="I47" s="10" t="str">
        <f t="shared" ref="I47:I49" si="7">A47</f>
        <v>Partner App</v>
      </c>
      <c r="J47" s="11">
        <f>B47</f>
        <v>6.3496059750411282E-2</v>
      </c>
      <c r="K47" s="11">
        <f t="shared" si="4"/>
        <v>4.6071629863988765E-2</v>
      </c>
      <c r="L47" s="11">
        <f t="shared" si="5"/>
        <v>2.306247051322625E-3</v>
      </c>
      <c r="M47" s="12">
        <f t="shared" si="6"/>
        <v>3.8927934093844286E-3</v>
      </c>
      <c r="Q47" s="4" t="s">
        <v>70</v>
      </c>
      <c r="R47" s="19">
        <v>0.10916666666666666</v>
      </c>
    </row>
    <row r="48" spans="1:18" x14ac:dyDescent="0.3">
      <c r="A48" s="4" t="s">
        <v>40</v>
      </c>
      <c r="B48" s="5">
        <v>9.6337892927149532E-2</v>
      </c>
      <c r="C48" s="5">
        <v>6.7920115842382611E-2</v>
      </c>
      <c r="D48" s="5">
        <v>5.4979832664581261E-3</v>
      </c>
      <c r="E48" s="5">
        <v>1.2933041488102518E-2</v>
      </c>
      <c r="F48" s="5">
        <v>0.1826890335240928</v>
      </c>
      <c r="I48" s="10" t="str">
        <f t="shared" si="7"/>
        <v>Target.com</v>
      </c>
      <c r="J48" s="11">
        <f t="shared" si="3"/>
        <v>9.6337892927149532E-2</v>
      </c>
      <c r="K48" s="11">
        <f t="shared" si="4"/>
        <v>6.7920115842382611E-2</v>
      </c>
      <c r="L48" s="11">
        <f t="shared" si="5"/>
        <v>5.4979832664581261E-3</v>
      </c>
      <c r="M48" s="12">
        <f t="shared" si="6"/>
        <v>1.2933041488102518E-2</v>
      </c>
      <c r="Q48" s="4" t="s">
        <v>40</v>
      </c>
      <c r="R48" s="19">
        <v>0.18875</v>
      </c>
    </row>
    <row r="49" spans="1:18" ht="15" thickBot="1" x14ac:dyDescent="0.35">
      <c r="A49" s="4" t="s">
        <v>35</v>
      </c>
      <c r="B49" s="5">
        <v>0.12522098709469262</v>
      </c>
      <c r="C49" s="5">
        <v>9.1492740283116228E-2</v>
      </c>
      <c r="D49" s="5">
        <v>6.3042760790965081E-3</v>
      </c>
      <c r="E49" s="5">
        <v>1.2408404181197551E-2</v>
      </c>
      <c r="F49" s="5">
        <v>0.23542640763810288</v>
      </c>
      <c r="I49" s="13" t="str">
        <f t="shared" si="7"/>
        <v>Website</v>
      </c>
      <c r="J49" s="14">
        <f t="shared" si="3"/>
        <v>0.12522098709469262</v>
      </c>
      <c r="K49" s="14">
        <f t="shared" si="4"/>
        <v>9.1492740283116228E-2</v>
      </c>
      <c r="L49" s="14">
        <f t="shared" si="5"/>
        <v>6.3042760790965081E-3</v>
      </c>
      <c r="M49" s="15">
        <f t="shared" si="6"/>
        <v>1.2408404181197551E-2</v>
      </c>
      <c r="Q49" s="4" t="s">
        <v>35</v>
      </c>
      <c r="R49" s="19">
        <v>0.23708333333333334</v>
      </c>
    </row>
    <row r="50" spans="1:18" x14ac:dyDescent="0.3">
      <c r="A50" s="4" t="s">
        <v>2507</v>
      </c>
      <c r="B50" s="5">
        <v>0.52495717387974916</v>
      </c>
      <c r="C50" s="5">
        <v>0.3711684913156732</v>
      </c>
      <c r="D50" s="5">
        <v>2.6245886489133303E-2</v>
      </c>
      <c r="E50" s="5">
        <v>7.7628448315444312E-2</v>
      </c>
      <c r="F50" s="5">
        <v>1</v>
      </c>
      <c r="Q50" s="4" t="s">
        <v>2521</v>
      </c>
      <c r="R50" s="19">
        <v>0</v>
      </c>
    </row>
    <row r="51" spans="1:18" x14ac:dyDescent="0.3">
      <c r="Q51" s="4" t="s">
        <v>2507</v>
      </c>
      <c r="R51" s="5">
        <v>1</v>
      </c>
    </row>
    <row r="55" spans="1:18" x14ac:dyDescent="0.3">
      <c r="A55" s="3" t="s">
        <v>2506</v>
      </c>
      <c r="B55" t="s">
        <v>2508</v>
      </c>
    </row>
    <row r="56" spans="1:18" x14ac:dyDescent="0.3">
      <c r="A56" s="4">
        <v>1</v>
      </c>
      <c r="B56" s="20">
        <v>397</v>
      </c>
    </row>
    <row r="57" spans="1:18" x14ac:dyDescent="0.3">
      <c r="A57" s="4">
        <v>2</v>
      </c>
      <c r="B57" s="20">
        <v>540</v>
      </c>
    </row>
    <row r="58" spans="1:18" x14ac:dyDescent="0.3">
      <c r="A58" s="4">
        <v>3</v>
      </c>
      <c r="B58" s="20">
        <v>375</v>
      </c>
    </row>
    <row r="59" spans="1:18" x14ac:dyDescent="0.3">
      <c r="A59" s="4">
        <v>4</v>
      </c>
      <c r="B59" s="20">
        <v>246</v>
      </c>
    </row>
    <row r="60" spans="1:18" x14ac:dyDescent="0.3">
      <c r="A60" s="4">
        <v>5</v>
      </c>
      <c r="B60" s="20">
        <v>195</v>
      </c>
    </row>
    <row r="61" spans="1:18" x14ac:dyDescent="0.3">
      <c r="A61" s="4" t="s">
        <v>2519</v>
      </c>
      <c r="B61" s="20">
        <v>414</v>
      </c>
    </row>
    <row r="62" spans="1:18" x14ac:dyDescent="0.3">
      <c r="A62" s="4" t="s">
        <v>2520</v>
      </c>
      <c r="B62" s="20">
        <v>233</v>
      </c>
    </row>
    <row r="63" spans="1:18" x14ac:dyDescent="0.3">
      <c r="A63" s="4" t="s">
        <v>2507</v>
      </c>
      <c r="B63" s="20">
        <v>2400</v>
      </c>
    </row>
    <row r="68" spans="1:10" x14ac:dyDescent="0.3">
      <c r="A68" s="3" t="s">
        <v>2504</v>
      </c>
      <c r="B68" s="3" t="s">
        <v>2514</v>
      </c>
    </row>
    <row r="69" spans="1:10" x14ac:dyDescent="0.3">
      <c r="A69" s="3" t="s">
        <v>2506</v>
      </c>
      <c r="B69" t="s">
        <v>2515</v>
      </c>
      <c r="C69" t="s">
        <v>2516</v>
      </c>
      <c r="D69" t="s">
        <v>2517</v>
      </c>
      <c r="E69" t="s">
        <v>2518</v>
      </c>
      <c r="F69" t="s">
        <v>2507</v>
      </c>
    </row>
    <row r="70" spans="1:10" x14ac:dyDescent="0.3">
      <c r="A70" s="4" t="s">
        <v>44</v>
      </c>
      <c r="B70" s="20">
        <v>744</v>
      </c>
      <c r="C70" s="20">
        <v>713</v>
      </c>
      <c r="D70" s="20">
        <v>90</v>
      </c>
      <c r="E70" s="20">
        <v>98</v>
      </c>
      <c r="F70" s="20">
        <v>1645</v>
      </c>
    </row>
    <row r="71" spans="1:10" x14ac:dyDescent="0.3">
      <c r="A71" s="4" t="s">
        <v>39</v>
      </c>
      <c r="B71" s="20">
        <v>716</v>
      </c>
      <c r="C71" s="20">
        <v>598</v>
      </c>
      <c r="D71" s="20">
        <v>18</v>
      </c>
      <c r="E71" s="20">
        <v>214</v>
      </c>
      <c r="F71" s="20">
        <v>1546</v>
      </c>
    </row>
    <row r="72" spans="1:10" x14ac:dyDescent="0.3">
      <c r="A72" s="4" t="s">
        <v>26</v>
      </c>
      <c r="B72" s="20">
        <v>627</v>
      </c>
      <c r="C72" s="20">
        <v>393</v>
      </c>
      <c r="D72" s="20">
        <v>29</v>
      </c>
      <c r="E72" s="20">
        <v>137</v>
      </c>
      <c r="F72" s="20">
        <v>1186</v>
      </c>
      <c r="I72" s="3" t="s">
        <v>2506</v>
      </c>
      <c r="J72" t="s">
        <v>2504</v>
      </c>
    </row>
    <row r="73" spans="1:10" x14ac:dyDescent="0.3">
      <c r="A73" s="4" t="s">
        <v>22</v>
      </c>
      <c r="B73" s="20">
        <v>568</v>
      </c>
      <c r="C73" s="20">
        <v>306</v>
      </c>
      <c r="D73" s="20">
        <v>22</v>
      </c>
      <c r="E73" s="20">
        <v>16</v>
      </c>
      <c r="F73" s="20">
        <v>912</v>
      </c>
      <c r="I73" s="4" t="s">
        <v>2515</v>
      </c>
      <c r="J73" s="20">
        <v>6272</v>
      </c>
    </row>
    <row r="74" spans="1:10" x14ac:dyDescent="0.3">
      <c r="A74" s="4" t="s">
        <v>54</v>
      </c>
      <c r="B74" s="20">
        <v>482</v>
      </c>
      <c r="C74" s="20">
        <v>295</v>
      </c>
      <c r="D74" s="20">
        <v>8</v>
      </c>
      <c r="E74" s="20">
        <v>22</v>
      </c>
      <c r="F74" s="20">
        <v>807</v>
      </c>
      <c r="I74" s="4" t="s">
        <v>2516</v>
      </c>
      <c r="J74" s="20">
        <v>4672</v>
      </c>
    </row>
    <row r="75" spans="1:10" x14ac:dyDescent="0.3">
      <c r="A75" s="4" t="s">
        <v>16</v>
      </c>
      <c r="B75" s="20">
        <v>428</v>
      </c>
      <c r="C75" s="20">
        <v>293</v>
      </c>
      <c r="D75" s="20"/>
      <c r="E75" s="20">
        <v>24</v>
      </c>
      <c r="F75" s="20">
        <v>745</v>
      </c>
      <c r="I75" s="4" t="s">
        <v>2517</v>
      </c>
      <c r="J75" s="20">
        <v>317</v>
      </c>
    </row>
    <row r="76" spans="1:10" x14ac:dyDescent="0.3">
      <c r="A76" s="4" t="s">
        <v>46</v>
      </c>
      <c r="B76" s="20">
        <v>445</v>
      </c>
      <c r="C76" s="20">
        <v>202</v>
      </c>
      <c r="D76" s="20">
        <v>14</v>
      </c>
      <c r="E76" s="20">
        <v>39</v>
      </c>
      <c r="F76" s="20">
        <v>700</v>
      </c>
      <c r="I76" s="4" t="s">
        <v>2518</v>
      </c>
      <c r="J76" s="20">
        <v>736</v>
      </c>
    </row>
    <row r="77" spans="1:10" x14ac:dyDescent="0.3">
      <c r="A77" s="4" t="s">
        <v>32</v>
      </c>
      <c r="B77" s="20">
        <v>431</v>
      </c>
      <c r="C77" s="20">
        <v>187</v>
      </c>
      <c r="D77" s="20">
        <v>14</v>
      </c>
      <c r="E77" s="20">
        <v>15</v>
      </c>
      <c r="F77" s="20">
        <v>647</v>
      </c>
      <c r="I77" s="4" t="s">
        <v>2507</v>
      </c>
      <c r="J77" s="20">
        <v>11997</v>
      </c>
    </row>
    <row r="78" spans="1:10" x14ac:dyDescent="0.3">
      <c r="A78" s="4" t="s">
        <v>42</v>
      </c>
      <c r="B78" s="20">
        <v>264</v>
      </c>
      <c r="C78" s="20">
        <v>318</v>
      </c>
      <c r="D78" s="20">
        <v>15</v>
      </c>
      <c r="E78" s="20">
        <v>9</v>
      </c>
      <c r="F78" s="20">
        <v>606</v>
      </c>
    </row>
    <row r="79" spans="1:10" x14ac:dyDescent="0.3">
      <c r="A79" s="4" t="s">
        <v>37</v>
      </c>
      <c r="B79" s="20">
        <v>296</v>
      </c>
      <c r="C79" s="20">
        <v>275</v>
      </c>
      <c r="D79" s="20">
        <v>9</v>
      </c>
      <c r="E79" s="20">
        <v>23</v>
      </c>
      <c r="F79" s="20">
        <v>603</v>
      </c>
    </row>
    <row r="80" spans="1:10" x14ac:dyDescent="0.3">
      <c r="A80" s="4" t="s">
        <v>123</v>
      </c>
      <c r="B80" s="20">
        <v>153</v>
      </c>
      <c r="C80" s="20">
        <v>246</v>
      </c>
      <c r="D80" s="20">
        <v>30</v>
      </c>
      <c r="E80" s="20">
        <v>8</v>
      </c>
      <c r="F80" s="20">
        <v>437</v>
      </c>
    </row>
    <row r="81" spans="1:13" x14ac:dyDescent="0.3">
      <c r="A81" s="4" t="s">
        <v>146</v>
      </c>
      <c r="B81" s="20">
        <v>189</v>
      </c>
      <c r="C81" s="20">
        <v>168</v>
      </c>
      <c r="D81" s="20">
        <v>10</v>
      </c>
      <c r="E81" s="20">
        <v>31</v>
      </c>
      <c r="F81" s="20">
        <v>398</v>
      </c>
    </row>
    <row r="82" spans="1:13" x14ac:dyDescent="0.3">
      <c r="A82" s="4" t="s">
        <v>69</v>
      </c>
      <c r="B82" s="20">
        <v>234</v>
      </c>
      <c r="C82" s="20">
        <v>93</v>
      </c>
      <c r="D82" s="20">
        <v>19</v>
      </c>
      <c r="E82" s="20">
        <v>24</v>
      </c>
      <c r="F82" s="20">
        <v>370</v>
      </c>
    </row>
    <row r="83" spans="1:13" x14ac:dyDescent="0.3">
      <c r="A83" s="4" t="s">
        <v>30</v>
      </c>
      <c r="B83" s="20">
        <v>146</v>
      </c>
      <c r="C83" s="20">
        <v>94</v>
      </c>
      <c r="D83" s="20">
        <v>4</v>
      </c>
      <c r="E83" s="20">
        <v>28</v>
      </c>
      <c r="F83" s="20">
        <v>272</v>
      </c>
    </row>
    <row r="84" spans="1:13" x14ac:dyDescent="0.3">
      <c r="A84" s="4" t="s">
        <v>135</v>
      </c>
      <c r="B84" s="20">
        <v>127</v>
      </c>
      <c r="C84" s="20">
        <v>118</v>
      </c>
      <c r="D84" s="20">
        <v>13</v>
      </c>
      <c r="E84" s="20">
        <v>12</v>
      </c>
      <c r="F84" s="20">
        <v>270</v>
      </c>
    </row>
    <row r="85" spans="1:13" x14ac:dyDescent="0.3">
      <c r="A85" s="4" t="s">
        <v>67</v>
      </c>
      <c r="B85" s="20">
        <v>179</v>
      </c>
      <c r="C85" s="20">
        <v>76</v>
      </c>
      <c r="D85" s="20">
        <v>3</v>
      </c>
      <c r="E85" s="20"/>
      <c r="F85" s="20">
        <v>258</v>
      </c>
    </row>
    <row r="86" spans="1:13" x14ac:dyDescent="0.3">
      <c r="A86" s="4" t="s">
        <v>128</v>
      </c>
      <c r="B86" s="20">
        <v>99</v>
      </c>
      <c r="C86" s="20">
        <v>69</v>
      </c>
      <c r="D86" s="20">
        <v>3</v>
      </c>
      <c r="E86" s="20">
        <v>24</v>
      </c>
      <c r="F86" s="20">
        <v>195</v>
      </c>
    </row>
    <row r="87" spans="1:13" x14ac:dyDescent="0.3">
      <c r="A87" s="4" t="s">
        <v>76</v>
      </c>
      <c r="B87" s="20">
        <v>75</v>
      </c>
      <c r="C87" s="20">
        <v>103</v>
      </c>
      <c r="D87" s="20">
        <v>4</v>
      </c>
      <c r="E87" s="20">
        <v>6</v>
      </c>
      <c r="F87" s="20">
        <v>188</v>
      </c>
    </row>
    <row r="88" spans="1:13" x14ac:dyDescent="0.3">
      <c r="A88" s="4" t="s">
        <v>81</v>
      </c>
      <c r="B88" s="20">
        <v>43</v>
      </c>
      <c r="C88" s="20">
        <v>90</v>
      </c>
      <c r="D88" s="20">
        <v>8</v>
      </c>
      <c r="E88" s="20">
        <v>6</v>
      </c>
      <c r="F88" s="20">
        <v>147</v>
      </c>
    </row>
    <row r="89" spans="1:13" x14ac:dyDescent="0.3">
      <c r="A89" s="4" t="s">
        <v>171</v>
      </c>
      <c r="B89" s="20">
        <v>26</v>
      </c>
      <c r="C89" s="20">
        <v>35</v>
      </c>
      <c r="D89" s="20">
        <v>4</v>
      </c>
      <c r="E89" s="20"/>
      <c r="F89" s="20">
        <v>65</v>
      </c>
    </row>
    <row r="90" spans="1:13" x14ac:dyDescent="0.3">
      <c r="A90" s="4" t="s">
        <v>2507</v>
      </c>
      <c r="B90" s="20">
        <v>6272</v>
      </c>
      <c r="C90" s="20">
        <v>4672</v>
      </c>
      <c r="D90" s="20">
        <v>317</v>
      </c>
      <c r="E90" s="20">
        <v>736</v>
      </c>
      <c r="F90" s="20">
        <v>11997</v>
      </c>
    </row>
    <row r="96" spans="1:13" x14ac:dyDescent="0.3">
      <c r="A96" s="3" t="s">
        <v>10</v>
      </c>
      <c r="B96" s="3" t="s">
        <v>11</v>
      </c>
      <c r="C96" t="s">
        <v>2504</v>
      </c>
      <c r="D96" t="s">
        <v>2505</v>
      </c>
      <c r="G96" s="16" t="s">
        <v>10</v>
      </c>
      <c r="H96" s="16" t="s">
        <v>11</v>
      </c>
      <c r="I96" s="16" t="s">
        <v>2504</v>
      </c>
      <c r="J96" s="16"/>
      <c r="K96" s="16" t="s">
        <v>10</v>
      </c>
      <c r="L96" s="16" t="s">
        <v>11</v>
      </c>
      <c r="M96" s="16" t="s">
        <v>2505</v>
      </c>
    </row>
    <row r="97" spans="1:13" x14ac:dyDescent="0.3">
      <c r="A97" t="s">
        <v>19</v>
      </c>
      <c r="B97" t="s">
        <v>115</v>
      </c>
      <c r="C97">
        <v>579</v>
      </c>
      <c r="D97">
        <v>31884.999999999996</v>
      </c>
      <c r="G97" s="18" t="s">
        <v>19</v>
      </c>
      <c r="H97" t="s">
        <v>115</v>
      </c>
      <c r="I97">
        <v>579</v>
      </c>
      <c r="K97" s="18" t="s">
        <v>19</v>
      </c>
      <c r="L97" t="s">
        <v>115</v>
      </c>
      <c r="M97">
        <v>31884.999999999996</v>
      </c>
    </row>
    <row r="98" spans="1:13" x14ac:dyDescent="0.3">
      <c r="A98" t="s">
        <v>19</v>
      </c>
      <c r="B98" t="s">
        <v>20</v>
      </c>
      <c r="C98">
        <v>1</v>
      </c>
      <c r="D98">
        <v>10.9</v>
      </c>
      <c r="G98" s="18" t="s">
        <v>19</v>
      </c>
      <c r="H98" t="s">
        <v>20</v>
      </c>
      <c r="I98">
        <v>1</v>
      </c>
      <c r="K98" s="18" t="s">
        <v>19</v>
      </c>
      <c r="L98" t="s">
        <v>20</v>
      </c>
      <c r="M98">
        <v>10.9</v>
      </c>
    </row>
    <row r="99" spans="1:13" x14ac:dyDescent="0.3">
      <c r="A99" t="s">
        <v>19</v>
      </c>
      <c r="B99" t="s">
        <v>641</v>
      </c>
      <c r="C99">
        <v>9</v>
      </c>
      <c r="D99">
        <v>800.3</v>
      </c>
      <c r="G99" s="18" t="s">
        <v>19</v>
      </c>
      <c r="H99" t="s">
        <v>641</v>
      </c>
      <c r="I99">
        <v>9</v>
      </c>
      <c r="K99" s="18" t="s">
        <v>19</v>
      </c>
      <c r="L99" t="s">
        <v>641</v>
      </c>
      <c r="M99">
        <v>800.3</v>
      </c>
    </row>
    <row r="100" spans="1:13" x14ac:dyDescent="0.3">
      <c r="A100" t="s">
        <v>19</v>
      </c>
      <c r="B100" t="s">
        <v>967</v>
      </c>
      <c r="C100">
        <v>35</v>
      </c>
      <c r="D100">
        <v>1062.5999999999999</v>
      </c>
      <c r="G100" s="18" t="s">
        <v>19</v>
      </c>
      <c r="H100" t="s">
        <v>967</v>
      </c>
      <c r="I100">
        <v>35</v>
      </c>
      <c r="K100" s="18" t="s">
        <v>19</v>
      </c>
      <c r="L100" t="s">
        <v>967</v>
      </c>
      <c r="M100">
        <v>1062.5999999999999</v>
      </c>
    </row>
    <row r="101" spans="1:13" x14ac:dyDescent="0.3">
      <c r="A101" t="s">
        <v>19</v>
      </c>
      <c r="B101" t="s">
        <v>84</v>
      </c>
      <c r="C101">
        <v>12</v>
      </c>
      <c r="D101">
        <v>326.20000000000005</v>
      </c>
      <c r="G101" s="18" t="s">
        <v>19</v>
      </c>
      <c r="H101" t="s">
        <v>84</v>
      </c>
      <c r="I101">
        <v>12</v>
      </c>
      <c r="K101" s="18" t="s">
        <v>19</v>
      </c>
      <c r="L101" t="s">
        <v>84</v>
      </c>
      <c r="M101">
        <v>326.20000000000005</v>
      </c>
    </row>
    <row r="102" spans="1:13" x14ac:dyDescent="0.3">
      <c r="A102" t="s">
        <v>19</v>
      </c>
      <c r="B102" t="s">
        <v>1383</v>
      </c>
      <c r="C102">
        <v>4</v>
      </c>
      <c r="D102">
        <v>167.5</v>
      </c>
      <c r="G102" s="18" t="s">
        <v>19</v>
      </c>
      <c r="H102" t="s">
        <v>1383</v>
      </c>
      <c r="I102">
        <v>4</v>
      </c>
      <c r="K102" s="18" t="s">
        <v>19</v>
      </c>
      <c r="L102" t="s">
        <v>1383</v>
      </c>
      <c r="M102">
        <v>167.5</v>
      </c>
    </row>
    <row r="103" spans="1:13" x14ac:dyDescent="0.3">
      <c r="A103" t="s">
        <v>19</v>
      </c>
      <c r="B103" t="s">
        <v>24</v>
      </c>
      <c r="C103">
        <v>341</v>
      </c>
      <c r="D103">
        <v>16168.7</v>
      </c>
      <c r="G103" s="18" t="s">
        <v>19</v>
      </c>
      <c r="H103" t="s">
        <v>24</v>
      </c>
      <c r="I103">
        <v>341</v>
      </c>
      <c r="K103" s="18" t="s">
        <v>19</v>
      </c>
      <c r="L103" t="s">
        <v>24</v>
      </c>
      <c r="M103">
        <v>16168.7</v>
      </c>
    </row>
    <row r="104" spans="1:13" x14ac:dyDescent="0.3">
      <c r="A104" t="s">
        <v>19</v>
      </c>
      <c r="B104" t="s">
        <v>2204</v>
      </c>
      <c r="C104">
        <v>13</v>
      </c>
      <c r="D104">
        <v>322.40000000000003</v>
      </c>
      <c r="G104" s="18" t="s">
        <v>19</v>
      </c>
      <c r="H104" t="s">
        <v>2204</v>
      </c>
      <c r="I104">
        <v>13</v>
      </c>
      <c r="K104" s="18" t="s">
        <v>19</v>
      </c>
      <c r="L104" t="s">
        <v>2204</v>
      </c>
      <c r="M104">
        <v>322.40000000000003</v>
      </c>
    </row>
    <row r="105" spans="1:13" x14ac:dyDescent="0.3">
      <c r="A105" t="s">
        <v>19</v>
      </c>
      <c r="B105" t="s">
        <v>437</v>
      </c>
      <c r="C105">
        <v>31</v>
      </c>
      <c r="D105">
        <v>2092.8000000000002</v>
      </c>
      <c r="G105" s="18" t="s">
        <v>19</v>
      </c>
      <c r="H105" t="s">
        <v>437</v>
      </c>
      <c r="I105">
        <v>31</v>
      </c>
      <c r="K105" s="18" t="s">
        <v>19</v>
      </c>
      <c r="L105" t="s">
        <v>437</v>
      </c>
      <c r="M105">
        <v>2092.8000000000002</v>
      </c>
    </row>
    <row r="106" spans="1:13" x14ac:dyDescent="0.3">
      <c r="A106" t="s">
        <v>19</v>
      </c>
      <c r="B106" t="s">
        <v>28</v>
      </c>
      <c r="C106">
        <v>279</v>
      </c>
      <c r="D106">
        <v>12662.500000000002</v>
      </c>
      <c r="G106" s="18" t="s">
        <v>19</v>
      </c>
      <c r="H106" t="s">
        <v>28</v>
      </c>
      <c r="I106">
        <v>279</v>
      </c>
      <c r="K106" s="18" t="s">
        <v>19</v>
      </c>
      <c r="L106" t="s">
        <v>28</v>
      </c>
      <c r="M106">
        <v>12662.500000000002</v>
      </c>
    </row>
    <row r="107" spans="1:13" x14ac:dyDescent="0.3">
      <c r="A107" t="s">
        <v>19</v>
      </c>
      <c r="B107" t="s">
        <v>208</v>
      </c>
      <c r="C107">
        <v>9</v>
      </c>
      <c r="D107">
        <v>343.2</v>
      </c>
      <c r="G107" s="18" t="s">
        <v>19</v>
      </c>
      <c r="H107" t="s">
        <v>208</v>
      </c>
      <c r="I107">
        <v>9</v>
      </c>
      <c r="K107" s="18" t="s">
        <v>19</v>
      </c>
      <c r="L107" t="s">
        <v>208</v>
      </c>
      <c r="M107">
        <v>343.2</v>
      </c>
    </row>
    <row r="108" spans="1:13" x14ac:dyDescent="0.3">
      <c r="A108" t="s">
        <v>19</v>
      </c>
      <c r="B108" t="s">
        <v>587</v>
      </c>
      <c r="C108">
        <v>49</v>
      </c>
      <c r="D108">
        <v>2188.2999999999997</v>
      </c>
      <c r="G108" s="18" t="s">
        <v>19</v>
      </c>
      <c r="H108" t="s">
        <v>587</v>
      </c>
      <c r="I108">
        <v>49</v>
      </c>
      <c r="K108" s="18" t="s">
        <v>19</v>
      </c>
      <c r="L108" t="s">
        <v>587</v>
      </c>
      <c r="M108">
        <v>2188.2999999999997</v>
      </c>
    </row>
    <row r="109" spans="1:13" x14ac:dyDescent="0.3">
      <c r="A109" t="s">
        <v>19</v>
      </c>
      <c r="B109" t="s">
        <v>331</v>
      </c>
      <c r="C109">
        <v>59</v>
      </c>
      <c r="D109">
        <v>2661.5999999999995</v>
      </c>
      <c r="G109" s="18" t="s">
        <v>19</v>
      </c>
      <c r="H109" t="s">
        <v>331</v>
      </c>
      <c r="I109">
        <v>59</v>
      </c>
      <c r="K109" s="18" t="s">
        <v>19</v>
      </c>
      <c r="L109" t="s">
        <v>331</v>
      </c>
      <c r="M109">
        <v>2661.5999999999995</v>
      </c>
    </row>
    <row r="110" spans="1:13" x14ac:dyDescent="0.3">
      <c r="A110" t="s">
        <v>19</v>
      </c>
      <c r="B110" t="s">
        <v>86</v>
      </c>
      <c r="C110">
        <v>8</v>
      </c>
      <c r="D110">
        <v>887.5</v>
      </c>
      <c r="G110" s="18" t="s">
        <v>19</v>
      </c>
      <c r="H110" t="s">
        <v>86</v>
      </c>
      <c r="I110">
        <v>8</v>
      </c>
      <c r="K110" s="18" t="s">
        <v>19</v>
      </c>
      <c r="L110" t="s">
        <v>86</v>
      </c>
      <c r="M110">
        <v>887.5</v>
      </c>
    </row>
    <row r="111" spans="1:13" x14ac:dyDescent="0.3">
      <c r="A111" t="s">
        <v>19</v>
      </c>
      <c r="B111" t="s">
        <v>147</v>
      </c>
      <c r="C111">
        <v>222</v>
      </c>
      <c r="D111">
        <v>11354.199999999993</v>
      </c>
      <c r="G111" s="18" t="s">
        <v>19</v>
      </c>
      <c r="H111" t="s">
        <v>147</v>
      </c>
      <c r="I111">
        <v>222</v>
      </c>
      <c r="K111" s="18" t="s">
        <v>19</v>
      </c>
      <c r="L111" t="s">
        <v>147</v>
      </c>
      <c r="M111">
        <v>11354.199999999993</v>
      </c>
    </row>
    <row r="112" spans="1:13" x14ac:dyDescent="0.3">
      <c r="A112" t="s">
        <v>19</v>
      </c>
      <c r="B112" t="s">
        <v>334</v>
      </c>
      <c r="C112">
        <v>36</v>
      </c>
      <c r="D112">
        <v>1558.4</v>
      </c>
      <c r="G112" s="18" t="s">
        <v>19</v>
      </c>
      <c r="H112" t="s">
        <v>334</v>
      </c>
      <c r="I112">
        <v>36</v>
      </c>
      <c r="K112" s="18" t="s">
        <v>19</v>
      </c>
      <c r="L112" t="s">
        <v>334</v>
      </c>
      <c r="M112">
        <v>1558.4</v>
      </c>
    </row>
    <row r="113" spans="1:13" x14ac:dyDescent="0.3">
      <c r="A113" t="s">
        <v>19</v>
      </c>
      <c r="B113" t="s">
        <v>949</v>
      </c>
      <c r="C113">
        <v>30</v>
      </c>
      <c r="D113">
        <v>2223.9</v>
      </c>
      <c r="G113" s="18" t="s">
        <v>19</v>
      </c>
      <c r="H113" t="s">
        <v>949</v>
      </c>
      <c r="I113">
        <v>30</v>
      </c>
      <c r="K113" s="18" t="s">
        <v>19</v>
      </c>
      <c r="L113" t="s">
        <v>949</v>
      </c>
      <c r="M113">
        <v>2223.9</v>
      </c>
    </row>
    <row r="114" spans="1:13" x14ac:dyDescent="0.3">
      <c r="A114" t="s">
        <v>19</v>
      </c>
      <c r="B114" t="s">
        <v>1426</v>
      </c>
      <c r="C114">
        <v>1</v>
      </c>
      <c r="D114">
        <v>26.2</v>
      </c>
      <c r="G114" s="18" t="s">
        <v>19</v>
      </c>
      <c r="H114" t="s">
        <v>1426</v>
      </c>
      <c r="I114">
        <v>1</v>
      </c>
      <c r="K114" s="18" t="s">
        <v>19</v>
      </c>
      <c r="L114" t="s">
        <v>1426</v>
      </c>
      <c r="M114">
        <v>26.2</v>
      </c>
    </row>
    <row r="115" spans="1:13" x14ac:dyDescent="0.3">
      <c r="A115" t="s">
        <v>19</v>
      </c>
      <c r="B115" t="s">
        <v>33</v>
      </c>
      <c r="C115">
        <v>3991</v>
      </c>
      <c r="D115">
        <v>215551.19999999981</v>
      </c>
      <c r="G115" s="18" t="s">
        <v>19</v>
      </c>
      <c r="H115" t="s">
        <v>33</v>
      </c>
      <c r="I115">
        <v>3991</v>
      </c>
      <c r="K115" s="18" t="s">
        <v>19</v>
      </c>
      <c r="L115" t="s">
        <v>33</v>
      </c>
      <c r="M115">
        <v>215551.19999999981</v>
      </c>
    </row>
    <row r="116" spans="1:13" x14ac:dyDescent="0.3">
      <c r="A116" t="s">
        <v>19</v>
      </c>
      <c r="B116" t="s">
        <v>364</v>
      </c>
      <c r="C116">
        <v>45</v>
      </c>
      <c r="D116">
        <v>2687.3999999999996</v>
      </c>
      <c r="G116" s="18" t="s">
        <v>19</v>
      </c>
      <c r="H116" t="s">
        <v>364</v>
      </c>
      <c r="I116">
        <v>45</v>
      </c>
      <c r="K116" s="18" t="s">
        <v>19</v>
      </c>
      <c r="L116" t="s">
        <v>364</v>
      </c>
      <c r="M116">
        <v>2687.3999999999996</v>
      </c>
    </row>
    <row r="117" spans="1:13" x14ac:dyDescent="0.3">
      <c r="A117" t="s">
        <v>19</v>
      </c>
      <c r="B117" t="s">
        <v>545</v>
      </c>
      <c r="C117">
        <v>39</v>
      </c>
      <c r="D117">
        <v>1463.3000000000002</v>
      </c>
      <c r="G117" s="18" t="s">
        <v>19</v>
      </c>
      <c r="H117" t="s">
        <v>545</v>
      </c>
      <c r="I117">
        <v>39</v>
      </c>
      <c r="K117" s="18" t="s">
        <v>19</v>
      </c>
      <c r="L117" t="s">
        <v>545</v>
      </c>
      <c r="M117">
        <v>1463.3000000000002</v>
      </c>
    </row>
    <row r="118" spans="1:13" x14ac:dyDescent="0.3">
      <c r="A118" t="s">
        <v>19</v>
      </c>
      <c r="B118" t="s">
        <v>416</v>
      </c>
      <c r="C118">
        <v>6</v>
      </c>
      <c r="D118">
        <v>445.79999999999995</v>
      </c>
      <c r="G118" s="18" t="s">
        <v>19</v>
      </c>
      <c r="H118" t="s">
        <v>416</v>
      </c>
      <c r="I118">
        <v>6</v>
      </c>
      <c r="K118" s="18" t="s">
        <v>19</v>
      </c>
      <c r="L118" t="s">
        <v>416</v>
      </c>
      <c r="M118">
        <v>445.79999999999995</v>
      </c>
    </row>
    <row r="119" spans="1:13" x14ac:dyDescent="0.3">
      <c r="A119" t="s">
        <v>19</v>
      </c>
      <c r="B119" t="s">
        <v>258</v>
      </c>
      <c r="C119">
        <v>9</v>
      </c>
      <c r="D119">
        <v>273.59999999999997</v>
      </c>
      <c r="G119" s="18" t="s">
        <v>19</v>
      </c>
      <c r="H119" t="s">
        <v>258</v>
      </c>
      <c r="I119">
        <v>9</v>
      </c>
      <c r="K119" s="18" t="s">
        <v>19</v>
      </c>
      <c r="L119" t="s">
        <v>258</v>
      </c>
      <c r="M119">
        <v>273.59999999999997</v>
      </c>
    </row>
    <row r="120" spans="1:13" x14ac:dyDescent="0.3">
      <c r="A120" t="s">
        <v>19</v>
      </c>
      <c r="B120" t="s">
        <v>186</v>
      </c>
      <c r="C120">
        <v>60</v>
      </c>
      <c r="D120">
        <v>2690.4</v>
      </c>
      <c r="G120" s="18" t="s">
        <v>19</v>
      </c>
      <c r="H120" t="s">
        <v>186</v>
      </c>
      <c r="I120">
        <v>60</v>
      </c>
      <c r="K120" s="18" t="s">
        <v>19</v>
      </c>
      <c r="L120" t="s">
        <v>186</v>
      </c>
      <c r="M120">
        <v>2690.4</v>
      </c>
    </row>
    <row r="121" spans="1:13" x14ac:dyDescent="0.3">
      <c r="A121" t="s">
        <v>19</v>
      </c>
      <c r="B121" t="s">
        <v>392</v>
      </c>
      <c r="C121">
        <v>2</v>
      </c>
      <c r="D121">
        <v>28.4</v>
      </c>
      <c r="G121" s="18" t="s">
        <v>19</v>
      </c>
      <c r="H121" t="s">
        <v>392</v>
      </c>
      <c r="I121">
        <v>2</v>
      </c>
      <c r="K121" s="18" t="s">
        <v>19</v>
      </c>
      <c r="L121" t="s">
        <v>392</v>
      </c>
      <c r="M121">
        <v>28.4</v>
      </c>
    </row>
    <row r="122" spans="1:13" x14ac:dyDescent="0.3">
      <c r="A122" t="s">
        <v>19</v>
      </c>
      <c r="B122" t="s">
        <v>670</v>
      </c>
      <c r="C122">
        <v>4</v>
      </c>
      <c r="D122">
        <v>204.8</v>
      </c>
      <c r="G122" s="18" t="s">
        <v>19</v>
      </c>
      <c r="H122" t="s">
        <v>670</v>
      </c>
      <c r="I122">
        <v>4</v>
      </c>
      <c r="K122" s="18" t="s">
        <v>19</v>
      </c>
      <c r="L122" t="s">
        <v>670</v>
      </c>
      <c r="M122">
        <v>204.8</v>
      </c>
    </row>
    <row r="123" spans="1:13" x14ac:dyDescent="0.3">
      <c r="A123" t="s">
        <v>19</v>
      </c>
      <c r="B123" t="s">
        <v>802</v>
      </c>
      <c r="C123">
        <v>31</v>
      </c>
      <c r="D123">
        <v>1607.8999999999999</v>
      </c>
      <c r="G123" s="18" t="s">
        <v>19</v>
      </c>
      <c r="H123" t="s">
        <v>802</v>
      </c>
      <c r="I123">
        <v>31</v>
      </c>
      <c r="K123" s="18" t="s">
        <v>19</v>
      </c>
      <c r="L123" t="s">
        <v>802</v>
      </c>
      <c r="M123">
        <v>1607.8999999999999</v>
      </c>
    </row>
    <row r="124" spans="1:13" x14ac:dyDescent="0.3">
      <c r="A124" t="s">
        <v>19</v>
      </c>
      <c r="B124" t="s">
        <v>98</v>
      </c>
      <c r="C124">
        <v>88</v>
      </c>
      <c r="D124">
        <v>6444.9</v>
      </c>
      <c r="G124" s="18" t="s">
        <v>19</v>
      </c>
      <c r="H124" t="s">
        <v>98</v>
      </c>
      <c r="I124">
        <v>88</v>
      </c>
      <c r="K124" s="18" t="s">
        <v>19</v>
      </c>
      <c r="L124" t="s">
        <v>98</v>
      </c>
      <c r="M124">
        <v>6444.9</v>
      </c>
    </row>
    <row r="125" spans="1:13" x14ac:dyDescent="0.3">
      <c r="A125" t="s">
        <v>19</v>
      </c>
      <c r="B125" t="s">
        <v>49</v>
      </c>
      <c r="C125">
        <v>25</v>
      </c>
      <c r="D125">
        <v>1809.3</v>
      </c>
      <c r="G125" s="18" t="s">
        <v>19</v>
      </c>
      <c r="H125" t="s">
        <v>49</v>
      </c>
      <c r="I125">
        <v>25</v>
      </c>
      <c r="K125" s="18" t="s">
        <v>19</v>
      </c>
      <c r="L125" t="s">
        <v>49</v>
      </c>
      <c r="M125">
        <v>1809.3</v>
      </c>
    </row>
    <row r="126" spans="1:13" x14ac:dyDescent="0.3">
      <c r="A126" t="s">
        <v>19</v>
      </c>
      <c r="B126" t="s">
        <v>188</v>
      </c>
      <c r="C126">
        <v>178</v>
      </c>
      <c r="D126">
        <v>9680.399999999996</v>
      </c>
      <c r="G126" s="18" t="s">
        <v>19</v>
      </c>
      <c r="H126" t="s">
        <v>188</v>
      </c>
      <c r="I126">
        <v>178</v>
      </c>
      <c r="K126" s="18" t="s">
        <v>19</v>
      </c>
      <c r="L126" t="s">
        <v>188</v>
      </c>
      <c r="M126">
        <v>9680.399999999996</v>
      </c>
    </row>
    <row r="127" spans="1:13" x14ac:dyDescent="0.3">
      <c r="A127" t="s">
        <v>19</v>
      </c>
      <c r="B127" t="s">
        <v>52</v>
      </c>
      <c r="C127">
        <v>141</v>
      </c>
      <c r="D127">
        <v>9414.7999999999993</v>
      </c>
      <c r="G127" s="18" t="s">
        <v>19</v>
      </c>
      <c r="H127" t="s">
        <v>52</v>
      </c>
      <c r="I127">
        <v>141</v>
      </c>
      <c r="K127" s="18" t="s">
        <v>19</v>
      </c>
      <c r="L127" t="s">
        <v>52</v>
      </c>
      <c r="M127">
        <v>9414.7999999999993</v>
      </c>
    </row>
    <row r="128" spans="1:13" x14ac:dyDescent="0.3">
      <c r="A128" t="s">
        <v>19</v>
      </c>
      <c r="B128" t="s">
        <v>338</v>
      </c>
      <c r="C128">
        <v>6</v>
      </c>
      <c r="D128">
        <v>206.1</v>
      </c>
      <c r="G128" s="18" t="s">
        <v>19</v>
      </c>
      <c r="H128" t="s">
        <v>338</v>
      </c>
      <c r="I128">
        <v>6</v>
      </c>
      <c r="K128" s="18" t="s">
        <v>19</v>
      </c>
      <c r="L128" t="s">
        <v>338</v>
      </c>
      <c r="M128">
        <v>206.1</v>
      </c>
    </row>
    <row r="129" spans="1:13" x14ac:dyDescent="0.3">
      <c r="A129" t="s">
        <v>19</v>
      </c>
      <c r="B129" t="s">
        <v>158</v>
      </c>
      <c r="C129">
        <v>178</v>
      </c>
      <c r="D129">
        <v>7691.3</v>
      </c>
      <c r="G129" s="18" t="s">
        <v>19</v>
      </c>
      <c r="H129" t="s">
        <v>158</v>
      </c>
      <c r="I129">
        <v>178</v>
      </c>
      <c r="K129" s="18" t="s">
        <v>19</v>
      </c>
      <c r="L129" t="s">
        <v>158</v>
      </c>
      <c r="M129">
        <v>7691.3</v>
      </c>
    </row>
    <row r="130" spans="1:13" x14ac:dyDescent="0.3">
      <c r="A130" t="s">
        <v>19</v>
      </c>
      <c r="B130" t="s">
        <v>55</v>
      </c>
      <c r="C130">
        <v>699</v>
      </c>
      <c r="D130">
        <v>37784.900000000016</v>
      </c>
      <c r="G130" s="18" t="s">
        <v>19</v>
      </c>
      <c r="H130" t="s">
        <v>55</v>
      </c>
      <c r="I130">
        <v>699</v>
      </c>
      <c r="K130" s="18" t="s">
        <v>19</v>
      </c>
      <c r="L130" t="s">
        <v>55</v>
      </c>
      <c r="M130">
        <v>37784.900000000016</v>
      </c>
    </row>
    <row r="131" spans="1:13" x14ac:dyDescent="0.3">
      <c r="A131" t="s">
        <v>19</v>
      </c>
      <c r="B131" t="s">
        <v>342</v>
      </c>
      <c r="C131">
        <v>23</v>
      </c>
      <c r="D131">
        <v>1129.7</v>
      </c>
      <c r="G131" s="18" t="s">
        <v>19</v>
      </c>
      <c r="H131" t="s">
        <v>342</v>
      </c>
      <c r="I131">
        <v>23</v>
      </c>
      <c r="K131" s="18" t="s">
        <v>19</v>
      </c>
      <c r="L131" t="s">
        <v>342</v>
      </c>
      <c r="M131">
        <v>1129.7</v>
      </c>
    </row>
    <row r="132" spans="1:13" x14ac:dyDescent="0.3">
      <c r="A132" t="s">
        <v>19</v>
      </c>
      <c r="B132" t="s">
        <v>59</v>
      </c>
      <c r="C132">
        <v>356</v>
      </c>
      <c r="D132">
        <v>20988.9</v>
      </c>
      <c r="G132" s="18" t="s">
        <v>19</v>
      </c>
      <c r="H132" t="s">
        <v>59</v>
      </c>
      <c r="I132">
        <v>356</v>
      </c>
      <c r="K132" s="18" t="s">
        <v>19</v>
      </c>
      <c r="L132" t="s">
        <v>59</v>
      </c>
      <c r="M132">
        <v>20988.9</v>
      </c>
    </row>
    <row r="133" spans="1:13" x14ac:dyDescent="0.3">
      <c r="A133" t="s">
        <v>19</v>
      </c>
      <c r="B133" t="s">
        <v>62</v>
      </c>
      <c r="C133">
        <v>1768</v>
      </c>
      <c r="D133">
        <v>98367.099999999977</v>
      </c>
      <c r="G133" s="18" t="s">
        <v>19</v>
      </c>
      <c r="H133" t="s">
        <v>62</v>
      </c>
      <c r="I133">
        <v>1768</v>
      </c>
      <c r="K133" s="18" t="s">
        <v>19</v>
      </c>
      <c r="L133" t="s">
        <v>62</v>
      </c>
      <c r="M133">
        <v>98367.099999999977</v>
      </c>
    </row>
    <row r="134" spans="1:13" x14ac:dyDescent="0.3">
      <c r="A134" t="s">
        <v>19</v>
      </c>
      <c r="B134" t="s">
        <v>103</v>
      </c>
      <c r="C134">
        <v>307</v>
      </c>
      <c r="D134">
        <v>21911.9</v>
      </c>
      <c r="G134" s="18" t="s">
        <v>19</v>
      </c>
      <c r="H134" t="s">
        <v>103</v>
      </c>
      <c r="I134">
        <v>307</v>
      </c>
      <c r="K134" s="18" t="s">
        <v>19</v>
      </c>
      <c r="L134" t="s">
        <v>103</v>
      </c>
      <c r="M134">
        <v>21911.9</v>
      </c>
    </row>
    <row r="135" spans="1:13" x14ac:dyDescent="0.3">
      <c r="A135" t="s">
        <v>19</v>
      </c>
      <c r="B135" t="s">
        <v>201</v>
      </c>
      <c r="C135">
        <v>117</v>
      </c>
      <c r="D135">
        <v>5441.2</v>
      </c>
      <c r="G135" s="18" t="s">
        <v>19</v>
      </c>
      <c r="H135" t="s">
        <v>201</v>
      </c>
      <c r="I135">
        <v>117</v>
      </c>
      <c r="K135" s="18" t="s">
        <v>19</v>
      </c>
      <c r="L135" t="s">
        <v>201</v>
      </c>
      <c r="M135">
        <v>5441.2</v>
      </c>
    </row>
    <row r="136" spans="1:13" x14ac:dyDescent="0.3">
      <c r="A136" t="s">
        <v>19</v>
      </c>
      <c r="B136" t="s">
        <v>429</v>
      </c>
      <c r="C136">
        <v>13</v>
      </c>
      <c r="D136">
        <v>392.8</v>
      </c>
      <c r="G136" s="18" t="s">
        <v>19</v>
      </c>
      <c r="H136" t="s">
        <v>429</v>
      </c>
      <c r="I136">
        <v>13</v>
      </c>
      <c r="K136" s="18" t="s">
        <v>19</v>
      </c>
      <c r="L136" t="s">
        <v>429</v>
      </c>
      <c r="M136">
        <v>392.8</v>
      </c>
    </row>
    <row r="137" spans="1:13" x14ac:dyDescent="0.3">
      <c r="A137" t="s">
        <v>19</v>
      </c>
      <c r="B137" t="s">
        <v>72</v>
      </c>
      <c r="C137">
        <v>364</v>
      </c>
      <c r="D137">
        <v>16172.000000000005</v>
      </c>
      <c r="G137" s="18" t="s">
        <v>19</v>
      </c>
      <c r="H137" t="s">
        <v>72</v>
      </c>
      <c r="I137">
        <v>364</v>
      </c>
      <c r="K137" s="18" t="s">
        <v>19</v>
      </c>
      <c r="L137" t="s">
        <v>72</v>
      </c>
      <c r="M137">
        <v>16172.000000000005</v>
      </c>
    </row>
    <row r="138" spans="1:13" x14ac:dyDescent="0.3">
      <c r="A138" t="s">
        <v>19</v>
      </c>
      <c r="B138" t="s">
        <v>74</v>
      </c>
      <c r="C138">
        <v>95</v>
      </c>
      <c r="D138">
        <v>4334.9999999999991</v>
      </c>
      <c r="G138" s="18" t="s">
        <v>19</v>
      </c>
      <c r="H138" t="s">
        <v>74</v>
      </c>
      <c r="I138">
        <v>95</v>
      </c>
      <c r="K138" s="18" t="s">
        <v>19</v>
      </c>
      <c r="L138" t="s">
        <v>74</v>
      </c>
      <c r="M138">
        <v>4334.9999999999991</v>
      </c>
    </row>
    <row r="139" spans="1:13" x14ac:dyDescent="0.3">
      <c r="A139" t="s">
        <v>19</v>
      </c>
      <c r="B139" t="s">
        <v>77</v>
      </c>
      <c r="C139">
        <v>737</v>
      </c>
      <c r="D139">
        <v>37449.000000000007</v>
      </c>
      <c r="G139" s="18" t="s">
        <v>19</v>
      </c>
      <c r="H139" t="s">
        <v>77</v>
      </c>
      <c r="I139">
        <v>737</v>
      </c>
      <c r="K139" s="18" t="s">
        <v>19</v>
      </c>
      <c r="L139" t="s">
        <v>77</v>
      </c>
      <c r="M139">
        <v>37449.000000000007</v>
      </c>
    </row>
    <row r="140" spans="1:13" x14ac:dyDescent="0.3">
      <c r="A140" t="s">
        <v>19</v>
      </c>
      <c r="B140" t="s">
        <v>309</v>
      </c>
      <c r="C140">
        <v>39</v>
      </c>
      <c r="D140">
        <v>2447.5</v>
      </c>
      <c r="G140" s="18" t="s">
        <v>19</v>
      </c>
      <c r="H140" t="s">
        <v>309</v>
      </c>
      <c r="I140">
        <v>39</v>
      </c>
      <c r="K140" s="18" t="s">
        <v>19</v>
      </c>
      <c r="L140" t="s">
        <v>309</v>
      </c>
      <c r="M140">
        <v>2447.5</v>
      </c>
    </row>
    <row r="141" spans="1:13" x14ac:dyDescent="0.3">
      <c r="A141" t="s">
        <v>19</v>
      </c>
      <c r="B141" t="s">
        <v>1116</v>
      </c>
      <c r="C141">
        <v>56</v>
      </c>
      <c r="D141">
        <v>3391.1</v>
      </c>
      <c r="G141" s="18" t="s">
        <v>19</v>
      </c>
      <c r="H141" t="s">
        <v>1116</v>
      </c>
      <c r="I141">
        <v>56</v>
      </c>
      <c r="K141" s="18" t="s">
        <v>19</v>
      </c>
      <c r="L141" t="s">
        <v>1116</v>
      </c>
      <c r="M141">
        <v>3391.1</v>
      </c>
    </row>
    <row r="142" spans="1:13" x14ac:dyDescent="0.3">
      <c r="A142" t="s">
        <v>19</v>
      </c>
      <c r="B142" t="s">
        <v>700</v>
      </c>
      <c r="C142">
        <v>2</v>
      </c>
      <c r="D142">
        <v>30.8</v>
      </c>
      <c r="G142" s="18" t="s">
        <v>19</v>
      </c>
      <c r="H142" t="s">
        <v>700</v>
      </c>
      <c r="I142">
        <v>2</v>
      </c>
      <c r="K142" s="18" t="s">
        <v>19</v>
      </c>
      <c r="L142" t="s">
        <v>700</v>
      </c>
      <c r="M142">
        <v>30.8</v>
      </c>
    </row>
    <row r="143" spans="1:13" x14ac:dyDescent="0.3">
      <c r="A143" t="s">
        <v>19</v>
      </c>
      <c r="B143" t="s">
        <v>268</v>
      </c>
      <c r="C143">
        <v>8</v>
      </c>
      <c r="D143">
        <v>332.3</v>
      </c>
      <c r="G143" s="18" t="s">
        <v>19</v>
      </c>
      <c r="H143" t="s">
        <v>268</v>
      </c>
      <c r="I143">
        <v>8</v>
      </c>
      <c r="K143" s="18" t="s">
        <v>19</v>
      </c>
      <c r="L143" t="s">
        <v>268</v>
      </c>
      <c r="M143">
        <v>332.3</v>
      </c>
    </row>
    <row r="144" spans="1:13" x14ac:dyDescent="0.3">
      <c r="A144" t="s">
        <v>19</v>
      </c>
      <c r="B144" t="s">
        <v>377</v>
      </c>
      <c r="C144">
        <v>52</v>
      </c>
      <c r="D144">
        <v>3175.9999999999995</v>
      </c>
      <c r="G144" s="18" t="s">
        <v>19</v>
      </c>
      <c r="H144" t="s">
        <v>377</v>
      </c>
      <c r="I144">
        <v>52</v>
      </c>
      <c r="K144" s="18" t="s">
        <v>19</v>
      </c>
      <c r="L144" t="s">
        <v>377</v>
      </c>
      <c r="M144">
        <v>3175.9999999999995</v>
      </c>
    </row>
    <row r="145" spans="1:13" x14ac:dyDescent="0.3">
      <c r="A145" t="s">
        <v>19</v>
      </c>
      <c r="B145" t="s">
        <v>108</v>
      </c>
      <c r="C145">
        <v>295</v>
      </c>
      <c r="D145">
        <v>20939.600000000002</v>
      </c>
      <c r="G145" s="18" t="s">
        <v>19</v>
      </c>
      <c r="H145" t="s">
        <v>108</v>
      </c>
      <c r="I145">
        <v>295</v>
      </c>
      <c r="K145" s="18" t="s">
        <v>19</v>
      </c>
      <c r="L145" t="s">
        <v>108</v>
      </c>
      <c r="M145">
        <v>20939.600000000002</v>
      </c>
    </row>
    <row r="146" spans="1:13" x14ac:dyDescent="0.3">
      <c r="A146" t="s">
        <v>19</v>
      </c>
      <c r="B146" t="s">
        <v>110</v>
      </c>
      <c r="C146">
        <v>195</v>
      </c>
      <c r="D146">
        <v>10185.899999999996</v>
      </c>
      <c r="G146" s="18" t="s">
        <v>19</v>
      </c>
      <c r="H146" t="s">
        <v>110</v>
      </c>
      <c r="I146">
        <v>195</v>
      </c>
      <c r="K146" s="18" t="s">
        <v>19</v>
      </c>
      <c r="L146" t="s">
        <v>110</v>
      </c>
      <c r="M146">
        <v>10185.899999999996</v>
      </c>
    </row>
    <row r="147" spans="1:13" x14ac:dyDescent="0.3">
      <c r="A147" t="s">
        <v>19</v>
      </c>
      <c r="B147" t="s">
        <v>292</v>
      </c>
      <c r="C147">
        <v>20</v>
      </c>
      <c r="D147">
        <v>958.7</v>
      </c>
      <c r="G147" s="18" t="s">
        <v>19</v>
      </c>
      <c r="H147" t="s">
        <v>292</v>
      </c>
      <c r="I147">
        <v>20</v>
      </c>
      <c r="K147" s="18" t="s">
        <v>19</v>
      </c>
      <c r="L147" t="s">
        <v>292</v>
      </c>
      <c r="M147">
        <v>958.7</v>
      </c>
    </row>
    <row r="148" spans="1:13" x14ac:dyDescent="0.3">
      <c r="A148" t="s">
        <v>19</v>
      </c>
      <c r="B148" t="s">
        <v>79</v>
      </c>
      <c r="C148">
        <v>6</v>
      </c>
      <c r="D148">
        <v>323</v>
      </c>
      <c r="G148" s="18" t="s">
        <v>19</v>
      </c>
      <c r="H148" t="s">
        <v>79</v>
      </c>
      <c r="I148">
        <v>6</v>
      </c>
      <c r="K148" s="18" t="s">
        <v>19</v>
      </c>
      <c r="L148" t="s">
        <v>79</v>
      </c>
      <c r="M148">
        <v>323</v>
      </c>
    </row>
    <row r="149" spans="1:13" x14ac:dyDescent="0.3">
      <c r="A149" t="s">
        <v>19</v>
      </c>
      <c r="B149" t="s">
        <v>608</v>
      </c>
      <c r="C149">
        <v>5</v>
      </c>
      <c r="D149">
        <v>167.70000000000002</v>
      </c>
      <c r="G149" s="18" t="s">
        <v>19</v>
      </c>
      <c r="H149" t="s">
        <v>608</v>
      </c>
      <c r="I149">
        <v>5</v>
      </c>
      <c r="K149" s="18" t="s">
        <v>19</v>
      </c>
      <c r="L149" t="s">
        <v>608</v>
      </c>
      <c r="M149">
        <v>167.70000000000002</v>
      </c>
    </row>
    <row r="150" spans="1:13" x14ac:dyDescent="0.3">
      <c r="A150" t="s">
        <v>19</v>
      </c>
      <c r="B150" t="s">
        <v>113</v>
      </c>
      <c r="C150">
        <v>94</v>
      </c>
      <c r="D150">
        <v>3978.5</v>
      </c>
      <c r="G150" s="18" t="s">
        <v>19</v>
      </c>
      <c r="H150" t="s">
        <v>113</v>
      </c>
      <c r="I150">
        <v>94</v>
      </c>
      <c r="K150" s="18" t="s">
        <v>19</v>
      </c>
      <c r="L150" t="s">
        <v>113</v>
      </c>
      <c r="M150">
        <v>3978.5</v>
      </c>
    </row>
    <row r="151" spans="1:13" x14ac:dyDescent="0.3">
      <c r="A151" t="s">
        <v>19</v>
      </c>
      <c r="B151" t="s">
        <v>997</v>
      </c>
      <c r="C151">
        <v>28</v>
      </c>
      <c r="D151">
        <v>1405</v>
      </c>
      <c r="G151" s="18" t="s">
        <v>19</v>
      </c>
      <c r="H151" t="s">
        <v>997</v>
      </c>
      <c r="I151">
        <v>28</v>
      </c>
      <c r="K151" s="18" t="s">
        <v>19</v>
      </c>
      <c r="L151" t="s">
        <v>997</v>
      </c>
      <c r="M151">
        <v>1405</v>
      </c>
    </row>
    <row r="152" spans="1:13" x14ac:dyDescent="0.3">
      <c r="A152" t="s">
        <v>19</v>
      </c>
      <c r="B152" t="s">
        <v>82</v>
      </c>
      <c r="C152">
        <v>179</v>
      </c>
      <c r="D152">
        <v>9869.0999999999985</v>
      </c>
      <c r="G152" s="18" t="s">
        <v>19</v>
      </c>
      <c r="H152" t="s">
        <v>82</v>
      </c>
      <c r="I152">
        <v>179</v>
      </c>
      <c r="K152" s="18" t="s">
        <v>19</v>
      </c>
      <c r="L152" t="s">
        <v>82</v>
      </c>
      <c r="M152">
        <v>9869.0999999999985</v>
      </c>
    </row>
    <row r="153" spans="1:13" x14ac:dyDescent="0.3">
      <c r="A153" t="s">
        <v>19</v>
      </c>
      <c r="B153" t="s">
        <v>243</v>
      </c>
      <c r="C153">
        <v>15</v>
      </c>
      <c r="D153">
        <v>615.29999999999995</v>
      </c>
      <c r="G153" s="18" t="s">
        <v>19</v>
      </c>
      <c r="H153" t="s">
        <v>243</v>
      </c>
      <c r="I153">
        <v>15</v>
      </c>
      <c r="K153" s="18" t="s">
        <v>19</v>
      </c>
      <c r="L153" t="s">
        <v>243</v>
      </c>
      <c r="M153">
        <v>615.29999999999995</v>
      </c>
    </row>
    <row r="154" spans="1:13" x14ac:dyDescent="0.3">
      <c r="A154" t="s">
        <v>19</v>
      </c>
      <c r="B154" t="s">
        <v>1911</v>
      </c>
      <c r="C154">
        <v>3</v>
      </c>
      <c r="D154">
        <v>285</v>
      </c>
      <c r="G154" s="17" t="s">
        <v>19</v>
      </c>
      <c r="H154" t="s">
        <v>1911</v>
      </c>
      <c r="I154">
        <v>3</v>
      </c>
      <c r="K154" s="17" t="s">
        <v>19</v>
      </c>
      <c r="L154" t="s">
        <v>1911</v>
      </c>
      <c r="M154">
        <v>285</v>
      </c>
    </row>
    <row r="155" spans="1:13" x14ac:dyDescent="0.3">
      <c r="A155" t="s">
        <v>2521</v>
      </c>
      <c r="B155" t="s">
        <v>2521</v>
      </c>
    </row>
    <row r="162" spans="4:5" x14ac:dyDescent="0.3">
      <c r="D162" s="3" t="s">
        <v>2506</v>
      </c>
      <c r="E162" t="s">
        <v>2508</v>
      </c>
    </row>
    <row r="163" spans="4:5" x14ac:dyDescent="0.3">
      <c r="D163" s="4">
        <v>0</v>
      </c>
      <c r="E163" s="20">
        <v>175</v>
      </c>
    </row>
    <row r="164" spans="4:5" x14ac:dyDescent="0.3">
      <c r="D164" s="4">
        <v>1</v>
      </c>
      <c r="E164" s="20">
        <v>888</v>
      </c>
    </row>
    <row r="165" spans="4:5" x14ac:dyDescent="0.3">
      <c r="D165" s="4">
        <v>2</v>
      </c>
      <c r="E165" s="20">
        <v>538</v>
      </c>
    </row>
    <row r="166" spans="4:5" x14ac:dyDescent="0.3">
      <c r="D166" s="4">
        <v>3</v>
      </c>
      <c r="E166" s="20">
        <v>344</v>
      </c>
    </row>
    <row r="167" spans="4:5" x14ac:dyDescent="0.3">
      <c r="D167" s="4">
        <v>4</v>
      </c>
      <c r="E167" s="20">
        <v>200</v>
      </c>
    </row>
    <row r="168" spans="4:5" x14ac:dyDescent="0.3">
      <c r="D168" s="4">
        <v>5</v>
      </c>
      <c r="E168" s="20">
        <v>94</v>
      </c>
    </row>
    <row r="169" spans="4:5" x14ac:dyDescent="0.3">
      <c r="D169" s="4">
        <v>6</v>
      </c>
      <c r="E169" s="20">
        <v>51</v>
      </c>
    </row>
    <row r="170" spans="4:5" x14ac:dyDescent="0.3">
      <c r="D170" s="4">
        <v>7</v>
      </c>
      <c r="E170" s="20">
        <v>32</v>
      </c>
    </row>
    <row r="171" spans="4:5" x14ac:dyDescent="0.3">
      <c r="D171" s="4">
        <v>8</v>
      </c>
      <c r="E171" s="20">
        <v>23</v>
      </c>
    </row>
    <row r="172" spans="4:5" x14ac:dyDescent="0.3">
      <c r="D172" s="4">
        <v>9</v>
      </c>
      <c r="E172" s="20">
        <v>9</v>
      </c>
    </row>
    <row r="173" spans="4:5" x14ac:dyDescent="0.3">
      <c r="D173" s="4">
        <v>10</v>
      </c>
      <c r="E173" s="20">
        <v>8</v>
      </c>
    </row>
    <row r="174" spans="4:5" x14ac:dyDescent="0.3">
      <c r="D174" s="4">
        <v>11</v>
      </c>
      <c r="E174" s="20">
        <v>11</v>
      </c>
    </row>
    <row r="175" spans="4:5" x14ac:dyDescent="0.3">
      <c r="D175" s="4">
        <v>12</v>
      </c>
      <c r="E175" s="20">
        <v>4</v>
      </c>
    </row>
    <row r="176" spans="4:5" x14ac:dyDescent="0.3">
      <c r="D176" s="4">
        <v>13</v>
      </c>
      <c r="E176" s="20">
        <v>10</v>
      </c>
    </row>
    <row r="177" spans="4:10" x14ac:dyDescent="0.3">
      <c r="D177" s="4">
        <v>14</v>
      </c>
      <c r="E177" s="20">
        <v>13</v>
      </c>
    </row>
    <row r="178" spans="4:10" x14ac:dyDescent="0.3">
      <c r="D178" s="4" t="s">
        <v>2507</v>
      </c>
      <c r="E178" s="20">
        <v>2400</v>
      </c>
    </row>
    <row r="182" spans="4:10" x14ac:dyDescent="0.3">
      <c r="D182" s="3" t="s">
        <v>2508</v>
      </c>
      <c r="E182" s="3" t="s">
        <v>2514</v>
      </c>
    </row>
    <row r="183" spans="4:10" x14ac:dyDescent="0.3">
      <c r="D183" s="3" t="s">
        <v>2506</v>
      </c>
      <c r="E183">
        <v>1</v>
      </c>
      <c r="F183">
        <v>2</v>
      </c>
      <c r="G183">
        <v>3</v>
      </c>
      <c r="H183">
        <v>4</v>
      </c>
      <c r="I183">
        <v>5</v>
      </c>
      <c r="J183" t="s">
        <v>2507</v>
      </c>
    </row>
    <row r="184" spans="4:10" x14ac:dyDescent="0.3">
      <c r="D184" s="4" t="s">
        <v>2522</v>
      </c>
      <c r="E184" s="20">
        <v>7</v>
      </c>
      <c r="F184" s="20">
        <v>37</v>
      </c>
      <c r="G184" s="20">
        <v>150</v>
      </c>
      <c r="H184" s="20">
        <v>312</v>
      </c>
      <c r="I184" s="20">
        <v>224</v>
      </c>
      <c r="J184" s="20">
        <v>730</v>
      </c>
    </row>
    <row r="185" spans="4:10" x14ac:dyDescent="0.3">
      <c r="D185" s="4" t="s">
        <v>2523</v>
      </c>
      <c r="E185" s="20">
        <v>8</v>
      </c>
      <c r="F185" s="20">
        <v>51</v>
      </c>
      <c r="G185" s="20">
        <v>182</v>
      </c>
      <c r="H185" s="20">
        <v>373</v>
      </c>
      <c r="I185" s="20">
        <v>247</v>
      </c>
      <c r="J185" s="20">
        <v>861</v>
      </c>
    </row>
    <row r="186" spans="4:10" x14ac:dyDescent="0.3">
      <c r="D186" s="4" t="s">
        <v>2524</v>
      </c>
      <c r="E186" s="20">
        <v>6</v>
      </c>
      <c r="F186" s="20">
        <v>39</v>
      </c>
      <c r="G186" s="20">
        <v>163</v>
      </c>
      <c r="H186" s="20">
        <v>351</v>
      </c>
      <c r="I186" s="20">
        <v>250</v>
      </c>
      <c r="J186" s="20">
        <v>809</v>
      </c>
    </row>
    <row r="187" spans="4:10" x14ac:dyDescent="0.3">
      <c r="D187" s="4" t="s">
        <v>2507</v>
      </c>
      <c r="E187" s="20">
        <v>21</v>
      </c>
      <c r="F187" s="20">
        <v>127</v>
      </c>
      <c r="G187" s="20">
        <v>495</v>
      </c>
      <c r="H187" s="20">
        <v>1036</v>
      </c>
      <c r="I187" s="20">
        <v>721</v>
      </c>
      <c r="J187" s="20">
        <v>2400</v>
      </c>
    </row>
    <row r="209" spans="1:5" x14ac:dyDescent="0.3">
      <c r="A209" s="3" t="s">
        <v>8</v>
      </c>
      <c r="B209" t="s">
        <v>2526</v>
      </c>
    </row>
    <row r="210" spans="1:5" x14ac:dyDescent="0.3">
      <c r="A210" s="3" t="s">
        <v>14</v>
      </c>
      <c r="B210" t="s">
        <v>2526</v>
      </c>
    </row>
    <row r="212" spans="1:5" x14ac:dyDescent="0.3">
      <c r="A212" t="s">
        <v>2508</v>
      </c>
      <c r="B212" t="s">
        <v>2504</v>
      </c>
      <c r="C212" t="s">
        <v>2505</v>
      </c>
      <c r="D212" t="s">
        <v>2509</v>
      </c>
      <c r="E212" t="s">
        <v>2510</v>
      </c>
    </row>
    <row r="213" spans="1:5" x14ac:dyDescent="0.3">
      <c r="A213" s="20">
        <v>2400</v>
      </c>
      <c r="B213" s="20">
        <v>11997</v>
      </c>
      <c r="C213" s="20">
        <v>649019.80000000144</v>
      </c>
      <c r="D213" s="20">
        <v>3.9620833333333332</v>
      </c>
      <c r="E213" s="20">
        <v>2.3424999999999998</v>
      </c>
    </row>
    <row r="215" spans="1:5" x14ac:dyDescent="0.3">
      <c r="A215" t="str">
        <f>TEXT(A213,"#,##")</f>
        <v>2,400</v>
      </c>
      <c r="B215" t="str">
        <f t="shared" ref="B215:E215" si="8">TEXT(B213,"#,##")</f>
        <v>11,997</v>
      </c>
      <c r="C215" t="str">
        <f>TEXT(C213,"$#,##,.0k")</f>
        <v>$649.0k</v>
      </c>
      <c r="D215" t="str">
        <f>TEXT(D213,"0.0")</f>
        <v>4.0</v>
      </c>
      <c r="E215" t="str">
        <f>TEXT(E213,"0.0")</f>
        <v>2.3</v>
      </c>
    </row>
  </sheetData>
  <conditionalFormatting sqref="I44:M49">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47C8C-67F1-4003-AAA7-2D70FCF178E0}">
  <dimension ref="A1"/>
  <sheetViews>
    <sheetView tabSelected="1" zoomScale="85" zoomScaleNormal="85" workbookViewId="0">
      <selection activeCell="P33" sqref="P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3B5003-C6C4-4870-BB3B-297349879C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AFSAR MUAZZAM</cp:lastModifiedBy>
  <dcterms:created xsi:type="dcterms:W3CDTF">2025-06-13T02:42:26Z</dcterms:created>
  <dcterms:modified xsi:type="dcterms:W3CDTF">2025-11-07T02:11:56Z</dcterms:modified>
</cp:coreProperties>
</file>